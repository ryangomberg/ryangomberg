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Gamer\OneDrive\Documents\Actuarial Projects\"/>
    </mc:Choice>
  </mc:AlternateContent>
  <xr:revisionPtr revIDLastSave="0" documentId="13_ncr:1_{791B61A6-E962-4D69-96A7-5B05D825712F}" xr6:coauthVersionLast="47" xr6:coauthVersionMax="47" xr10:uidLastSave="{00000000-0000-0000-0000-000000000000}"/>
  <bookViews>
    <workbookView xWindow="-120" yWindow="-120" windowWidth="29040" windowHeight="15840" activeTab="4" xr2:uid="{4CDD23F1-DE38-4E85-9B8E-2B499C5AC391}"/>
  </bookViews>
  <sheets>
    <sheet name="Introduction" sheetId="5" r:id="rId1"/>
    <sheet name="PricingSeverityModel" sheetId="2" r:id="rId2"/>
    <sheet name="Transformed Data" sheetId="1" r:id="rId3"/>
    <sheet name="Freq. Data Visualization" sheetId="3" r:id="rId4"/>
    <sheet name="Severity Dashboard" sheetId="6" r:id="rId5"/>
    <sheet name="Sample Observations" sheetId="7" r:id="rId6"/>
    <sheet name="Graph Tables" sheetId="4" r:id="rId7"/>
  </sheets>
  <definedNames>
    <definedName name="_xlchart.v1.0" hidden="1">PricingSeverityModel!$B$1</definedName>
    <definedName name="_xlchart.v1.1" hidden="1">PricingSeverityModel!$B$2:$B$1662</definedName>
    <definedName name="_xlchart.v1.2" hidden="1">'Transformed Data'!$E$2:$E$1662</definedName>
    <definedName name="_xlchart.v1.3" hidden="1">'Transformed Data'!$I$1</definedName>
    <definedName name="_xlchart.v1.4" hidden="1">'Transformed Data'!$I$2:$I$1662</definedName>
    <definedName name="_xlchart.v1.5" hidden="1">PricingSeverityModel!$A$1</definedName>
    <definedName name="_xlchart.v1.6" hidden="1">PricingSeverityModel!$A$2:$A$1662</definedName>
    <definedName name="ExternalData_1" localSheetId="1" hidden="1">PricingSeverityModel!$A$1:$I$1662</definedName>
    <definedName name="ExternalData_1" localSheetId="2" hidden="1">'Transformed Data'!$A$1:$I$1662</definedName>
    <definedName name="Slicer_Age_Groups">#N/A</definedName>
    <definedName name="Slicer_Prior_Claims">#N/A</definedName>
    <definedName name="Slicer_Territory">#N/A</definedName>
    <definedName name="Slicer_Vehicle_Age_Group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8" i="6" l="1" a="1"/>
  <c r="P28" i="6" s="1"/>
  <c r="N29" i="6"/>
  <c r="N30" i="6"/>
  <c r="N31" i="6"/>
  <c r="N32" i="6"/>
  <c r="N28" i="6"/>
  <c r="L28" i="6"/>
  <c r="L29" i="6"/>
  <c r="L30" i="6"/>
  <c r="L31" i="6"/>
  <c r="L32" i="6"/>
  <c r="P27" i="6"/>
  <c r="N27" i="6"/>
  <c r="L27" i="6"/>
  <c r="K87" i="4"/>
  <c r="K86" i="4"/>
  <c r="K85" i="4"/>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M2" i="4" l="1"/>
  <c r="L2" i="4"/>
  <c r="K2" i="4"/>
  <c r="G5" i="4" l="1"/>
  <c r="G6" i="4"/>
  <c r="G4" i="4"/>
  <c r="C4" i="4" a="1"/>
  <c r="C4" i="4" s="1"/>
  <c r="H5" i="4" l="1"/>
  <c r="H6" i="4"/>
  <c r="H4" i="4"/>
  <c r="C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75B27-C8CE-428E-80AF-BA5ABC862D33}" keepAlive="1" name="Query - PricingSeverityModel" description="Connection to the 'PricingSeverityModel' query in the workbook." type="5" refreshedVersion="8" background="1" saveData="1">
    <dbPr connection="Provider=Microsoft.Mashup.OleDb.1;Data Source=$Workbook$;Location=PricingSeverityModel;Extended Properties=&quot;&quot;" command="SELECT * FROM [PricingSeverityModel]"/>
  </connection>
  <connection id="2" xr16:uid="{1418F8DE-A637-4EA1-BF83-BF97BBB7F316}" keepAlive="1" name="Query - PricingSeverityModel (2)" description="Connection to the 'PricingSeverityModel (2)' query in the workbook." type="5" refreshedVersion="8" background="1" saveData="1">
    <dbPr connection="Provider=Microsoft.Mashup.OleDb.1;Data Source=$Workbook$;Location=&quot;PricingSeverityModel (2)&quot;;Extended Properties=&quot;&quot;" command="SELECT * FROM [PricingSeverityModel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<sst xmlns="http://schemas.openxmlformats.org/spreadsheetml/2006/main" count="8439" uniqueCount="2094">
  <si>
    <t>vehicle_age</t>
  </si>
  <si>
    <t>territory</t>
  </si>
  <si>
    <t>prior_claims</t>
  </si>
  <si>
    <t>exposure</t>
  </si>
  <si>
    <t>claim_count</t>
  </si>
  <si>
    <t>severity</t>
  </si>
  <si>
    <t>avg_severity</t>
  </si>
  <si>
    <t>claim_amount</t>
  </si>
  <si>
    <t>Urban</t>
  </si>
  <si>
    <t>1084.94029485256</t>
  </si>
  <si>
    <t>Rural</t>
  </si>
  <si>
    <t>900.121821243629</t>
  </si>
  <si>
    <t>450.060910621815</t>
  </si>
  <si>
    <t>4349.01757656955</t>
  </si>
  <si>
    <t>1337.57773550248</t>
  </si>
  <si>
    <t>1378.3338487345</t>
  </si>
  <si>
    <t>Suburban</t>
  </si>
  <si>
    <t>1676.22076581694</t>
  </si>
  <si>
    <t>1401.97173414295</t>
  </si>
  <si>
    <t>700.985867071475</t>
  </si>
  <si>
    <t>1395.13167203241</t>
  </si>
  <si>
    <t>697.565836016204</t>
  </si>
  <si>
    <t>3385.83895563252</t>
  </si>
  <si>
    <t>3629.19753564152</t>
  </si>
  <si>
    <t>1814.59876782076</t>
  </si>
  <si>
    <t>1300.31659072588</t>
  </si>
  <si>
    <t>433.438863575293</t>
  </si>
  <si>
    <t>654.411170976405</t>
  </si>
  <si>
    <t>986.279330990855</t>
  </si>
  <si>
    <t>292.748256442036</t>
  </si>
  <si>
    <t>493.278707121517</t>
  </si>
  <si>
    <t>499.438202758848</t>
  </si>
  <si>
    <t>590.606649381326</t>
  </si>
  <si>
    <t>567.549509194454</t>
  </si>
  <si>
    <t>283.774754597227</t>
  </si>
  <si>
    <t>720.87372720574</t>
  </si>
  <si>
    <t>721.97394250617</t>
  </si>
  <si>
    <t>1920.16866403538</t>
  </si>
  <si>
    <t>793.129470987968</t>
  </si>
  <si>
    <t>1285.46715308449</t>
  </si>
  <si>
    <t>647.413195482664</t>
  </si>
  <si>
    <t>1532.37541705073</t>
  </si>
  <si>
    <t>784.641409131489</t>
  </si>
  <si>
    <t>261.547136377163</t>
  </si>
  <si>
    <t>174.468108888075</t>
  </si>
  <si>
    <t>1896.82105334171</t>
  </si>
  <si>
    <t>368.661118207638</t>
  </si>
  <si>
    <t>1086.00779555222</t>
  </si>
  <si>
    <t>1352.5961966118</t>
  </si>
  <si>
    <t>859.411125006988</t>
  </si>
  <si>
    <t>490.524891598367</t>
  </si>
  <si>
    <t>1885.42218484654</t>
  </si>
  <si>
    <t>942.711092423272</t>
  </si>
  <si>
    <t>2350.19229256597</t>
  </si>
  <si>
    <t>336.799310247379</t>
  </si>
  <si>
    <t>791.985731819427</t>
  </si>
  <si>
    <t>395.992865909713</t>
  </si>
  <si>
    <t>1240.0065240002</t>
  </si>
  <si>
    <t>5106.87613216615</t>
  </si>
  <si>
    <t>619.470217291814</t>
  </si>
  <si>
    <t>206.490072430605</t>
  </si>
  <si>
    <t>919.090239819646</t>
  </si>
  <si>
    <t>1828.81180494821</t>
  </si>
  <si>
    <t>609.603934982738</t>
  </si>
  <si>
    <t>1066.10783463732</t>
  </si>
  <si>
    <t>1502.58413943083</t>
  </si>
  <si>
    <t>707.947609523761</t>
  </si>
  <si>
    <t>2871.82423270632</t>
  </si>
  <si>
    <t>1435.91211635316</t>
  </si>
  <si>
    <t>928.78639555462</t>
  </si>
  <si>
    <t>344.71749187661</t>
  </si>
  <si>
    <t>4363.20537328416</t>
  </si>
  <si>
    <t>1881.91013355821</t>
  </si>
  <si>
    <t>721.293687327676</t>
  </si>
  <si>
    <t>775.436112426486</t>
  </si>
  <si>
    <t>1195.553066959</t>
  </si>
  <si>
    <t>587.01899321028</t>
  </si>
  <si>
    <t>903.557280677309</t>
  </si>
  <si>
    <t>2960.04941571371</t>
  </si>
  <si>
    <t>1091.02099140412</t>
  </si>
  <si>
    <t>518.116792102291</t>
  </si>
  <si>
    <t>259.058396051145</t>
  </si>
  <si>
    <t>979.78624224431</t>
  </si>
  <si>
    <t>828.539884798134</t>
  </si>
  <si>
    <t>439.499342993825</t>
  </si>
  <si>
    <t>1828.59775942799</t>
  </si>
  <si>
    <t>914.298879713997</t>
  </si>
  <si>
    <t>4752.63544626726</t>
  </si>
  <si>
    <t>793.879743887169</t>
  </si>
  <si>
    <t>1512.59541139201</t>
  </si>
  <si>
    <t>881.936006624522</t>
  </si>
  <si>
    <t>1361.04736592235</t>
  </si>
  <si>
    <t>680.523682961177</t>
  </si>
  <si>
    <t>504.273448683799</t>
  </si>
  <si>
    <t>1915.7200952436</t>
  </si>
  <si>
    <t>957.8600476218</t>
  </si>
  <si>
    <t>1030.23429945765</t>
  </si>
  <si>
    <t>221.749280095184</t>
  </si>
  <si>
    <t>325.166764619536</t>
  </si>
  <si>
    <t>386.200637252031</t>
  </si>
  <si>
    <t>1070.13587611602</t>
  </si>
  <si>
    <t>535.067938058012</t>
  </si>
  <si>
    <t>1704.93553547253</t>
  </si>
  <si>
    <t>747.729278726677</t>
  </si>
  <si>
    <t>857.787272064506</t>
  </si>
  <si>
    <t>428.893636032253</t>
  </si>
  <si>
    <t>1199.84082173088</t>
  </si>
  <si>
    <t>770.66078274309</t>
  </si>
  <si>
    <t>1275.90193570693</t>
  </si>
  <si>
    <t>637.950967853467</t>
  </si>
  <si>
    <t>464.641612513175</t>
  </si>
  <si>
    <t>1856.09241575888</t>
  </si>
  <si>
    <t>7898.01042637038</t>
  </si>
  <si>
    <t>2632.67014212346</t>
  </si>
  <si>
    <t>243.154540966415</t>
  </si>
  <si>
    <t>654.858031947998</t>
  </si>
  <si>
    <t>782.241873844809</t>
  </si>
  <si>
    <t>653.370070247552</t>
  </si>
  <si>
    <t>1609.11100860152</t>
  </si>
  <si>
    <t>804.555504300761</t>
  </si>
  <si>
    <t>453.988355297147</t>
  </si>
  <si>
    <t>226.994177648574</t>
  </si>
  <si>
    <t>588.408896078829</t>
  </si>
  <si>
    <t>323.692139421878</t>
  </si>
  <si>
    <t>1363.9494248136</t>
  </si>
  <si>
    <t>2159.71945350397</t>
  </si>
  <si>
    <t>661.765189785448</t>
  </si>
  <si>
    <t>1045.96045259861</t>
  </si>
  <si>
    <t>1061.3042263111</t>
  </si>
  <si>
    <t>530.652113155548</t>
  </si>
  <si>
    <t>596.029545561442</t>
  </si>
  <si>
    <t>914.716926865108</t>
  </si>
  <si>
    <t>1089.12407056846</t>
  </si>
  <si>
    <t>1513.34550286429</t>
  </si>
  <si>
    <t>756.672751432145</t>
  </si>
  <si>
    <t>1084.91860002828</t>
  </si>
  <si>
    <t>321.32569773366</t>
  </si>
  <si>
    <t>1486.4936923686</t>
  </si>
  <si>
    <t>355.210119703224</t>
  </si>
  <si>
    <t>381.060952179546</t>
  </si>
  <si>
    <t>852.901141250101</t>
  </si>
  <si>
    <t>2597.34834740942</t>
  </si>
  <si>
    <t>235.536531363518</t>
  </si>
  <si>
    <t>3383.57096568405</t>
  </si>
  <si>
    <t>2623.12937960401</t>
  </si>
  <si>
    <t>1311.564689802</t>
  </si>
  <si>
    <t>698.562842332816</t>
  </si>
  <si>
    <t>1065.5417903083</t>
  </si>
  <si>
    <t>3120.19057208126</t>
  </si>
  <si>
    <t>239.819523262705</t>
  </si>
  <si>
    <t>2093.35068466452</t>
  </si>
  <si>
    <t>363.071274678332</t>
  </si>
  <si>
    <t>749.686963369965</t>
  </si>
  <si>
    <t>734.999963121998</t>
  </si>
  <si>
    <t>3110.70389079904</t>
  </si>
  <si>
    <t>1555.35194539952</t>
  </si>
  <si>
    <t>475.993103202263</t>
  </si>
  <si>
    <t>1242.24054757392</t>
  </si>
  <si>
    <t>287.288097718788</t>
  </si>
  <si>
    <t>324.370527010939</t>
  </si>
  <si>
    <t>1404.76361809287</t>
  </si>
  <si>
    <t>2784.52919341711</t>
  </si>
  <si>
    <t>400.841836557009</t>
  </si>
  <si>
    <t>1440.76330861409</t>
  </si>
  <si>
    <t>263.20662997637</t>
  </si>
  <si>
    <t>416.750394314458</t>
  </si>
  <si>
    <t>208.375197157229</t>
  </si>
  <si>
    <t>1037.89422197298</t>
  </si>
  <si>
    <t>586.024781877318</t>
  </si>
  <si>
    <t>2942.7344992106</t>
  </si>
  <si>
    <t>826.563843737981</t>
  </si>
  <si>
    <t>938.251206252996</t>
  </si>
  <si>
    <t>817.419960299978</t>
  </si>
  <si>
    <t>891.913720762494</t>
  </si>
  <si>
    <t>606.065240992726</t>
  </si>
  <si>
    <t>485.973586867216</t>
  </si>
  <si>
    <t>570.066081508378</t>
  </si>
  <si>
    <t>190.02202716946</t>
  </si>
  <si>
    <t>985.348376472035</t>
  </si>
  <si>
    <t>424.783049485868</t>
  </si>
  <si>
    <t>845.832661488965</t>
  </si>
  <si>
    <t>1209.63649018596</t>
  </si>
  <si>
    <t>2188.87291094169</t>
  </si>
  <si>
    <t>907.364489884579</t>
  </si>
  <si>
    <t>601.918221242592</t>
  </si>
  <si>
    <t>574.030911315248</t>
  </si>
  <si>
    <t>775.723965708532</t>
  </si>
  <si>
    <t>387.861982854266</t>
  </si>
  <si>
    <t>461.097825824498</t>
  </si>
  <si>
    <t>230.548912912249</t>
  </si>
  <si>
    <t>1837.77838054136</t>
  </si>
  <si>
    <t>612.592793513787</t>
  </si>
  <si>
    <t>2328.21295145339</t>
  </si>
  <si>
    <t>1198.81078782834</t>
  </si>
  <si>
    <t>599.405393914172</t>
  </si>
  <si>
    <t>1545.69020189012</t>
  </si>
  <si>
    <t>1214.77993989813</t>
  </si>
  <si>
    <t>656.908463068833</t>
  </si>
  <si>
    <t>268.653313510142</t>
  </si>
  <si>
    <t>527.57295712554</t>
  </si>
  <si>
    <t>1611.2900003967</t>
  </si>
  <si>
    <t>2172.44211239834</t>
  </si>
  <si>
    <t>1237.79965421325</t>
  </si>
  <si>
    <t>1873.10099691531</t>
  </si>
  <si>
    <t>468.275249228827</t>
  </si>
  <si>
    <t>1470.32081844612</t>
  </si>
  <si>
    <t>434.617280728715</t>
  </si>
  <si>
    <t>293.495292546881</t>
  </si>
  <si>
    <t>1579.16052887571</t>
  </si>
  <si>
    <t>786.404021442248</t>
  </si>
  <si>
    <t>5102.45792328862</t>
  </si>
  <si>
    <t>1449.80116216844</t>
  </si>
  <si>
    <t>4443.82971288734</t>
  </si>
  <si>
    <t>2221.91485644367</t>
  </si>
  <si>
    <t>891.149110044625</t>
  </si>
  <si>
    <t>1999.08835612045</t>
  </si>
  <si>
    <t>999.544178060225</t>
  </si>
  <si>
    <t>1288.54545756307</t>
  </si>
  <si>
    <t>644.272728781536</t>
  </si>
  <si>
    <t>251.15800549003</t>
  </si>
  <si>
    <t>781.692194519419</t>
  </si>
  <si>
    <t>390.84609725971</t>
  </si>
  <si>
    <t>3984.8113816064</t>
  </si>
  <si>
    <t>1328.27046053547</t>
  </si>
  <si>
    <t>548.768134309773</t>
  </si>
  <si>
    <t>2393.17367214783</t>
  </si>
  <si>
    <t>807.660108222014</t>
  </si>
  <si>
    <t>223.529611072416</t>
  </si>
  <si>
    <t>2501.78635313206</t>
  </si>
  <si>
    <t>833.928784377354</t>
  </si>
  <si>
    <t>891.814793111058</t>
  </si>
  <si>
    <t>478.543879561951</t>
  </si>
  <si>
    <t>720.598364834693</t>
  </si>
  <si>
    <t>2269.7047826529</t>
  </si>
  <si>
    <t>1060.649581055</t>
  </si>
  <si>
    <t>530.3247905275</t>
  </si>
  <si>
    <t>700.438203442341</t>
  </si>
  <si>
    <t>1629.48432063123</t>
  </si>
  <si>
    <t>1268.27511380353</t>
  </si>
  <si>
    <t>634.137556901763</t>
  </si>
  <si>
    <t>874.296113055157</t>
  </si>
  <si>
    <t>437.148056527579</t>
  </si>
  <si>
    <t>184.733026263794</t>
  </si>
  <si>
    <t>273.419540899665</t>
  </si>
  <si>
    <t>287.349654338304</t>
  </si>
  <si>
    <t>679.126269928471</t>
  </si>
  <si>
    <t>2053.36337611244</t>
  </si>
  <si>
    <t>513.34084402811</t>
  </si>
  <si>
    <t>2285.26500307388</t>
  </si>
  <si>
    <t>398.316368903509</t>
  </si>
  <si>
    <t>1420.75880365728</t>
  </si>
  <si>
    <t>892.405988438293</t>
  </si>
  <si>
    <t>1505.8891534776</t>
  </si>
  <si>
    <t>752.9445767388</t>
  </si>
  <si>
    <t>1380.6099156594</t>
  </si>
  <si>
    <t>3394.91986697257</t>
  </si>
  <si>
    <t>1079.56729377575</t>
  </si>
  <si>
    <t>794.12878229742</t>
  </si>
  <si>
    <t>602.526427076262</t>
  </si>
  <si>
    <t>3155.0724656438</t>
  </si>
  <si>
    <t>1577.5362328219</t>
  </si>
  <si>
    <t>420.61259193347</t>
  </si>
  <si>
    <t>210.306295966735</t>
  </si>
  <si>
    <t>1813.70466761085</t>
  </si>
  <si>
    <t>1652.90141521826</t>
  </si>
  <si>
    <t>826.450707609131</t>
  </si>
  <si>
    <t>276.372485579824</t>
  </si>
  <si>
    <t>1338.56917226624</t>
  </si>
  <si>
    <t>446.65416991178</t>
  </si>
  <si>
    <t>458.778871628851</t>
  </si>
  <si>
    <t>934.439233254972</t>
  </si>
  <si>
    <t>324.326968106628</t>
  </si>
  <si>
    <t>2714.30696033596</t>
  </si>
  <si>
    <t>1565.94989500152</t>
  </si>
  <si>
    <t>1340.07605309684</t>
  </si>
  <si>
    <t>181.887327720303</t>
  </si>
  <si>
    <t>327.031948212059</t>
  </si>
  <si>
    <t>163.51597410603</t>
  </si>
  <si>
    <t>1127.64643417359</t>
  </si>
  <si>
    <t>1034.43985169432</t>
  </si>
  <si>
    <t>836.729400053285</t>
  </si>
  <si>
    <t>418.364700026643</t>
  </si>
  <si>
    <t>1643.1902450173</t>
  </si>
  <si>
    <t>821.595122508648</t>
  </si>
  <si>
    <t>945.682708868865</t>
  </si>
  <si>
    <t>1033.41539808064</t>
  </si>
  <si>
    <t>517.30724873086</t>
  </si>
  <si>
    <t>736.010308291975</t>
  </si>
  <si>
    <t>1991.4874501423</t>
  </si>
  <si>
    <t>1105.04560286937</t>
  </si>
  <si>
    <t>1834.15058745518</t>
  </si>
  <si>
    <t>195.364173663948</t>
  </si>
  <si>
    <t>957.670583617108</t>
  </si>
  <si>
    <t>1481.36977965665</t>
  </si>
  <si>
    <t>493.789926552217</t>
  </si>
  <si>
    <t>1610.45028677007</t>
  </si>
  <si>
    <t>1655.02206823351</t>
  </si>
  <si>
    <t>1327.24535182388</t>
  </si>
  <si>
    <t>304.431740904285</t>
  </si>
  <si>
    <t>632.501461403775</t>
  </si>
  <si>
    <t>316.250730701887</t>
  </si>
  <si>
    <t>661.006087500875</t>
  </si>
  <si>
    <t>311.1336985816</t>
  </si>
  <si>
    <t>1114.21367880675</t>
  </si>
  <si>
    <t>557.106839403374</t>
  </si>
  <si>
    <t>402.867948381506</t>
  </si>
  <si>
    <t>979.513202854072</t>
  </si>
  <si>
    <t>601.274811426718</t>
  </si>
  <si>
    <t>2858.06120123326</t>
  </si>
  <si>
    <t>730.838705345615</t>
  </si>
  <si>
    <t>1789.59279676407</t>
  </si>
  <si>
    <t>674.202408706409</t>
  </si>
  <si>
    <t>701.3834009593</t>
  </si>
  <si>
    <t>977.817027893337</t>
  </si>
  <si>
    <t>320.063468702409</t>
  </si>
  <si>
    <t>347.906802054924</t>
  </si>
  <si>
    <t>307.437760004472</t>
  </si>
  <si>
    <t>1074.70553993507</t>
  </si>
  <si>
    <t>565.932417332944</t>
  </si>
  <si>
    <t>992.28752824879</t>
  </si>
  <si>
    <t>1155.20258741642</t>
  </si>
  <si>
    <t>577.601293708208</t>
  </si>
  <si>
    <t>1745.16832259358</t>
  </si>
  <si>
    <t>987.174280339028</t>
  </si>
  <si>
    <t>2287.59511932966</t>
  </si>
  <si>
    <t>1257.89585462969</t>
  </si>
  <si>
    <t>279.930107986454</t>
  </si>
  <si>
    <t>1121.76875627925</t>
  </si>
  <si>
    <t>968.186005733207</t>
  </si>
  <si>
    <t>1070.87389004505</t>
  </si>
  <si>
    <t>535.436945022525</t>
  </si>
  <si>
    <t>751.866212345154</t>
  </si>
  <si>
    <t>334.109804237866</t>
  </si>
  <si>
    <t>197.170905586748</t>
  </si>
  <si>
    <t>1846.87096102847</t>
  </si>
  <si>
    <t>1244.39017478435</t>
  </si>
  <si>
    <t>622.195087392175</t>
  </si>
  <si>
    <t>1607.09480649401</t>
  </si>
  <si>
    <t>803.547403247005</t>
  </si>
  <si>
    <t>711.159660912051</t>
  </si>
  <si>
    <t>675.000567661797</t>
  </si>
  <si>
    <t>541.003454464866</t>
  </si>
  <si>
    <t>270.501727232433</t>
  </si>
  <si>
    <t>371.150617868618</t>
  </si>
  <si>
    <t>6045.91078536972</t>
  </si>
  <si>
    <t>549.039494820173</t>
  </si>
  <si>
    <t>461.32856504282</t>
  </si>
  <si>
    <t>230.66428252141</t>
  </si>
  <si>
    <t>728.44028955227</t>
  </si>
  <si>
    <t>364.220144776135</t>
  </si>
  <si>
    <t>756.404535917996</t>
  </si>
  <si>
    <t>378.202267958998</t>
  </si>
  <si>
    <t>698.64390628123</t>
  </si>
  <si>
    <t>739.766199872413</t>
  </si>
  <si>
    <t>246.588733290804</t>
  </si>
  <si>
    <t>731.897732472718</t>
  </si>
  <si>
    <t>1530.95322693071</t>
  </si>
  <si>
    <t>3526.4024869637</t>
  </si>
  <si>
    <t>459.086744586632</t>
  </si>
  <si>
    <t>592.682257194427</t>
  </si>
  <si>
    <t>1111.08476772602</t>
  </si>
  <si>
    <t>452.76223993747</t>
  </si>
  <si>
    <t>594.379902774613</t>
  </si>
  <si>
    <t>2005.07371875939</t>
  </si>
  <si>
    <t>1002.53685937969</t>
  </si>
  <si>
    <t>2820.13740810194</t>
  </si>
  <si>
    <t>1410.06870405097</t>
  </si>
  <si>
    <t>503.089384393606</t>
  </si>
  <si>
    <t>1414.95052395163</t>
  </si>
  <si>
    <t>1867.24101073156</t>
  </si>
  <si>
    <t>933.620505365779</t>
  </si>
  <si>
    <t>256.251730389733</t>
  </si>
  <si>
    <t>583.548145324567</t>
  </si>
  <si>
    <t>1353.74713148598</t>
  </si>
  <si>
    <t>1987.9576298967</t>
  </si>
  <si>
    <t>993.978814948352</t>
  </si>
  <si>
    <t>628.617001004476</t>
  </si>
  <si>
    <t>1384.84612494004</t>
  </si>
  <si>
    <t>306.036004001224</t>
  </si>
  <si>
    <t>431.367165958404</t>
  </si>
  <si>
    <t>978.406917414786</t>
  </si>
  <si>
    <t>3760.71556020199</t>
  </si>
  <si>
    <t>1880.357780101</t>
  </si>
  <si>
    <t>1064.98774874556</t>
  </si>
  <si>
    <t>343.739841340521</t>
  </si>
  <si>
    <t>1221.82641957796</t>
  </si>
  <si>
    <t>1174.84337270104</t>
  </si>
  <si>
    <t>1692.98776691535</t>
  </si>
  <si>
    <t>462.226246337928</t>
  </si>
  <si>
    <t>1279.91578049371</t>
  </si>
  <si>
    <t>604.251031401311</t>
  </si>
  <si>
    <t>302.125515700656</t>
  </si>
  <si>
    <t>3963.76249463172</t>
  </si>
  <si>
    <t>293.847241971051</t>
  </si>
  <si>
    <t>339.124039163614</t>
  </si>
  <si>
    <t>285.826768074149</t>
  </si>
  <si>
    <t>3082.6276675212</t>
  </si>
  <si>
    <t>1541.3138337606</t>
  </si>
  <si>
    <t>903.506976653927</t>
  </si>
  <si>
    <t>861.048675980201</t>
  </si>
  <si>
    <t>2089.78333349716</t>
  </si>
  <si>
    <t>1044.89166674858</t>
  </si>
  <si>
    <t>510.713309729618</t>
  </si>
  <si>
    <t>1191.76710826703</t>
  </si>
  <si>
    <t>898.476879199476</t>
  </si>
  <si>
    <t>449.238439599738</t>
  </si>
  <si>
    <t>1424.84204565798</t>
  </si>
  <si>
    <t>3567.42944202877</t>
  </si>
  <si>
    <t>1783.71472101439</t>
  </si>
  <si>
    <t>1305.79982727786</t>
  </si>
  <si>
    <t>1073.01781556388</t>
  </si>
  <si>
    <t>978.74312031277</t>
  </si>
  <si>
    <t>3292.6626721556</t>
  </si>
  <si>
    <t>442.385237100682</t>
  </si>
  <si>
    <t>2220.32005353646</t>
  </si>
  <si>
    <t>454.768624998809</t>
  </si>
  <si>
    <t>4025.55158642416</t>
  </si>
  <si>
    <t>871.295736358332</t>
  </si>
  <si>
    <t>725.571645696713</t>
  </si>
  <si>
    <t>935.402454259651</t>
  </si>
  <si>
    <t>1829.20471133559</t>
  </si>
  <si>
    <t>914.602355667797</t>
  </si>
  <si>
    <t>507.831819114982</t>
  </si>
  <si>
    <t>710.381005634732</t>
  </si>
  <si>
    <t>355.190502817366</t>
  </si>
  <si>
    <t>673.501593165136</t>
  </si>
  <si>
    <t>1002.5195223656</t>
  </si>
  <si>
    <t>3402.85838272202</t>
  </si>
  <si>
    <t>1301.83952359831</t>
  </si>
  <si>
    <t>2766.73066498137</t>
  </si>
  <si>
    <t>1212.62384932508</t>
  </si>
  <si>
    <t>845.627733453042</t>
  </si>
  <si>
    <t>422.813866726521</t>
  </si>
  <si>
    <t>790.310697742839</t>
  </si>
  <si>
    <t>395.155348871419</t>
  </si>
  <si>
    <t>429.474037436062</t>
  </si>
  <si>
    <t>508.217712895773</t>
  </si>
  <si>
    <t>254.108856447887</t>
  </si>
  <si>
    <t>963.558045724134</t>
  </si>
  <si>
    <t>1425.3934757263</t>
  </si>
  <si>
    <t>712.696737863151</t>
  </si>
  <si>
    <t>961.753284095714</t>
  </si>
  <si>
    <t>931.310555095463</t>
  </si>
  <si>
    <t>814.830658852254</t>
  </si>
  <si>
    <t>1457.20615383103</t>
  </si>
  <si>
    <t>621.274153528281</t>
  </si>
  <si>
    <t>908.166773534943</t>
  </si>
  <si>
    <t>2751.9306627991</t>
  </si>
  <si>
    <t>790.687943671604</t>
  </si>
  <si>
    <t>1033.03329441282</t>
  </si>
  <si>
    <t>922.787144283933</t>
  </si>
  <si>
    <t>458.23376497538</t>
  </si>
  <si>
    <t>229.11688248769</t>
  </si>
  <si>
    <t>262.625122132718</t>
  </si>
  <si>
    <t>1048.58196785488</t>
  </si>
  <si>
    <t>863.803885877759</t>
  </si>
  <si>
    <t>1365.39783911133</t>
  </si>
  <si>
    <t>1284.29543319924</t>
  </si>
  <si>
    <t>468.212687209971</t>
  </si>
  <si>
    <t>234.106343604986</t>
  </si>
  <si>
    <t>989.153702622465</t>
  </si>
  <si>
    <t>238.303664402643</t>
  </si>
  <si>
    <t>456.736067210931</t>
  </si>
  <si>
    <t>492.995256047694</t>
  </si>
  <si>
    <t>1525.56863583095</t>
  </si>
  <si>
    <t>509.214139449441</t>
  </si>
  <si>
    <t>3265.80800708979</t>
  </si>
  <si>
    <t>1222.43054988569</t>
  </si>
  <si>
    <t>407.476849961898</t>
  </si>
  <si>
    <t>688.290492675983</t>
  </si>
  <si>
    <t>523.406368289017</t>
  </si>
  <si>
    <t>1317.60533295591</t>
  </si>
  <si>
    <t>2838.12568558607</t>
  </si>
  <si>
    <t>1108.39707975261</t>
  </si>
  <si>
    <t>809.443747615703</t>
  </si>
  <si>
    <t>754.431999833394</t>
  </si>
  <si>
    <t>443.453993647277</t>
  </si>
  <si>
    <t>429.882379467085</t>
  </si>
  <si>
    <t>512.697695021356</t>
  </si>
  <si>
    <t>256.348847510678</t>
  </si>
  <si>
    <t>711.456563655248</t>
  </si>
  <si>
    <t>1309.36338010186</t>
  </si>
  <si>
    <t>623.562286846312</t>
  </si>
  <si>
    <t>963.835067680875</t>
  </si>
  <si>
    <t>481.917533840437</t>
  </si>
  <si>
    <t>301.226999771682</t>
  </si>
  <si>
    <t>597.614878054333</t>
  </si>
  <si>
    <t>550.134757591736</t>
  </si>
  <si>
    <t>2526.76042088265</t>
  </si>
  <si>
    <t>1921.49115670557</t>
  </si>
  <si>
    <t>572.892244912171</t>
  </si>
  <si>
    <t>1715.15323444113</t>
  </si>
  <si>
    <t>275.038016212302</t>
  </si>
  <si>
    <t>137.519008106151</t>
  </si>
  <si>
    <t>500.319826790791</t>
  </si>
  <si>
    <t>866.725331970579</t>
  </si>
  <si>
    <t>6202.92209458472</t>
  </si>
  <si>
    <t>3101.46104729236</t>
  </si>
  <si>
    <t>1340.62371369225</t>
  </si>
  <si>
    <t>191.813360558492</t>
  </si>
  <si>
    <t>735.72596028966</t>
  </si>
  <si>
    <t>217.929109830479</t>
  </si>
  <si>
    <t>3212.7025482317</t>
  </si>
  <si>
    <t>1126.29287358896</t>
  </si>
  <si>
    <t>375.430957862988</t>
  </si>
  <si>
    <t>1224.13963754045</t>
  </si>
  <si>
    <t>612.069818770225</t>
  </si>
  <si>
    <t>1104.76476707576</t>
  </si>
  <si>
    <t>854.679412355373</t>
  </si>
  <si>
    <t>427.339706177687</t>
  </si>
  <si>
    <t>332.880278723391</t>
  </si>
  <si>
    <t>2845.72090171089</t>
  </si>
  <si>
    <t>490.769044376855</t>
  </si>
  <si>
    <t>966.722060221716</t>
  </si>
  <si>
    <t>823.421106119365</t>
  </si>
  <si>
    <t>411.710553059683</t>
  </si>
  <si>
    <t>1086.33816988719</t>
  </si>
  <si>
    <t>1332.79341231674</t>
  </si>
  <si>
    <t>908.448583099918</t>
  </si>
  <si>
    <t>377.58861426253</t>
  </si>
  <si>
    <t>188.794307131265</t>
  </si>
  <si>
    <t>169.523219591402</t>
  </si>
  <si>
    <t>326.161759162786</t>
  </si>
  <si>
    <t>1429.01901292477</t>
  </si>
  <si>
    <t>719.999578054692</t>
  </si>
  <si>
    <t>317.320306008198</t>
  </si>
  <si>
    <t>758.628405551364</t>
  </si>
  <si>
    <t>252.876135183788</t>
  </si>
  <si>
    <t>609.0082636894</t>
  </si>
  <si>
    <t>1228.19313585025</t>
  </si>
  <si>
    <t>614.096567925125</t>
  </si>
  <si>
    <t>1529.23497659446</t>
  </si>
  <si>
    <t>533.707160558286</t>
  </si>
  <si>
    <t>711.722068015562</t>
  </si>
  <si>
    <t>355.861034007781</t>
  </si>
  <si>
    <t>140.645973300691</t>
  </si>
  <si>
    <t>3168.30193471542</t>
  </si>
  <si>
    <t>1584.15096735771</t>
  </si>
  <si>
    <t>1734.46986603867</t>
  </si>
  <si>
    <t>410.747985204877</t>
  </si>
  <si>
    <t>653.923782718612</t>
  </si>
  <si>
    <t>104.58552001295</t>
  </si>
  <si>
    <t>6304.41761277047</t>
  </si>
  <si>
    <t>2101.47253759016</t>
  </si>
  <si>
    <t>284.33374673549</t>
  </si>
  <si>
    <t>142.166873367745</t>
  </si>
  <si>
    <t>1072.02050664</t>
  </si>
  <si>
    <t>1557.40788782225</t>
  </si>
  <si>
    <t>353.416359717525</t>
  </si>
  <si>
    <t>364.329058019952</t>
  </si>
  <si>
    <t>626.742686022121</t>
  </si>
  <si>
    <t>879.230730786631</t>
  </si>
  <si>
    <t>439.615365393315</t>
  </si>
  <si>
    <t>512.210898522188</t>
  </si>
  <si>
    <t>1588.74150110809</t>
  </si>
  <si>
    <t>794.370750554046</t>
  </si>
  <si>
    <t>580.493445846357</t>
  </si>
  <si>
    <t>599.172076848152</t>
  </si>
  <si>
    <t>557.627314857691</t>
  </si>
  <si>
    <t>609.316250155249</t>
  </si>
  <si>
    <t>897.858383135681</t>
  </si>
  <si>
    <t>355.942424331661</t>
  </si>
  <si>
    <t>499.606988247962</t>
  </si>
  <si>
    <t>791.355668175657</t>
  </si>
  <si>
    <t>577.855753674055</t>
  </si>
  <si>
    <t>766.985674593824</t>
  </si>
  <si>
    <t>739.123480787991</t>
  </si>
  <si>
    <t>2552.70112503035</t>
  </si>
  <si>
    <t>603.824418084231</t>
  </si>
  <si>
    <t>1080.03995498382</t>
  </si>
  <si>
    <t>540.019977491909</t>
  </si>
  <si>
    <t>812.595803563848</t>
  </si>
  <si>
    <t>406.297901781924</t>
  </si>
  <si>
    <t>555.382975126377</t>
  </si>
  <si>
    <t>777.608210912475</t>
  </si>
  <si>
    <t>1987.4410512341</t>
  </si>
  <si>
    <t>561.43015336439</t>
  </si>
  <si>
    <t>187.143384454797</t>
  </si>
  <si>
    <t>383.492940799762</t>
  </si>
  <si>
    <t>1020.09391536428</t>
  </si>
  <si>
    <t>2808.23328563484</t>
  </si>
  <si>
    <t>1302.43179271685</t>
  </si>
  <si>
    <t>2467.26096500813</t>
  </si>
  <si>
    <t>1010.51237092359</t>
  </si>
  <si>
    <t>505.256185461794</t>
  </si>
  <si>
    <t>520.651609046454</t>
  </si>
  <si>
    <t>532.119151425602</t>
  </si>
  <si>
    <t>757.067379232838</t>
  </si>
  <si>
    <t>948.236576602469</t>
  </si>
  <si>
    <t>442.692165302438</t>
  </si>
  <si>
    <t>221.346082651219</t>
  </si>
  <si>
    <t>877.909742683788</t>
  </si>
  <si>
    <t>968.114646502571</t>
  </si>
  <si>
    <t>592.980024871329</t>
  </si>
  <si>
    <t>469.333515540889</t>
  </si>
  <si>
    <t>1859.04116967447</t>
  </si>
  <si>
    <t>929.520584837233</t>
  </si>
  <si>
    <t>737.692455044047</t>
  </si>
  <si>
    <t>518.412232012564</t>
  </si>
  <si>
    <t>796.887925922012</t>
  </si>
  <si>
    <t>398.443962961006</t>
  </si>
  <si>
    <t>913.253487716453</t>
  </si>
  <si>
    <t>834.818958323433</t>
  </si>
  <si>
    <t>2301.61849522508</t>
  </si>
  <si>
    <t>3873.18347084714</t>
  </si>
  <si>
    <t>1936.59173542357</t>
  </si>
  <si>
    <t>1740.8999767022</t>
  </si>
  <si>
    <t>487.54973699565</t>
  </si>
  <si>
    <t>1493.31094219061</t>
  </si>
  <si>
    <t>507.560550236243</t>
  </si>
  <si>
    <t>839.483540297556</t>
  </si>
  <si>
    <t>2172.85447811766</t>
  </si>
  <si>
    <t>1936.32182976357</t>
  </si>
  <si>
    <t>1395.29357807635</t>
  </si>
  <si>
    <t>465.097859358783</t>
  </si>
  <si>
    <t>942.761734195516</t>
  </si>
  <si>
    <t>471.380867097758</t>
  </si>
  <si>
    <t>2123.98576271</t>
  </si>
  <si>
    <t>707.995254236667</t>
  </si>
  <si>
    <t>2764.03193877419</t>
  </si>
  <si>
    <t>1382.0159693871</t>
  </si>
  <si>
    <t>794.970548742643</t>
  </si>
  <si>
    <t>2190.91798086583</t>
  </si>
  <si>
    <t>864.634193631905</t>
  </si>
  <si>
    <t>1460.78423231061</t>
  </si>
  <si>
    <t>1506.8286952601</t>
  </si>
  <si>
    <t>525.841319179209</t>
  </si>
  <si>
    <t>262.920659589605</t>
  </si>
  <si>
    <t>1247.74517148068</t>
  </si>
  <si>
    <t>2925.63904845939</t>
  </si>
  <si>
    <t>2188.55010492867</t>
  </si>
  <si>
    <t>948.624440783556</t>
  </si>
  <si>
    <t>371.484200834584</t>
  </si>
  <si>
    <t>631.624254093169</t>
  </si>
  <si>
    <t>315.812127046584</t>
  </si>
  <si>
    <t>542.415674666061</t>
  </si>
  <si>
    <t>570.708280209448</t>
  </si>
  <si>
    <t>285.354140104724</t>
  </si>
  <si>
    <t>963.192151231576</t>
  </si>
  <si>
    <t>1141.76704203126</t>
  </si>
  <si>
    <t>2782.63929365878</t>
  </si>
  <si>
    <t>808.101818904659</t>
  </si>
  <si>
    <t>1965.3326759846</t>
  </si>
  <si>
    <t>982.6663379923</t>
  </si>
  <si>
    <t>971.647694170232</t>
  </si>
  <si>
    <t>485.823847085116</t>
  </si>
  <si>
    <t>1313.57423247596</t>
  </si>
  <si>
    <t>1381.98710989435</t>
  </si>
  <si>
    <t>345.496777473588</t>
  </si>
  <si>
    <t>891.774196770025</t>
  </si>
  <si>
    <t>536.953424688337</t>
  </si>
  <si>
    <t>466.767835568118</t>
  </si>
  <si>
    <t>2013.92553429797</t>
  </si>
  <si>
    <t>1006.96276714899</t>
  </si>
  <si>
    <t>492.345437652964</t>
  </si>
  <si>
    <t>468.297252167766</t>
  </si>
  <si>
    <t>3321.28801966495</t>
  </si>
  <si>
    <t>2482.1546151334</t>
  </si>
  <si>
    <t>927.479721102213</t>
  </si>
  <si>
    <t>820.31385418854</t>
  </si>
  <si>
    <t>547.721330750212</t>
  </si>
  <si>
    <t>182.573776916737</t>
  </si>
  <si>
    <t>709.204192022657</t>
  </si>
  <si>
    <t>354.602096011329</t>
  </si>
  <si>
    <t>1837.16319615941</t>
  </si>
  <si>
    <t>598.181443603868</t>
  </si>
  <si>
    <t>299.090721801934</t>
  </si>
  <si>
    <t>1103.90617925648</t>
  </si>
  <si>
    <t>922.834591574495</t>
  </si>
  <si>
    <t>1392.9916006127</t>
  </si>
  <si>
    <t>1582.89453450525</t>
  </si>
  <si>
    <t>450.619886922132</t>
  </si>
  <si>
    <t>1145.03449256801</t>
  </si>
  <si>
    <t>616.169757480907</t>
  </si>
  <si>
    <t>1990.37075521032</t>
  </si>
  <si>
    <t>995.185377605159</t>
  </si>
  <si>
    <t>1665.93265945231</t>
  </si>
  <si>
    <t>276.698792380955</t>
  </si>
  <si>
    <t>376.900399411</t>
  </si>
  <si>
    <t>1662.36767278867</t>
  </si>
  <si>
    <t>649.985776863965</t>
  </si>
  <si>
    <t>439.150748411266</t>
  </si>
  <si>
    <t>219.575374205633</t>
  </si>
  <si>
    <t>487.645537025954</t>
  </si>
  <si>
    <t>5386.64983754375</t>
  </si>
  <si>
    <t>503.33334553581</t>
  </si>
  <si>
    <t>5404.11109913386</t>
  </si>
  <si>
    <t>1801.37036637795</t>
  </si>
  <si>
    <t>838.073012143659</t>
  </si>
  <si>
    <t>851.918996445963</t>
  </si>
  <si>
    <t>3203.45687791179</t>
  </si>
  <si>
    <t>1601.7284389559</t>
  </si>
  <si>
    <t>307.401956752779</t>
  </si>
  <si>
    <t>1574.04618197666</t>
  </si>
  <si>
    <t>515.50488854652</t>
  </si>
  <si>
    <t>656.430222857652</t>
  </si>
  <si>
    <t>1253.24098385001</t>
  </si>
  <si>
    <t>626.620491925004</t>
  </si>
  <si>
    <t>2913.66519585805</t>
  </si>
  <si>
    <t>1321.35911316479</t>
  </si>
  <si>
    <t>949.272728383133</t>
  </si>
  <si>
    <t>2462.47614783817</t>
  </si>
  <si>
    <t>1231.23807391908</t>
  </si>
  <si>
    <t>1712.42486608398</t>
  </si>
  <si>
    <t>940.889434918333</t>
  </si>
  <si>
    <t>991.753514434277</t>
  </si>
  <si>
    <t>1056.78293289634</t>
  </si>
  <si>
    <t>5001.79992444329</t>
  </si>
  <si>
    <t>2500.89996222165</t>
  </si>
  <si>
    <t>530.446244870847</t>
  </si>
  <si>
    <t>1196.17942967598</t>
  </si>
  <si>
    <t>958.007474028032</t>
  </si>
  <si>
    <t>842.83535573894</t>
  </si>
  <si>
    <t>1916.42432607113</t>
  </si>
  <si>
    <t>2264.40167062092</t>
  </si>
  <si>
    <t>640.204245285343</t>
  </si>
  <si>
    <t>1007.51850686189</t>
  </si>
  <si>
    <t>503.759253430947</t>
  </si>
  <si>
    <t>519.824541551325</t>
  </si>
  <si>
    <t>4245.28073742146</t>
  </si>
  <si>
    <t>1701.33349946126</t>
  </si>
  <si>
    <t>911.898500102536</t>
  </si>
  <si>
    <t>1179.16480741488</t>
  </si>
  <si>
    <t>589.582403707441</t>
  </si>
  <si>
    <t>856.417394358062</t>
  </si>
  <si>
    <t>1964.66961007358</t>
  </si>
  <si>
    <t>982.33480503679</t>
  </si>
  <si>
    <t>904.25555546953</t>
  </si>
  <si>
    <t>679.09341090198</t>
  </si>
  <si>
    <t>809.323144798336</t>
  </si>
  <si>
    <t>1167.83364222916</t>
  </si>
  <si>
    <t>532.139539930895</t>
  </si>
  <si>
    <t>1446.31897338639</t>
  </si>
  <si>
    <t>450.842366834195</t>
  </si>
  <si>
    <t>627.630525171365</t>
  </si>
  <si>
    <t>567.322090454704</t>
  </si>
  <si>
    <t>1299.69614222138</t>
  </si>
  <si>
    <t>1049.90373950959</t>
  </si>
  <si>
    <t>524.951869754797</t>
  </si>
  <si>
    <t>282.034145931428</t>
  </si>
  <si>
    <t>1607.26456114526</t>
  </si>
  <si>
    <t>535.754853715085</t>
  </si>
  <si>
    <t>1607.26456114525</t>
  </si>
  <si>
    <t>967.851562355659</t>
  </si>
  <si>
    <t>4269.94517752047</t>
  </si>
  <si>
    <t>2134.97258876023</t>
  </si>
  <si>
    <t>612.514210929098</t>
  </si>
  <si>
    <t>615.984562407968</t>
  </si>
  <si>
    <t>1862.3881220341</t>
  </si>
  <si>
    <t>2379.79320974566</t>
  </si>
  <si>
    <t>951.7742344</t>
  </si>
  <si>
    <t>475.8871172</t>
  </si>
  <si>
    <t>771.205993836168</t>
  </si>
  <si>
    <t>495.42196316399</t>
  </si>
  <si>
    <t>612.320840204158</t>
  </si>
  <si>
    <t>1476.99762399927</t>
  </si>
  <si>
    <t>738.498811999634</t>
  </si>
  <si>
    <t>1501.40564587484</t>
  </si>
  <si>
    <t>708.465028089039</t>
  </si>
  <si>
    <t>328.337168656319</t>
  </si>
  <si>
    <t>1068.07390108545</t>
  </si>
  <si>
    <t>534.036950542723</t>
  </si>
  <si>
    <t>940.483454715212</t>
  </si>
  <si>
    <t>924.917266448626</t>
  </si>
  <si>
    <t>308.305755482875</t>
  </si>
  <si>
    <t>3346.01768831027</t>
  </si>
  <si>
    <t>539.779865826197</t>
  </si>
  <si>
    <t>269.889932913098</t>
  </si>
  <si>
    <t>4407.57759122872</t>
  </si>
  <si>
    <t>1852.55003408204</t>
  </si>
  <si>
    <t>2481.07286079982</t>
  </si>
  <si>
    <t>1240.53643039991</t>
  </si>
  <si>
    <t>657.745902674089</t>
  </si>
  <si>
    <t>4596.46863310661</t>
  </si>
  <si>
    <t>702.208994188558</t>
  </si>
  <si>
    <t>2036.01248832139</t>
  </si>
  <si>
    <t>689.440892873019</t>
  </si>
  <si>
    <t>514.554049595271</t>
  </si>
  <si>
    <t>861.598469118824</t>
  </si>
  <si>
    <t>1681.61952619584</t>
  </si>
  <si>
    <t>1146.55279772566</t>
  </si>
  <si>
    <t>1290.43624010607</t>
  </si>
  <si>
    <t>316.128319224408</t>
  </si>
  <si>
    <t>817.097032050257</t>
  </si>
  <si>
    <t>897.829463238975</t>
  </si>
  <si>
    <t>3300.70287429598</t>
  </si>
  <si>
    <t>1126.20969048304</t>
  </si>
  <si>
    <t>650.73494423072</t>
  </si>
  <si>
    <t>325.36747211536</t>
  </si>
  <si>
    <t>1742.42299029896</t>
  </si>
  <si>
    <t>2073.87179909322</t>
  </si>
  <si>
    <t>1736.81566666728</t>
  </si>
  <si>
    <t>868.407833333642</t>
  </si>
  <si>
    <t>1522.90678178942</t>
  </si>
  <si>
    <t>634.672230468105</t>
  </si>
  <si>
    <t>532.768744277884</t>
  </si>
  <si>
    <t>2026.66557150843</t>
  </si>
  <si>
    <t>1013.33278575422</t>
  </si>
  <si>
    <t>688.8005619757</t>
  </si>
  <si>
    <t>426.641623891606</t>
  </si>
  <si>
    <t>213.320811945803</t>
  </si>
  <si>
    <t>820.998628255094</t>
  </si>
  <si>
    <t>1076.33144515474</t>
  </si>
  <si>
    <t>538.165722577372</t>
  </si>
  <si>
    <t>1191.57635956149</t>
  </si>
  <si>
    <t>1404.93537087453</t>
  </si>
  <si>
    <t>377.225155966763</t>
  </si>
  <si>
    <t>1165.31522167657</t>
  </si>
  <si>
    <t>322.330875145061</t>
  </si>
  <si>
    <t>509.850768034694</t>
  </si>
  <si>
    <t>909.251388371071</t>
  </si>
  <si>
    <t>454.625694185535</t>
  </si>
  <si>
    <t>428.108096987831</t>
  </si>
  <si>
    <t>894.83388343979</t>
  </si>
  <si>
    <t>337.785228346385</t>
  </si>
  <si>
    <t>192.820326845356</t>
  </si>
  <si>
    <t>367.426141445177</t>
  </si>
  <si>
    <t>1703.30443405152</t>
  </si>
  <si>
    <t>219.963436159941</t>
  </si>
  <si>
    <t>496.006304959667</t>
  </si>
  <si>
    <t>350.097477478375</t>
  </si>
  <si>
    <t>1045.61623584234</t>
  </si>
  <si>
    <t>2480.10937911348</t>
  </si>
  <si>
    <t>1592.46806823636</t>
  </si>
  <si>
    <t>796.234034118179</t>
  </si>
  <si>
    <t>623.491348244901</t>
  </si>
  <si>
    <t>736.874591496617</t>
  </si>
  <si>
    <t>3790.1227398616</t>
  </si>
  <si>
    <t>1901.74147715369</t>
  </si>
  <si>
    <t>633.913825717897</t>
  </si>
  <si>
    <t>459.724362421698</t>
  </si>
  <si>
    <t>2046.22695680294</t>
  </si>
  <si>
    <t>1023.11347840147</t>
  </si>
  <si>
    <t>2422.15304676169</t>
  </si>
  <si>
    <t>1211.07652338084</t>
  </si>
  <si>
    <t>726.606260006391</t>
  </si>
  <si>
    <t>447.854804129862</t>
  </si>
  <si>
    <t>817.244677919823</t>
  </si>
  <si>
    <t>854.599351480547</t>
  </si>
  <si>
    <t>1756.88022500415</t>
  </si>
  <si>
    <t>767.208767532245</t>
  </si>
  <si>
    <t>464.237888284662</t>
  </si>
  <si>
    <t>2058.84476395396</t>
  </si>
  <si>
    <t>209.262932698812</t>
  </si>
  <si>
    <t>2486.06245411837</t>
  </si>
  <si>
    <t>1090.13279702842</t>
  </si>
  <si>
    <t>806.397685536938</t>
  </si>
  <si>
    <t>1333.48081546417</t>
  </si>
  <si>
    <t>844.716748792648</t>
  </si>
  <si>
    <t>743.40661261797</t>
  </si>
  <si>
    <t>897.192322820198</t>
  </si>
  <si>
    <t>448.596161410099</t>
  </si>
  <si>
    <t>2429.40935295129</t>
  </si>
  <si>
    <t>1351.03438230108</t>
  </si>
  <si>
    <t>675.517191150539</t>
  </si>
  <si>
    <t>770.458314333836</t>
  </si>
  <si>
    <t>654.028359097134</t>
  </si>
  <si>
    <t>400.969434527596</t>
  </si>
  <si>
    <t>549.53094499433</t>
  </si>
  <si>
    <t>1686.74366640556</t>
  </si>
  <si>
    <t>838.388318343082</t>
  </si>
  <si>
    <t>419.194159171541</t>
  </si>
  <si>
    <t>495.206769929439</t>
  </si>
  <si>
    <t>881.962799557161</t>
  </si>
  <si>
    <t>394.821151496776</t>
  </si>
  <si>
    <t>1539.72257234551</t>
  </si>
  <si>
    <t>769.861286172756</t>
  </si>
  <si>
    <t>859.534674882692</t>
  </si>
  <si>
    <t>429.767337441346</t>
  </si>
  <si>
    <t>422.012839667908</t>
  </si>
  <si>
    <t>1099.0605752995</t>
  </si>
  <si>
    <t>727.081323552854</t>
  </si>
  <si>
    <t>363.540661776427</t>
  </si>
  <si>
    <t>444.226040736865</t>
  </si>
  <si>
    <t>1128.61795245668</t>
  </si>
  <si>
    <t>799.343138111213</t>
  </si>
  <si>
    <t>1586.23318976816</t>
  </si>
  <si>
    <t>1163.03249058682</t>
  </si>
  <si>
    <t>581.516245293412</t>
  </si>
  <si>
    <t>735.823681361259</t>
  </si>
  <si>
    <t>4021.4992738418</t>
  </si>
  <si>
    <t>2010.7496369209</t>
  </si>
  <si>
    <t>1156.97977755753</t>
  </si>
  <si>
    <t>1432.72988986877</t>
  </si>
  <si>
    <t>974.316083867758</t>
  </si>
  <si>
    <t>447.546582397264</t>
  </si>
  <si>
    <t>521.044346331399</t>
  </si>
  <si>
    <t>260.5221731657</t>
  </si>
  <si>
    <t>361.694939392438</t>
  </si>
  <si>
    <t>1524.3831401671</t>
  </si>
  <si>
    <t>1933.99168290141</t>
  </si>
  <si>
    <t>644.663894300469</t>
  </si>
  <si>
    <t>1223.46317965103</t>
  </si>
  <si>
    <t>2096.81825789113</t>
  </si>
  <si>
    <t>422.843451559354</t>
  </si>
  <si>
    <t>503.42341629091</t>
  </si>
  <si>
    <t>1982.55012338866</t>
  </si>
  <si>
    <t>764.415188221665</t>
  </si>
  <si>
    <t>1620.66610108296</t>
  </si>
  <si>
    <t>810.33305054148</t>
  </si>
  <si>
    <t>316.406068087613</t>
  </si>
  <si>
    <t>158.203034043807</t>
  </si>
  <si>
    <t>1946.00611822732</t>
  </si>
  <si>
    <t>648.668706075775</t>
  </si>
  <si>
    <t>539.361173110254</t>
  </si>
  <si>
    <t>6178.4430210025</t>
  </si>
  <si>
    <t>3089.22151050125</t>
  </si>
  <si>
    <t>1121.96243171897</t>
  </si>
  <si>
    <t>1344.36199968177</t>
  </si>
  <si>
    <t>610.074343986444</t>
  </si>
  <si>
    <t>1928.69678576348</t>
  </si>
  <si>
    <t>1136.87739294519</t>
  </si>
  <si>
    <t>1458.9783606416</t>
  </si>
  <si>
    <t>1063.01469029861</t>
  </si>
  <si>
    <t>1874.39183442461</t>
  </si>
  <si>
    <t>937.195917212307</t>
  </si>
  <si>
    <t>4064.3338652041</t>
  </si>
  <si>
    <t>487.189138958915</t>
  </si>
  <si>
    <t>243.594569479457</t>
  </si>
  <si>
    <t>1395.78194577263</t>
  </si>
  <si>
    <t>199.618396930298</t>
  </si>
  <si>
    <t>1326.34547129505</t>
  </si>
  <si>
    <t>663.172735647527</t>
  </si>
  <si>
    <t>491.271444357875</t>
  </si>
  <si>
    <t>1908.08696981941</t>
  </si>
  <si>
    <t>2225.77551410786</t>
  </si>
  <si>
    <t>812.787866519635</t>
  </si>
  <si>
    <t>1076.3775807713</t>
  </si>
  <si>
    <t>1191.18017945706</t>
  </si>
  <si>
    <t>385.129303804935</t>
  </si>
  <si>
    <t>2401.10707798248</t>
  </si>
  <si>
    <t>1200.55353899124</t>
  </si>
  <si>
    <t>912.861515889316</t>
  </si>
  <si>
    <t>576.997279808548</t>
  </si>
  <si>
    <t>288.498639904274</t>
  </si>
  <si>
    <t>820.950079519435</t>
  </si>
  <si>
    <t>410.475039759717</t>
  </si>
  <si>
    <t>720.841770806989</t>
  </si>
  <si>
    <t>2518.84887827361</t>
  </si>
  <si>
    <t>1303.24894012019</t>
  </si>
  <si>
    <t>434.416313373398</t>
  </si>
  <si>
    <t>1285.62971517676</t>
  </si>
  <si>
    <t>421.341142670474</t>
  </si>
  <si>
    <t>2316.81369966209</t>
  </si>
  <si>
    <t>2389.56172123033</t>
  </si>
  <si>
    <t>1194.78086061517</t>
  </si>
  <si>
    <t>868.445572304948</t>
  </si>
  <si>
    <t>434.222786152474</t>
  </si>
  <si>
    <t>2378.3791195547</t>
  </si>
  <si>
    <t>2255.96198088644</t>
  </si>
  <si>
    <t>1162.91802313919</t>
  </si>
  <si>
    <t>387.639341046397</t>
  </si>
  <si>
    <t>902.569084629569</t>
  </si>
  <si>
    <t>451.284542314785</t>
  </si>
  <si>
    <t>1506.0401998709</t>
  </si>
  <si>
    <t>544.919259872101</t>
  </si>
  <si>
    <t>3698.68918307247</t>
  </si>
  <si>
    <t>1631.46973285998</t>
  </si>
  <si>
    <t>866.599994618254</t>
  </si>
  <si>
    <t>704.361992138123</t>
  </si>
  <si>
    <t>352.180996069061</t>
  </si>
  <si>
    <t>1375.38982979082</t>
  </si>
  <si>
    <t>1919.6562780661</t>
  </si>
  <si>
    <t>959.828139033051</t>
  </si>
  <si>
    <t>3276.39113227755</t>
  </si>
  <si>
    <t>991.821399264474</t>
  </si>
  <si>
    <t>712.290478692223</t>
  </si>
  <si>
    <t>356.145239346111</t>
  </si>
  <si>
    <t>2459.6686522212</t>
  </si>
  <si>
    <t>1794.96327462034</t>
  </si>
  <si>
    <t>8479.06615160001</t>
  </si>
  <si>
    <t>4239.5330758</t>
  </si>
  <si>
    <t>544.803105895174</t>
  </si>
  <si>
    <t>1262.67485526334</t>
  </si>
  <si>
    <t>1193.56994020392</t>
  </si>
  <si>
    <t>279.540379958104</t>
  </si>
  <si>
    <t>1717.78070212019</t>
  </si>
  <si>
    <t>3251.68800159488</t>
  </si>
  <si>
    <t>1625.84400079744</t>
  </si>
  <si>
    <t>2008.89810765604</t>
  </si>
  <si>
    <t>1004.44905382802</t>
  </si>
  <si>
    <t>965.003353676595</t>
  </si>
  <si>
    <t>482.501676838297</t>
  </si>
  <si>
    <t>744.746980580034</t>
  </si>
  <si>
    <t>1264.14649772666</t>
  </si>
  <si>
    <t>632.07324886333</t>
  </si>
  <si>
    <t>404.238566684553</t>
  </si>
  <si>
    <t>2264.01083593778</t>
  </si>
  <si>
    <t>2282.06767607941</t>
  </si>
  <si>
    <t>1566.26151548134</t>
  </si>
  <si>
    <t>783.130757740672</t>
  </si>
  <si>
    <t>702.290475459814</t>
  </si>
  <si>
    <t>730.056722508356</t>
  </si>
  <si>
    <t>365.028361254178</t>
  </si>
  <si>
    <t>1091.56532915904</t>
  </si>
  <si>
    <t>545.78266457952</t>
  </si>
  <si>
    <t>919.882333469659</t>
  </si>
  <si>
    <t>1141.97059417045</t>
  </si>
  <si>
    <t>1146.62023973791</t>
  </si>
  <si>
    <t>2433.14810184331</t>
  </si>
  <si>
    <t>948.042306119781</t>
  </si>
  <si>
    <t>1355.806691554</t>
  </si>
  <si>
    <t>1035.21985314946</t>
  </si>
  <si>
    <t>1275.91874576164</t>
  </si>
  <si>
    <t>1666.69991124946</t>
  </si>
  <si>
    <t>1329.88452151166</t>
  </si>
  <si>
    <t>791.894365980053</t>
  </si>
  <si>
    <t>1070.48746610408</t>
  </si>
  <si>
    <t>535.243733052039</t>
  </si>
  <si>
    <t>932.28209627664</t>
  </si>
  <si>
    <t>1030.98755384561</t>
  </si>
  <si>
    <t>1809.89191776138</t>
  </si>
  <si>
    <t>769.80202453356</t>
  </si>
  <si>
    <t>553.726326306474</t>
  </si>
  <si>
    <t>1863.57549500047</t>
  </si>
  <si>
    <t>609.243565674237</t>
  </si>
  <si>
    <t>1080.34324996803</t>
  </si>
  <si>
    <t>1825.30763598247</t>
  </si>
  <si>
    <t>872.050012486561</t>
  </si>
  <si>
    <t>436.02500624328</t>
  </si>
  <si>
    <t>330.278905863344</t>
  </si>
  <si>
    <t>594.618155193264</t>
  </si>
  <si>
    <t>1189.0423338762</t>
  </si>
  <si>
    <t>1326.36566818426</t>
  </si>
  <si>
    <t>1241.23735631489</t>
  </si>
  <si>
    <t>1066.99476860618</t>
  </si>
  <si>
    <t>1307.26389107771</t>
  </si>
  <si>
    <t>1132.13580530597</t>
  </si>
  <si>
    <t>796.166162748542</t>
  </si>
  <si>
    <t>1449.7410212383</t>
  </si>
  <si>
    <t>358.690130759317</t>
  </si>
  <si>
    <t>1332.58429436622</t>
  </si>
  <si>
    <t>530.569340741304</t>
  </si>
  <si>
    <t>828.646254828512</t>
  </si>
  <si>
    <t>1509.05580762062</t>
  </si>
  <si>
    <t>1027.18204598677</t>
  </si>
  <si>
    <t>473.944593654511</t>
  </si>
  <si>
    <t>417.949006303182</t>
  </si>
  <si>
    <t>208.974503151591</t>
  </si>
  <si>
    <t>710.540021026481</t>
  </si>
  <si>
    <t>852.457512636599</t>
  </si>
  <si>
    <t>426.2287563183</t>
  </si>
  <si>
    <t>621.816767163815</t>
  </si>
  <si>
    <t>1074.16012464622</t>
  </si>
  <si>
    <t>3916.44418878986</t>
  </si>
  <si>
    <t>949.598027303824</t>
  </si>
  <si>
    <t>675.169853148272</t>
  </si>
  <si>
    <t>2598.33252980695</t>
  </si>
  <si>
    <t>647.746583234889</t>
  </si>
  <si>
    <t>1742.35842386875</t>
  </si>
  <si>
    <t>871.179211934376</t>
  </si>
  <si>
    <t>782.061901279138</t>
  </si>
  <si>
    <t>918.95665077472</t>
  </si>
  <si>
    <t>459.47832538736</t>
  </si>
  <si>
    <t>459.374930083618</t>
  </si>
  <si>
    <t>935.334215190348</t>
  </si>
  <si>
    <t>1342.16776513101</t>
  </si>
  <si>
    <t>1544.71338580309</t>
  </si>
  <si>
    <t>1405.69519318176</t>
  </si>
  <si>
    <t>1188.82648641882</t>
  </si>
  <si>
    <t>583.657501480688</t>
  </si>
  <si>
    <t>795.666669702514</t>
  </si>
  <si>
    <t>501.067979252121</t>
  </si>
  <si>
    <t>1292.84193351405</t>
  </si>
  <si>
    <t>1098.50148896874</t>
  </si>
  <si>
    <t>550.73462608146</t>
  </si>
  <si>
    <t>1109.99843895931</t>
  </si>
  <si>
    <t>630.892899631906</t>
  </si>
  <si>
    <t>350.459389527338</t>
  </si>
  <si>
    <t>676.990779240502</t>
  </si>
  <si>
    <t>3042.28382435511</t>
  </si>
  <si>
    <t>845.132161837052</t>
  </si>
  <si>
    <t>1513.25404057405</t>
  </si>
  <si>
    <t>756.627020287026</t>
  </si>
  <si>
    <t>861.471371482149</t>
  </si>
  <si>
    <t>406.600033692311</t>
  </si>
  <si>
    <t>203.300016846156</t>
  </si>
  <si>
    <t>320.887952109474</t>
  </si>
  <si>
    <t>337.123919008929</t>
  </si>
  <si>
    <t>3491.55931820934</t>
  </si>
  <si>
    <t>430.41113966768</t>
  </si>
  <si>
    <t>747.051402560632</t>
  </si>
  <si>
    <t>567.303369816412</t>
  </si>
  <si>
    <t>283.651684908206</t>
  </si>
  <si>
    <t>1224.14453840875</t>
  </si>
  <si>
    <t>951.42919207908</t>
  </si>
  <si>
    <t>475.71459603954</t>
  </si>
  <si>
    <t>2355.30289718461</t>
  </si>
  <si>
    <t>1177.6514485923</t>
  </si>
  <si>
    <t>459.051111406957</t>
  </si>
  <si>
    <t>730.207022754902</t>
  </si>
  <si>
    <t>3286.97918907663</t>
  </si>
  <si>
    <t>696.543948568791</t>
  </si>
  <si>
    <t>1368.30782190359</t>
  </si>
  <si>
    <t>810.054917950491</t>
  </si>
  <si>
    <t>640.747419955579</t>
  </si>
  <si>
    <t>2528.30367806916</t>
  </si>
  <si>
    <t>1264.15183903458</t>
  </si>
  <si>
    <t>3552.07772486998</t>
  </si>
  <si>
    <t>1776.03886243499</t>
  </si>
  <si>
    <t>572.707521834792</t>
  </si>
  <si>
    <t>1042.43359041696</t>
  </si>
  <si>
    <t>602.404904819245</t>
  </si>
  <si>
    <t>301.202452409622</t>
  </si>
  <si>
    <t>2633.1957839384</t>
  </si>
  <si>
    <t>673.577257384082</t>
  </si>
  <si>
    <t>590.276587737046</t>
  </si>
  <si>
    <t>261.059394028893</t>
  </si>
  <si>
    <t>2231.95805184042</t>
  </si>
  <si>
    <t>2331.54213202934</t>
  </si>
  <si>
    <t>1546.08268018345</t>
  </si>
  <si>
    <t>1423.62639690323</t>
  </si>
  <si>
    <t>711.813198451613</t>
  </si>
  <si>
    <t>683.759576986939</t>
  </si>
  <si>
    <t>300.045119369145</t>
  </si>
  <si>
    <t>1426.07030735348</t>
  </si>
  <si>
    <t>2817.62302808155</t>
  </si>
  <si>
    <t>1408.81151404077</t>
  </si>
  <si>
    <t>384.240686524799</t>
  </si>
  <si>
    <t>653.604291850906</t>
  </si>
  <si>
    <t>1454.1245551578</t>
  </si>
  <si>
    <t>1867.36235542227</t>
  </si>
  <si>
    <t>1096.95052555727</t>
  </si>
  <si>
    <t>1924.48371442875</t>
  </si>
  <si>
    <t>995.278933916043</t>
  </si>
  <si>
    <t>2073.65403687824</t>
  </si>
  <si>
    <t>1036.82701843912</t>
  </si>
  <si>
    <t>382.04912654308</t>
  </si>
  <si>
    <t>387.079523563636</t>
  </si>
  <si>
    <t>193.539761781818</t>
  </si>
  <si>
    <t>752.15040998526</t>
  </si>
  <si>
    <t>4155.98712732969</t>
  </si>
  <si>
    <t>554.647632334688</t>
  </si>
  <si>
    <t>277.323816167344</t>
  </si>
  <si>
    <t>2340.53925415222</t>
  </si>
  <si>
    <t>2075.54036520352</t>
  </si>
  <si>
    <t>841.010361885527</t>
  </si>
  <si>
    <t>792.566928034041</t>
  </si>
  <si>
    <t>396.28346401702</t>
  </si>
  <si>
    <t>416.422960001815</t>
  </si>
  <si>
    <t>748.644771361692</t>
  </si>
  <si>
    <t>1223.76351301205</t>
  </si>
  <si>
    <t>745.320869230189</t>
  </si>
  <si>
    <t>372.660434615094</t>
  </si>
  <si>
    <t>1602.65626967089</t>
  </si>
  <si>
    <t>678.984380595985</t>
  </si>
  <si>
    <t>1178.18903127458</t>
  </si>
  <si>
    <t>669.043818065854</t>
  </si>
  <si>
    <t>510.83685082355</t>
  </si>
  <si>
    <t>877.009419195074</t>
  </si>
  <si>
    <t>438.504709597537</t>
  </si>
  <si>
    <t>765.041265184726</t>
  </si>
  <si>
    <t>731.503658048598</t>
  </si>
  <si>
    <t>365.751829024299</t>
  </si>
  <si>
    <t>833.764348434143</t>
  </si>
  <si>
    <t>682.049764479563</t>
  </si>
  <si>
    <t>1885.88580028775</t>
  </si>
  <si>
    <t>347.440848666373</t>
  </si>
  <si>
    <t>656.412052091405</t>
  </si>
  <si>
    <t>356.49273604328</t>
  </si>
  <si>
    <t>802.841074531068</t>
  </si>
  <si>
    <t>1455.36741613315</t>
  </si>
  <si>
    <t>727.683708066576</t>
  </si>
  <si>
    <t>3421.6389072545</t>
  </si>
  <si>
    <t>1404.70401038277</t>
  </si>
  <si>
    <t>702.352005191384</t>
  </si>
  <si>
    <t>335.331215404795</t>
  </si>
  <si>
    <t>170.384292673863</t>
  </si>
  <si>
    <t>471.483482736642</t>
  </si>
  <si>
    <t>778.475024677493</t>
  </si>
  <si>
    <t>1316.84708966475</t>
  </si>
  <si>
    <t>715.342575344261</t>
  </si>
  <si>
    <t>357.67128767213</t>
  </si>
  <si>
    <t>1590.46769610433</t>
  </si>
  <si>
    <t>847.505065220922</t>
  </si>
  <si>
    <t>423.752532610461</t>
  </si>
  <si>
    <t>639.428165998277</t>
  </si>
  <si>
    <t>1673.10618910778</t>
  </si>
  <si>
    <t>836.553094553892</t>
  </si>
  <si>
    <t>655.251278234039</t>
  </si>
  <si>
    <t>1102.84828604776</t>
  </si>
  <si>
    <t>720.320358162316</t>
  </si>
  <si>
    <t>360.160179081158</t>
  </si>
  <si>
    <t>1247.83541966531</t>
  </si>
  <si>
    <t>2539.64379971698</t>
  </si>
  <si>
    <t>1180.63309993785</t>
  </si>
  <si>
    <t>590.316549968923</t>
  </si>
  <si>
    <t>1257.455556143</t>
  </si>
  <si>
    <t>1554.89877196907</t>
  </si>
  <si>
    <t>2537.50194703189</t>
  </si>
  <si>
    <t>845.833982343962</t>
  </si>
  <si>
    <t>421.504661337678</t>
  </si>
  <si>
    <t>1098.99373777868</t>
  </si>
  <si>
    <t>536.429113305551</t>
  </si>
  <si>
    <t>1118.04187649781</t>
  </si>
  <si>
    <t>1004.15352027201</t>
  </si>
  <si>
    <t>1347.25093868017</t>
  </si>
  <si>
    <t>673.625469340087</t>
  </si>
  <si>
    <t>442.458602337257</t>
  </si>
  <si>
    <t>777.559411908043</t>
  </si>
  <si>
    <t>618.435965440315</t>
  </si>
  <si>
    <t>2850.06410835741</t>
  </si>
  <si>
    <t>1425.0320541787</t>
  </si>
  <si>
    <t>887.247420257813</t>
  </si>
  <si>
    <t>1112.71553481386</t>
  </si>
  <si>
    <t>2111.30875476429</t>
  </si>
  <si>
    <t>1584.25520244428</t>
  </si>
  <si>
    <t>1831.63456772479</t>
  </si>
  <si>
    <t>915.817283862397</t>
  </si>
  <si>
    <t>1188.28692851289</t>
  </si>
  <si>
    <t>502.727299807339</t>
  </si>
  <si>
    <t>615.542341539139</t>
  </si>
  <si>
    <t>307.771170769569</t>
  </si>
  <si>
    <t>1324.27370179862</t>
  </si>
  <si>
    <t>662.13685089931</t>
  </si>
  <si>
    <t>1811.69523143818</t>
  </si>
  <si>
    <t>2403.03847248694</t>
  </si>
  <si>
    <t>1201.51923624347</t>
  </si>
  <si>
    <t>3264.88957992477</t>
  </si>
  <si>
    <t>1632.44478996238</t>
  </si>
  <si>
    <t>517.474445917722</t>
  </si>
  <si>
    <t>392.050155456035</t>
  </si>
  <si>
    <t>426.86324760115</t>
  </si>
  <si>
    <t>2195.24561893432</t>
  </si>
  <si>
    <t>1097.62280946716</t>
  </si>
  <si>
    <t>1768.96308589287</t>
  </si>
  <si>
    <t>802.372665438468</t>
  </si>
  <si>
    <t>947.75844959366</t>
  </si>
  <si>
    <t>664.909683243143</t>
  </si>
  <si>
    <t>429.135888591328</t>
  </si>
  <si>
    <t>723.111330366636</t>
  </si>
  <si>
    <t>1496.78288554702</t>
  </si>
  <si>
    <t>580.734160662201</t>
  </si>
  <si>
    <t>1213.77647017668</t>
  </si>
  <si>
    <t>404.592156725561</t>
  </si>
  <si>
    <t>1314.08246402483</t>
  </si>
  <si>
    <t>165.492427855004</t>
  </si>
  <si>
    <t>1404.04725423956</t>
  </si>
  <si>
    <t>702.023627119781</t>
  </si>
  <si>
    <t>4375.93806658043</t>
  </si>
  <si>
    <t>1160.24636405776</t>
  </si>
  <si>
    <t>580.123182028882</t>
  </si>
  <si>
    <t>571.839306897481</t>
  </si>
  <si>
    <t>1199.30722898491</t>
  </si>
  <si>
    <t>918.048387330077</t>
  </si>
  <si>
    <t>7352.02217195984</t>
  </si>
  <si>
    <t>1995.51432576041</t>
  </si>
  <si>
    <t>1576.5495629245</t>
  </si>
  <si>
    <t>1699.32312431685</t>
  </si>
  <si>
    <t>1617.62069416736</t>
  </si>
  <si>
    <t>808.810347083681</t>
  </si>
  <si>
    <t>280.651934224376</t>
  </si>
  <si>
    <t>1347.420245261</t>
  </si>
  <si>
    <t>1315.87285987517</t>
  </si>
  <si>
    <t>3210.23054794758</t>
  </si>
  <si>
    <t>1070.07684931586</t>
  </si>
  <si>
    <t>817.345512807431</t>
  </si>
  <si>
    <t>272.448504269144</t>
  </si>
  <si>
    <t>712.741492378557</t>
  </si>
  <si>
    <t>868.369747611666</t>
  </si>
  <si>
    <t>434.184873805833</t>
  </si>
  <si>
    <t>728.651207019627</t>
  </si>
  <si>
    <t>560.660050147413</t>
  </si>
  <si>
    <t>1601.39629516918</t>
  </si>
  <si>
    <t>1017.48311865919</t>
  </si>
  <si>
    <t>1904.36510186991</t>
  </si>
  <si>
    <t>1469.41092151385</t>
  </si>
  <si>
    <t>803.10126009301</t>
  </si>
  <si>
    <t>267.700420031003</t>
  </si>
  <si>
    <t>803.101260093009</t>
  </si>
  <si>
    <t>4177.80519712085</t>
  </si>
  <si>
    <t>2088.90259856043</t>
  </si>
  <si>
    <t>601.790184881577</t>
  </si>
  <si>
    <t>533.676217552129</t>
  </si>
  <si>
    <t>1374.97847852839</t>
  </si>
  <si>
    <t>430.82757593081</t>
  </si>
  <si>
    <t>1803.37346113703</t>
  </si>
  <si>
    <t>1669.64822409016</t>
  </si>
  <si>
    <t>834.824112045078</t>
  </si>
  <si>
    <t>308.832914399586</t>
  </si>
  <si>
    <t>912.073526655232</t>
  </si>
  <si>
    <t>1228.17127292267</t>
  </si>
  <si>
    <t>872.51753264549</t>
  </si>
  <si>
    <t>650.074205763806</t>
  </si>
  <si>
    <t>740.51674635503</t>
  </si>
  <si>
    <t>1037.91833940797</t>
  </si>
  <si>
    <t>506.926006604904</t>
  </si>
  <si>
    <t>1461.07299818666</t>
  </si>
  <si>
    <t>7103.02817943754</t>
  </si>
  <si>
    <t>677.977066537962</t>
  </si>
  <si>
    <t>816.08805085606</t>
  </si>
  <si>
    <t>750.782170890663</t>
  </si>
  <si>
    <t>228.981540056147</t>
  </si>
  <si>
    <t>2215.02790482392</t>
  </si>
  <si>
    <t>1976.99767506709</t>
  </si>
  <si>
    <t>836.134684558853</t>
  </si>
  <si>
    <t>497.403672929477</t>
  </si>
  <si>
    <t>903.347104956015</t>
  </si>
  <si>
    <t>301.115701652005</t>
  </si>
  <si>
    <t>1696.24275485765</t>
  </si>
  <si>
    <t>565.414251619216</t>
  </si>
  <si>
    <t>1825.94231285132</t>
  </si>
  <si>
    <t>2929.6407480593</t>
  </si>
  <si>
    <t>838.099564579347</t>
  </si>
  <si>
    <t>448.437077790777</t>
  </si>
  <si>
    <t>940.97762058864</t>
  </si>
  <si>
    <t>1819.105940476</t>
  </si>
  <si>
    <t>606.368646825334</t>
  </si>
  <si>
    <t>2219.58842944293</t>
  </si>
  <si>
    <t>2277.18933727574</t>
  </si>
  <si>
    <t>979.054700088214</t>
  </si>
  <si>
    <t>1715.49495367023</t>
  </si>
  <si>
    <t>571.831651223411</t>
  </si>
  <si>
    <t>1089.27770326473</t>
  </si>
  <si>
    <t>544.638851632367</t>
  </si>
  <si>
    <t>864.031172685295</t>
  </si>
  <si>
    <t>432.015586342647</t>
  </si>
  <si>
    <t>785.358542754514</t>
  </si>
  <si>
    <t>392.679271377257</t>
  </si>
  <si>
    <t>748.566784743329</t>
  </si>
  <si>
    <t>2464.20728305422</t>
  </si>
  <si>
    <t>1232.10364152711</t>
  </si>
  <si>
    <t>2998.07991173613</t>
  </si>
  <si>
    <t>1015.09298108957</t>
  </si>
  <si>
    <t>875.280144996965</t>
  </si>
  <si>
    <t>454.889688077327</t>
  </si>
  <si>
    <t>1035.99732815376</t>
  </si>
  <si>
    <t>517.998664076879</t>
  </si>
  <si>
    <t>912.371760811699</t>
  </si>
  <si>
    <t>522.141244510243</t>
  </si>
  <si>
    <t>261.070622255121</t>
  </si>
  <si>
    <t>281.023238140988</t>
  </si>
  <si>
    <t>548.771967699137</t>
  </si>
  <si>
    <t>1110.55754966108</t>
  </si>
  <si>
    <t>1170.29167803133</t>
  </si>
  <si>
    <t>390.097226010443</t>
  </si>
  <si>
    <t>511.199366293947</t>
  </si>
  <si>
    <t>255.599683146973</t>
  </si>
  <si>
    <t>1132.06349139558</t>
  </si>
  <si>
    <t>553.406188990816</t>
  </si>
  <si>
    <t>276.703094495408</t>
  </si>
  <si>
    <t>5559.99744252752</t>
  </si>
  <si>
    <t>732.699417888136</t>
  </si>
  <si>
    <t>843.5567267921</t>
  </si>
  <si>
    <t>650.898960453907</t>
  </si>
  <si>
    <t>1130.69853886536</t>
  </si>
  <si>
    <t>565.349269432681</t>
  </si>
  <si>
    <t>810.869326590761</t>
  </si>
  <si>
    <t>1274.82809263368</t>
  </si>
  <si>
    <t>637.41404631684</t>
  </si>
  <si>
    <t>4383.8143093688</t>
  </si>
  <si>
    <t>1306.37124775604</t>
  </si>
  <si>
    <t>1134.9417025335</t>
  </si>
  <si>
    <t>228.680224425851</t>
  </si>
  <si>
    <t>1198.01047492111</t>
  </si>
  <si>
    <t>869.245522869779</t>
  </si>
  <si>
    <t>614.623652902429</t>
  </si>
  <si>
    <t>1094.60450780744</t>
  </si>
  <si>
    <t>547.30225390372</t>
  </si>
  <si>
    <t>521.455845146607</t>
  </si>
  <si>
    <t>666.21368103533</t>
  </si>
  <si>
    <t>2772.20117409373</t>
  </si>
  <si>
    <t>1386.10058704686</t>
  </si>
  <si>
    <t>1679.56267804104</t>
  </si>
  <si>
    <t>839.781339020519</t>
  </si>
  <si>
    <t>765.852620027081</t>
  </si>
  <si>
    <t>2688.85770529667</t>
  </si>
  <si>
    <t>335.816256416224</t>
  </si>
  <si>
    <t>167.908128208112</t>
  </si>
  <si>
    <t>360.951786119455</t>
  </si>
  <si>
    <t>516.494640048222</t>
  </si>
  <si>
    <t>1264.72347412545</t>
  </si>
  <si>
    <t>343.812386723491</t>
  </si>
  <si>
    <t>300.249662173962</t>
  </si>
  <si>
    <t>1380.51048582945</t>
  </si>
  <si>
    <t>2674.38845196851</t>
  </si>
  <si>
    <t>1337.19422598425</t>
  </si>
  <si>
    <t>687.834408374788</t>
  </si>
  <si>
    <t>432.514674269988</t>
  </si>
  <si>
    <t>1460.46307359935</t>
  </si>
  <si>
    <t>887.14917153222</t>
  </si>
  <si>
    <t>443.57458576611</t>
  </si>
  <si>
    <t>984.30884316976</t>
  </si>
  <si>
    <t>1184.65307303544</t>
  </si>
  <si>
    <t>592.326536517719</t>
  </si>
  <si>
    <t>958.338286143414</t>
  </si>
  <si>
    <t>888.387655250619</t>
  </si>
  <si>
    <t>2011.35882872566</t>
  </si>
  <si>
    <t>1005.67941436283</t>
  </si>
  <si>
    <t>818.318928699878</t>
  </si>
  <si>
    <t>409.159464349939</t>
  </si>
  <si>
    <t>297.287342442656</t>
  </si>
  <si>
    <t>148.643671221328</t>
  </si>
  <si>
    <t>1782.1947478557</t>
  </si>
  <si>
    <t>1642.02456992149</t>
  </si>
  <si>
    <t>821.012284960745</t>
  </si>
  <si>
    <t>565.709382071107</t>
  </si>
  <si>
    <t>1596.77971922013</t>
  </si>
  <si>
    <t>673.450845097604</t>
  </si>
  <si>
    <t>336.725422548802</t>
  </si>
  <si>
    <t>1120.94130665873</t>
  </si>
  <si>
    <t>1212.17960799529</t>
  </si>
  <si>
    <t>805.583951037793</t>
  </si>
  <si>
    <t>327.590594654984</t>
  </si>
  <si>
    <t>196.186522626519</t>
  </si>
  <si>
    <t>2501.18573879479</t>
  </si>
  <si>
    <t>325.524216402862</t>
  </si>
  <si>
    <t>162.762108201431</t>
  </si>
  <si>
    <t>1273.35187442731</t>
  </si>
  <si>
    <t>837.571503053563</t>
  </si>
  <si>
    <t>1337.17242630417</t>
  </si>
  <si>
    <t>851.79889901319</t>
  </si>
  <si>
    <t>707.766090761346</t>
  </si>
  <si>
    <t>1000.70113643771</t>
  </si>
  <si>
    <t>1502.86854445049</t>
  </si>
  <si>
    <t>1482.9005208086</t>
  </si>
  <si>
    <t>3583.479191816</t>
  </si>
  <si>
    <t>1491.69608664559</t>
  </si>
  <si>
    <t>497.232028881863</t>
  </si>
  <si>
    <t>515.729756245369</t>
  </si>
  <si>
    <t>395.764497627943</t>
  </si>
  <si>
    <t>2273.6363700129</t>
  </si>
  <si>
    <t>710.758880743073</t>
  </si>
  <si>
    <t>281.639137230484</t>
  </si>
  <si>
    <t>140.819568615242</t>
  </si>
  <si>
    <t>1071.1907372564</t>
  </si>
  <si>
    <t>887.016390909097</t>
  </si>
  <si>
    <t>1489.45834167664</t>
  </si>
  <si>
    <t>743.542547487572</t>
  </si>
  <si>
    <t>1189.37330440692</t>
  </si>
  <si>
    <t>594.686652203461</t>
  </si>
  <si>
    <t>971.488196954422</t>
  </si>
  <si>
    <t>788.543247989689</t>
  </si>
  <si>
    <t>394.271623994844</t>
  </si>
  <si>
    <t>916.715210436443</t>
  </si>
  <si>
    <t>2543.35291601351</t>
  </si>
  <si>
    <t>1271.67645800676</t>
  </si>
  <si>
    <t>810.800014635442</t>
  </si>
  <si>
    <t>405.400007317721</t>
  </si>
  <si>
    <t>718.949322597296</t>
  </si>
  <si>
    <t>878.642281330808</t>
  </si>
  <si>
    <t>622.305078104293</t>
  </si>
  <si>
    <t>1313.46209702278</t>
  </si>
  <si>
    <t>656.731048511389</t>
  </si>
  <si>
    <t>1661.31917461625</t>
  </si>
  <si>
    <t>830.659587308125</t>
  </si>
  <si>
    <t>376.094216390132</t>
  </si>
  <si>
    <t>1104.27770898964</t>
  </si>
  <si>
    <t>303.274132289423</t>
  </si>
  <si>
    <t>2036.01448023958</t>
  </si>
  <si>
    <t>253.867360511148</t>
  </si>
  <si>
    <t>126.933680255574</t>
  </si>
  <si>
    <t>2593.45663321669</t>
  </si>
  <si>
    <t>1296.72831660835</t>
  </si>
  <si>
    <t>1808.04386138463</t>
  </si>
  <si>
    <t>1316.6739092964</t>
  </si>
  <si>
    <t>932.910851600424</t>
  </si>
  <si>
    <t>3433.14641093202</t>
  </si>
  <si>
    <t>1639.95447146012</t>
  </si>
  <si>
    <t>786.405375842966</t>
  </si>
  <si>
    <t>973.921064567969</t>
  </si>
  <si>
    <t>486.960532283985</t>
  </si>
  <si>
    <t>731.573342116643</t>
  </si>
  <si>
    <t>492.401681899816</t>
  </si>
  <si>
    <t>678.970469627827</t>
  </si>
  <si>
    <t>666.387428754558</t>
  </si>
  <si>
    <t>2860.11389022473</t>
  </si>
  <si>
    <t>1066.66460195457</t>
  </si>
  <si>
    <t>1319.49543073187</t>
  </si>
  <si>
    <t>1097.14532018716</t>
  </si>
  <si>
    <t>362.834591444406</t>
  </si>
  <si>
    <t>1433.94656061435</t>
  </si>
  <si>
    <t>1662.29590852744</t>
  </si>
  <si>
    <t>2527.17311937798</t>
  </si>
  <si>
    <t>1263.58655968899</t>
  </si>
  <si>
    <t>677.522226797278</t>
  </si>
  <si>
    <t>1037.54274709924</t>
  </si>
  <si>
    <t>3586.56756926991</t>
  </si>
  <si>
    <t>1709.35352883551</t>
  </si>
  <si>
    <t>1292.21078661584</t>
  </si>
  <si>
    <t>646.10539330792</t>
  </si>
  <si>
    <t>1807.87639520844</t>
  </si>
  <si>
    <t>429.401316005084</t>
  </si>
  <si>
    <t>799.066157999442</t>
  </si>
  <si>
    <t>1495.88843503206</t>
  </si>
  <si>
    <t>1337.16203514428</t>
  </si>
  <si>
    <t>508.384212703734</t>
  </si>
  <si>
    <t>580.567738709657</t>
  </si>
  <si>
    <t>432.780183243668</t>
  </si>
  <si>
    <t>905.36820818647</t>
  </si>
  <si>
    <t>1551.13339162375</t>
  </si>
  <si>
    <t>5832.71609807528</t>
  </si>
  <si>
    <t>2916.35804903764</t>
  </si>
  <si>
    <t>945.258087591011</t>
  </si>
  <si>
    <t>472.629043795505</t>
  </si>
  <si>
    <t>719.90153169261</t>
  </si>
  <si>
    <t>282.921916882936</t>
  </si>
  <si>
    <t>141.460958441468</t>
  </si>
  <si>
    <t>891.053936954751</t>
  </si>
  <si>
    <t>592.936623321356</t>
  </si>
  <si>
    <t>707.102304421186</t>
  </si>
  <si>
    <t>2330.59542871575</t>
  </si>
  <si>
    <t>1084.93995628795</t>
  </si>
  <si>
    <t>3165.94781025834</t>
  </si>
  <si>
    <t>269.39711417027</t>
  </si>
  <si>
    <t>1819.54774443134</t>
  </si>
  <si>
    <t>326.353173687629</t>
  </si>
  <si>
    <t>762.837449937106</t>
  </si>
  <si>
    <t>1063.30085082727</t>
  </si>
  <si>
    <t>354.433616942425</t>
  </si>
  <si>
    <t>407.834541870375</t>
  </si>
  <si>
    <t>1491.15470433802</t>
  </si>
  <si>
    <t>960.771152548334</t>
  </si>
  <si>
    <t>1651.19084844075</t>
  </si>
  <si>
    <t>825.595424220373</t>
  </si>
  <si>
    <t>605.641882329586</t>
  </si>
  <si>
    <t>1183.81795454806</t>
  </si>
  <si>
    <t>1497.2839422347</t>
  </si>
  <si>
    <t>499.094647411568</t>
  </si>
  <si>
    <t>954.277548525465</t>
  </si>
  <si>
    <t>1071.5869418952</t>
  </si>
  <si>
    <t>1723.02154115604</t>
  </si>
  <si>
    <t>861.510770578022</t>
  </si>
  <si>
    <t>969.648457578599</t>
  </si>
  <si>
    <t>323.2161525262</t>
  </si>
  <si>
    <t>585.56147152625</t>
  </si>
  <si>
    <t>195.187157175417</t>
  </si>
  <si>
    <t>1437.11504431111</t>
  </si>
  <si>
    <t>423.580731993368</t>
  </si>
  <si>
    <t>351.304861706944</t>
  </si>
  <si>
    <t>354.710777809457</t>
  </si>
  <si>
    <t>751.189766888538</t>
  </si>
  <si>
    <t>442.099959144469</t>
  </si>
  <si>
    <t>4514.70636332248</t>
  </si>
  <si>
    <t>931.737190959812</t>
  </si>
  <si>
    <t>1872.17673047582</t>
  </si>
  <si>
    <t>321.345917141816</t>
  </si>
  <si>
    <t>509.366845589868</t>
  </si>
  <si>
    <t>544.62224005031</t>
  </si>
  <si>
    <t>272.311120025155</t>
  </si>
  <si>
    <t>1495.02195743046</t>
  </si>
  <si>
    <t>2652.4978485391</t>
  </si>
  <si>
    <t>901.898034207066</t>
  </si>
  <si>
    <t>806.220716825106</t>
  </si>
  <si>
    <t>1451.04362035146</t>
  </si>
  <si>
    <t>1424.3263416296</t>
  </si>
  <si>
    <t>1068.68069839703</t>
  </si>
  <si>
    <t>356.226899465678</t>
  </si>
  <si>
    <t>1277.60016050411</t>
  </si>
  <si>
    <t>638.800080252054</t>
  </si>
  <si>
    <t>273.040730269477</t>
  </si>
  <si>
    <t>718.678616074618</t>
  </si>
  <si>
    <t>532.109794238089</t>
  </si>
  <si>
    <t>266.054897119044</t>
  </si>
  <si>
    <t>264.068118221085</t>
  </si>
  <si>
    <t>751.175015801446</t>
  </si>
  <si>
    <t>250.391671933815</t>
  </si>
  <si>
    <t>733.258107903153</t>
  </si>
  <si>
    <t>244.419369301051</t>
  </si>
  <si>
    <t>1603.58312740641</t>
  </si>
  <si>
    <t>1941.85420310001</t>
  </si>
  <si>
    <t>798.026394133433</t>
  </si>
  <si>
    <t>2068.41327281384</t>
  </si>
  <si>
    <t>1034.20663640692</t>
  </si>
  <si>
    <t>2406.27938076404</t>
  </si>
  <si>
    <t>1203.13969038202</t>
  </si>
  <si>
    <t>574.829272044549</t>
  </si>
  <si>
    <t>3165.63073324358</t>
  </si>
  <si>
    <t>2458.92841851002</t>
  </si>
  <si>
    <t>447.526621086718</t>
  </si>
  <si>
    <t>1625.54521517553</t>
  </si>
  <si>
    <t>812.772607587767</t>
  </si>
  <si>
    <t>1301.85450290802</t>
  </si>
  <si>
    <t>2141.27690070397</t>
  </si>
  <si>
    <t>1920.55000201133</t>
  </si>
  <si>
    <t>513.933412170292</t>
  </si>
  <si>
    <t>256.966706085146</t>
  </si>
  <si>
    <t>2190.4358373014</t>
  </si>
  <si>
    <t>1095.2179186507</t>
  </si>
  <si>
    <t>641.331520626767</t>
  </si>
  <si>
    <t>320.665760313383</t>
  </si>
  <si>
    <t>238.519543912752</t>
  </si>
  <si>
    <t>930.014791669336</t>
  </si>
  <si>
    <t>3597.16144097897</t>
  </si>
  <si>
    <t>1798.58072048948</t>
  </si>
  <si>
    <t>652.485060788897</t>
  </si>
  <si>
    <t>782.646867162571</t>
  </si>
  <si>
    <t>1195.76680123</t>
  </si>
  <si>
    <t>2417.95027861304</t>
  </si>
  <si>
    <t>2020.54098556289</t>
  </si>
  <si>
    <t>505.135246390723</t>
  </si>
  <si>
    <t>1652.4059044439</t>
  </si>
  <si>
    <t>937.482379377843</t>
  </si>
  <si>
    <t>564.518456196734</t>
  </si>
  <si>
    <t>368.513473100481</t>
  </si>
  <si>
    <t>631.831034959439</t>
  </si>
  <si>
    <t>315.915517479719</t>
  </si>
  <si>
    <t>1016.35544211798</t>
  </si>
  <si>
    <t>338.785147372661</t>
  </si>
  <si>
    <t>2335.80349589832</t>
  </si>
  <si>
    <t>1671.32254006673</t>
  </si>
  <si>
    <t>549.38431809345</t>
  </si>
  <si>
    <t>2523.29146868873</t>
  </si>
  <si>
    <t>1109.03123950534</t>
  </si>
  <si>
    <t>1904.54389041843</t>
  </si>
  <si>
    <t>388.550684232176</t>
  </si>
  <si>
    <t>1274.52782729593</t>
  </si>
  <si>
    <t>637.263913647964</t>
  </si>
  <si>
    <t>618.664059665284</t>
  </si>
  <si>
    <t>1014.68532691532</t>
  </si>
  <si>
    <t>480.737612215208</t>
  </si>
  <si>
    <t>662.435750177852</t>
  </si>
  <si>
    <t>777.410958736471</t>
  </si>
  <si>
    <t>1184.71129388608</t>
  </si>
  <si>
    <t>432.453736488483</t>
  </si>
  <si>
    <t>4454.00104364223</t>
  </si>
  <si>
    <t>1484.66701454741</t>
  </si>
  <si>
    <t>491.731780844627</t>
  </si>
  <si>
    <t>163.910593614876</t>
  </si>
  <si>
    <t>2410.09401942676</t>
  </si>
  <si>
    <t>227.360285419332</t>
  </si>
  <si>
    <t>977.387220685286</t>
  </si>
  <si>
    <t>2860.12860331512</t>
  </si>
  <si>
    <t>344.43389725561</t>
  </si>
  <si>
    <t>1593.31047184607</t>
  </si>
  <si>
    <t>1299.26599854941</t>
  </si>
  <si>
    <t>524.306138914491</t>
  </si>
  <si>
    <t>4221.49454321513</t>
  </si>
  <si>
    <t>2110.74727160756</t>
  </si>
  <si>
    <t>596.590556906034</t>
  </si>
  <si>
    <t>609.043470022631</t>
  </si>
  <si>
    <t>352.087422896029</t>
  </si>
  <si>
    <t>917.52345437583</t>
  </si>
  <si>
    <t>795.60134063007</t>
  </si>
  <si>
    <t>1636.15331283201</t>
  </si>
  <si>
    <t>1240.58715538572</t>
  </si>
  <si>
    <t>417.528054721713</t>
  </si>
  <si>
    <t>934.165098100078</t>
  </si>
  <si>
    <t>467.082549050039</t>
  </si>
  <si>
    <t>2278.94656009523</t>
  </si>
  <si>
    <t>223.836165040457</t>
  </si>
  <si>
    <t>111.918082520229</t>
  </si>
  <si>
    <t>1147.19613459938</t>
  </si>
  <si>
    <t>1012.45533336706</t>
  </si>
  <si>
    <t>443.238961306472</t>
  </si>
  <si>
    <t>2272.03744225589</t>
  </si>
  <si>
    <t>1319.3631973968</t>
  </si>
  <si>
    <t>3146.18506393681</t>
  </si>
  <si>
    <t>3034.16914334424</t>
  </si>
  <si>
    <t>2326.74294720027</t>
  </si>
  <si>
    <t>716.634573222865</t>
  </si>
  <si>
    <t>464.742434110876</t>
  </si>
  <si>
    <t>3607.15312706536</t>
  </si>
  <si>
    <t>3344.49090637087</t>
  </si>
  <si>
    <t>411.40206337125</t>
  </si>
  <si>
    <t>205.701031685625</t>
  </si>
  <si>
    <t>1136.03245058467</t>
  </si>
  <si>
    <t>783.783574863192</t>
  </si>
  <si>
    <t>391.891787431596</t>
  </si>
  <si>
    <t>2671.03290785061</t>
  </si>
  <si>
    <t>1577.12425165413</t>
  </si>
  <si>
    <t>4350.49116940734</t>
  </si>
  <si>
    <t>938.524276149491</t>
  </si>
  <si>
    <t>710.16754065515</t>
  </si>
  <si>
    <t>1012.96185299262</t>
  </si>
  <si>
    <t>2136.95523651756</t>
  </si>
  <si>
    <t>2751.39870319241</t>
  </si>
  <si>
    <t>1034.49052921749</t>
  </si>
  <si>
    <t>1284.7870175995</t>
  </si>
  <si>
    <t>545.868005321506</t>
  </si>
  <si>
    <t>861.053733369517</t>
  </si>
  <si>
    <t>613.363543996376</t>
  </si>
  <si>
    <t>306.681771998188</t>
  </si>
  <si>
    <t>676.938226780409</t>
  </si>
  <si>
    <t>710.59976572495</t>
  </si>
  <si>
    <t>193.489126019508</t>
  </si>
  <si>
    <t>1548.53255937752</t>
  </si>
  <si>
    <t>774.266279688762</t>
  </si>
  <si>
    <t>1140.70918055691</t>
  </si>
  <si>
    <t>385.903930506396</t>
  </si>
  <si>
    <t>192.951965253198</t>
  </si>
  <si>
    <t>3747.00371924043</t>
  </si>
  <si>
    <t>1878.70732538537</t>
  </si>
  <si>
    <t>2234.47322080057</t>
  </si>
  <si>
    <t>1500.20180386805</t>
  </si>
  <si>
    <t>13053.9521288004</t>
  </si>
  <si>
    <t>6526.97606440021</t>
  </si>
  <si>
    <t>1349.11816456565</t>
  </si>
  <si>
    <t>507.484949027342</t>
  </si>
  <si>
    <t>761.650840915203</t>
  </si>
  <si>
    <t>920.043638945943</t>
  </si>
  <si>
    <t>1557.43202524257</t>
  </si>
  <si>
    <t>1684.2715828586</t>
  </si>
  <si>
    <t>2845.60926792807</t>
  </si>
  <si>
    <t>1246.67478497618</t>
  </si>
  <si>
    <t>145.484544501589</t>
  </si>
  <si>
    <t>1079.55208942225</t>
  </si>
  <si>
    <t>1114.71134565375</t>
  </si>
  <si>
    <t>635.725515515938</t>
  </si>
  <si>
    <t>1216.62386052223</t>
  </si>
  <si>
    <t>1510.69738936516</t>
  </si>
  <si>
    <t>282.65248843502</t>
  </si>
  <si>
    <t>1228.29326446369</t>
  </si>
  <si>
    <t>1516.76217657173</t>
  </si>
  <si>
    <t>737.135952280267</t>
  </si>
  <si>
    <t>318.56050371239</t>
  </si>
  <si>
    <t>669.700407899356</t>
  </si>
  <si>
    <t>381.172185908616</t>
  </si>
  <si>
    <t>2195.95537480164</t>
  </si>
  <si>
    <t>464.129738048713</t>
  </si>
  <si>
    <t>357.608253522472</t>
  </si>
  <si>
    <t>178.804126761236</t>
  </si>
  <si>
    <t>222.528136908399</t>
  </si>
  <si>
    <t>367.723232304097</t>
  </si>
  <si>
    <t>183.861616152049</t>
  </si>
  <si>
    <t>1324.99037738276</t>
  </si>
  <si>
    <t>1970.20741109737</t>
  </si>
  <si>
    <t>322.818545002108</t>
  </si>
  <si>
    <t>903.272914704264</t>
  </si>
  <si>
    <t>1895.70906364043</t>
  </si>
  <si>
    <t>1180.12331209482</t>
  </si>
  <si>
    <t>2227.12211529767</t>
  </si>
  <si>
    <t>360.184793703613</t>
  </si>
  <si>
    <t>899.258601381839</t>
  </si>
  <si>
    <t>449.629300690919</t>
  </si>
  <si>
    <t>5852.47707563903</t>
  </si>
  <si>
    <t>1875.36090375731</t>
  </si>
  <si>
    <t>702.373182567903</t>
  </si>
  <si>
    <t>3559.36597578619</t>
  </si>
  <si>
    <t>448.138626734654</t>
  </si>
  <si>
    <t>1161.91601415663</t>
  </si>
  <si>
    <t>553.819292470427</t>
  </si>
  <si>
    <t>333.66666001497</t>
  </si>
  <si>
    <t>198.852515466377</t>
  </si>
  <si>
    <t>845.546872669721</t>
  </si>
  <si>
    <t>444.984398384444</t>
  </si>
  <si>
    <t>1930.38732776161</t>
  </si>
  <si>
    <t>629.498406523285</t>
  </si>
  <si>
    <t>509.948879157691</t>
  </si>
  <si>
    <t>878.75146420142</t>
  </si>
  <si>
    <t>524.226139261748</t>
  </si>
  <si>
    <t>1008.29125741914</t>
  </si>
  <si>
    <t>504.145628709571</t>
  </si>
  <si>
    <t>413.505724270878</t>
  </si>
  <si>
    <t>137.835241423626</t>
  </si>
  <si>
    <t>830.341123027294</t>
  </si>
  <si>
    <t>1554.60507325884</t>
  </si>
  <si>
    <t>339.820493592794</t>
  </si>
  <si>
    <t>933.550566803539</t>
  </si>
  <si>
    <t>466.775283401769</t>
  </si>
  <si>
    <t>1080.73498869498</t>
  </si>
  <si>
    <t>513.965727375014</t>
  </si>
  <si>
    <t>1034.41202908057</t>
  </si>
  <si>
    <t>906.078502853899</t>
  </si>
  <si>
    <t>453.03925142695</t>
  </si>
  <si>
    <t>1505.0242578113</t>
  </si>
  <si>
    <t>588.268473641305</t>
  </si>
  <si>
    <t>556.391087464464</t>
  </si>
  <si>
    <t>1676.74295733069</t>
  </si>
  <si>
    <t>1188.58504895644</t>
  </si>
  <si>
    <t>5477.20172289991</t>
  </si>
  <si>
    <t>2738.60086144996</t>
  </si>
  <si>
    <t>2664.19628915247</t>
  </si>
  <si>
    <t>1876.05240599965</t>
  </si>
  <si>
    <t>779.107470791268</t>
  </si>
  <si>
    <t>325.157946522553</t>
  </si>
  <si>
    <t>1636.93116139655</t>
  </si>
  <si>
    <t>2296.87939715164</t>
  </si>
  <si>
    <t>524.516094442585</t>
  </si>
  <si>
    <t>1427.82711782426</t>
  </si>
  <si>
    <t>397.838526104668</t>
  </si>
  <si>
    <t>1221.68103186081</t>
  </si>
  <si>
    <t>301.457676370873</t>
  </si>
  <si>
    <t>713.449608852688</t>
  </si>
  <si>
    <t>1829.84648498362</t>
  </si>
  <si>
    <t>1850.74293315727</t>
  </si>
  <si>
    <t>1202.05667318045</t>
  </si>
  <si>
    <t>1631.43723000401</t>
  </si>
  <si>
    <t>1266.33715108878</t>
  </si>
  <si>
    <t>855.100494394854</t>
  </si>
  <si>
    <t>1009.43944869659</t>
  </si>
  <si>
    <t>504.719724348297</t>
  </si>
  <si>
    <t>2292.2931845086</t>
  </si>
  <si>
    <t>1146.1465922543</t>
  </si>
  <si>
    <t>273.686728766381</t>
  </si>
  <si>
    <t>821.821792249368</t>
  </si>
  <si>
    <t>192.449700094993</t>
  </si>
  <si>
    <t>1870.78697586415</t>
  </si>
  <si>
    <t>623.595658621383</t>
  </si>
  <si>
    <t>756.060210174422</t>
  </si>
  <si>
    <t>378.030105087211</t>
  </si>
  <si>
    <t>834.174437354695</t>
  </si>
  <si>
    <t>1046.44267892453</t>
  </si>
  <si>
    <t>1673.30349585844</t>
  </si>
  <si>
    <t>405.897088730188</t>
  </si>
  <si>
    <t>823.193294432726</t>
  </si>
  <si>
    <t>2150.67982076213</t>
  </si>
  <si>
    <t>1884.01684247467</t>
  </si>
  <si>
    <t>942.008421237337</t>
  </si>
  <si>
    <t>2386.97254102374</t>
  </si>
  <si>
    <t>1193.48627051187</t>
  </si>
  <si>
    <t>3169.61173636722</t>
  </si>
  <si>
    <t>469.908849252654</t>
  </si>
  <si>
    <t>393.521302029832</t>
  </si>
  <si>
    <t>627.510973564371</t>
  </si>
  <si>
    <t>313.755486782186</t>
  </si>
  <si>
    <t>820.411450851249</t>
  </si>
  <si>
    <t>1170.79558837843</t>
  </si>
  <si>
    <t>1723.57126058723</t>
  </si>
  <si>
    <t>1225.61525266641</t>
  </si>
  <si>
    <t>783.395366928084</t>
  </si>
  <si>
    <t>195.848841732021</t>
  </si>
  <si>
    <t>1494.60358934454</t>
  </si>
  <si>
    <t>1422.71102425656</t>
  </si>
  <si>
    <t>1411.48209362172</t>
  </si>
  <si>
    <t>705.741046810861</t>
  </si>
  <si>
    <t>1673.00596602153</t>
  </si>
  <si>
    <t>557.668655340511</t>
  </si>
  <si>
    <t>483.05183528936</t>
  </si>
  <si>
    <t>1396.39504615003</t>
  </si>
  <si>
    <t>862.23665819509</t>
  </si>
  <si>
    <t>1172.6392383067</t>
  </si>
  <si>
    <t>2832.17295115223</t>
  </si>
  <si>
    <t>1240.31029766325</t>
  </si>
  <si>
    <t>620.155148831623</t>
  </si>
  <si>
    <t>2647.62390876995</t>
  </si>
  <si>
    <t>2310.18048888715</t>
  </si>
  <si>
    <t>645.834536168699</t>
  </si>
  <si>
    <t>802.81009694754</t>
  </si>
  <si>
    <t>1112.35972853278</t>
  </si>
  <si>
    <t>1502.53608669493</t>
  </si>
  <si>
    <t>1121.25348589535</t>
  </si>
  <si>
    <t>2522.2253682128</t>
  </si>
  <si>
    <t>840.741789404265</t>
  </si>
  <si>
    <t>207.728256776659</t>
  </si>
  <si>
    <t>1021.76623581774</t>
  </si>
  <si>
    <t>815.454658502055</t>
  </si>
  <si>
    <t>855.055462348642</t>
  </si>
  <si>
    <t>603.158754737494</t>
  </si>
  <si>
    <t>301.579377368747</t>
  </si>
  <si>
    <t>303.991198038609</t>
  </si>
  <si>
    <t>1605.09672608103</t>
  </si>
  <si>
    <t>433.679338895429</t>
  </si>
  <si>
    <t>826.028898793998</t>
  </si>
  <si>
    <t>1089.11999849422</t>
  </si>
  <si>
    <t>997.970455624798</t>
  </si>
  <si>
    <t>427.090384538942</t>
  </si>
  <si>
    <t>393.745176011231</t>
  </si>
  <si>
    <t>1491.29651718904</t>
  </si>
  <si>
    <t>787.435194533653</t>
  </si>
  <si>
    <t>350.072493732127</t>
  </si>
  <si>
    <t>836.869401629029</t>
  </si>
  <si>
    <t>1838.53206571517</t>
  </si>
  <si>
    <t>2015.27176423415</t>
  </si>
  <si>
    <t>319.984927911367</t>
  </si>
  <si>
    <t>246.529740191614</t>
  </si>
  <si>
    <t>820.251922759559</t>
  </si>
  <si>
    <t>410.125961379779</t>
  </si>
  <si>
    <t>855.490559753889</t>
  </si>
  <si>
    <t>890.863776388652</t>
  </si>
  <si>
    <t>1108.46516203486</t>
  </si>
  <si>
    <t>442.383648762568</t>
  </si>
  <si>
    <t>579.799233739875</t>
  </si>
  <si>
    <t>1004.78612872829</t>
  </si>
  <si>
    <t>1259.7041685409</t>
  </si>
  <si>
    <t>1656.10846422561</t>
  </si>
  <si>
    <t>1975.44000353469</t>
  </si>
  <si>
    <t>254.358504875753</t>
  </si>
  <si>
    <t>868.038247302461</t>
  </si>
  <si>
    <t>509.333471726761</t>
  </si>
  <si>
    <t>1782.21456846411</t>
  </si>
  <si>
    <t>363.365528160815</t>
  </si>
  <si>
    <t>1282.47256767719</t>
  </si>
  <si>
    <t>1168.92875687255</t>
  </si>
  <si>
    <t>584.464378436274</t>
  </si>
  <si>
    <t>672.669067722009</t>
  </si>
  <si>
    <t>693.090285462807</t>
  </si>
  <si>
    <t>346.545142731403</t>
  </si>
  <si>
    <t>2755.9960867005</t>
  </si>
  <si>
    <t>1558.03372877306</t>
  </si>
  <si>
    <t>646.095080386478</t>
  </si>
  <si>
    <t>323.047540193239</t>
  </si>
  <si>
    <t>1864.60088730962</t>
  </si>
  <si>
    <t>932.300443654811</t>
  </si>
  <si>
    <t>1557.89675768553</t>
  </si>
  <si>
    <t>1182.82105317214</t>
  </si>
  <si>
    <t>1152.0038475291</t>
  </si>
  <si>
    <t>948.485861178556</t>
  </si>
  <si>
    <t>794.227503890454</t>
  </si>
  <si>
    <t>1866.11022284929</t>
  </si>
  <si>
    <t>350.836522517229</t>
  </si>
  <si>
    <t>3235.8554505952</t>
  </si>
  <si>
    <t>494.555476773371</t>
  </si>
  <si>
    <t>440.007807920649</t>
  </si>
  <si>
    <t>936.61970822097</t>
  </si>
  <si>
    <t>1092.73875753609</t>
  </si>
  <si>
    <t>852.912291760215</t>
  </si>
  <si>
    <t>3340.33104547479</t>
  </si>
  <si>
    <t>1773.96314635472</t>
  </si>
  <si>
    <t>1077.87289180908</t>
  </si>
  <si>
    <t>733.095519611256</t>
  </si>
  <si>
    <t>3019.29692302325</t>
  </si>
  <si>
    <t>435.977273223576</t>
  </si>
  <si>
    <t>2314.077154014</t>
  </si>
  <si>
    <t>1157.038577007</t>
  </si>
  <si>
    <t>623.890597160389</t>
  </si>
  <si>
    <t>311.945298580195</t>
  </si>
  <si>
    <t>558.749720901438</t>
  </si>
  <si>
    <t>442.866815141401</t>
  </si>
  <si>
    <t>221.433407570701</t>
  </si>
  <si>
    <t>731.601733513104</t>
  </si>
  <si>
    <t>1579.44298782466</t>
  </si>
  <si>
    <t>1259.51001465331</t>
  </si>
  <si>
    <t>558.052491643148</t>
  </si>
  <si>
    <t>279.026245821574</t>
  </si>
  <si>
    <t>882.249472556084</t>
  </si>
  <si>
    <t>907.24766744491</t>
  </si>
  <si>
    <t>686.111927375314</t>
  </si>
  <si>
    <t>1145.4839991588</t>
  </si>
  <si>
    <t>572.7419995794</t>
  </si>
  <si>
    <t>280.959789010781</t>
  </si>
  <si>
    <t>2557.97425189064</t>
  </si>
  <si>
    <t>302.512902579405</t>
  </si>
  <si>
    <t>151.256451289702</t>
  </si>
  <si>
    <t>1815.20204915054</t>
  </si>
  <si>
    <t>1829.96159552326</t>
  </si>
  <si>
    <t>773.153185567132</t>
  </si>
  <si>
    <t>756.698800464627</t>
  </si>
  <si>
    <t>603.026359093241</t>
  </si>
  <si>
    <t>301.513179546621</t>
  </si>
  <si>
    <t>1335.11654401073</t>
  </si>
  <si>
    <t>1144.91640813399</t>
  </si>
  <si>
    <t>1659.33778580453</t>
  </si>
  <si>
    <t>2300.75406527443</t>
  </si>
  <si>
    <t>794.737992985619</t>
  </si>
  <si>
    <t>920.565229315683</t>
  </si>
  <si>
    <t>4747.88857319614</t>
  </si>
  <si>
    <t>1103.07292829881</t>
  </si>
  <si>
    <t>668.816240175806</t>
  </si>
  <si>
    <t>1999.83250786295</t>
  </si>
  <si>
    <t>999.916253931473</t>
  </si>
  <si>
    <t>594.106802394232</t>
  </si>
  <si>
    <t>367.891942433834</t>
  </si>
  <si>
    <t>2123.8249600229</t>
  </si>
  <si>
    <t>1061.91248001145</t>
  </si>
  <si>
    <t>462.378301506365</t>
  </si>
  <si>
    <t>231.189150753183</t>
  </si>
  <si>
    <t>770.929656977399</t>
  </si>
  <si>
    <t>1955.01194982277</t>
  </si>
  <si>
    <t>969.399449436156</t>
  </si>
  <si>
    <t>2330.80160246708</t>
  </si>
  <si>
    <t>1490.14303324369</t>
  </si>
  <si>
    <t>1048.4110512264</t>
  </si>
  <si>
    <t>2038.34251143543</t>
  </si>
  <si>
    <t>1413.27935319794</t>
  </si>
  <si>
    <t>706.63967659897</t>
  </si>
  <si>
    <t>1329.80735045563</t>
  </si>
  <si>
    <t>365.977556018416</t>
  </si>
  <si>
    <t>464.898199423661</t>
  </si>
  <si>
    <t>257.004338636932</t>
  </si>
  <si>
    <t>500.271693192913</t>
  </si>
  <si>
    <t>250.135846596456</t>
  </si>
  <si>
    <t>404.213311053247</t>
  </si>
  <si>
    <t>1817.69240071969</t>
  </si>
  <si>
    <t>732.131685690737</t>
  </si>
  <si>
    <t>2147.61702619472</t>
  </si>
  <si>
    <t>615.885643649169</t>
  </si>
  <si>
    <t>448.71037357222</t>
  </si>
  <si>
    <t>779.590954326124</t>
  </si>
  <si>
    <t>615.249260919311</t>
  </si>
  <si>
    <t>709.044563487317</t>
  </si>
  <si>
    <t>221.230439131201</t>
  </si>
  <si>
    <t>461.692833826089</t>
  </si>
  <si>
    <t>911.108389801182</t>
  </si>
  <si>
    <t>438.601086855799</t>
  </si>
  <si>
    <t>554.037335384954</t>
  </si>
  <si>
    <t>1566.79068196392</t>
  </si>
  <si>
    <t>1388.77148654031</t>
  </si>
  <si>
    <t>1798.06957353358</t>
  </si>
  <si>
    <t>858.648060934072</t>
  </si>
  <si>
    <t>429.324030467036</t>
  </si>
  <si>
    <t>966.729406043029</t>
  </si>
  <si>
    <t>483.364703021515</t>
  </si>
  <si>
    <t>1084.86432641171</t>
  </si>
  <si>
    <t>361.621442137236</t>
  </si>
  <si>
    <t>600.646803052439</t>
  </si>
  <si>
    <t>1700.99957168131</t>
  </si>
  <si>
    <t>2068.77163316841</t>
  </si>
  <si>
    <t>354.522130285841</t>
  </si>
  <si>
    <t>177.261065142921</t>
  </si>
  <si>
    <t>199.128412413687</t>
  </si>
  <si>
    <t>1955.69806389806</t>
  </si>
  <si>
    <t>977.84903194903</t>
  </si>
  <si>
    <t>748.089612175577</t>
  </si>
  <si>
    <t>280.176780349699</t>
  </si>
  <si>
    <t>661.536164139144</t>
  </si>
  <si>
    <t>1044.94551714053</t>
  </si>
  <si>
    <t>287.473256103182</t>
  </si>
  <si>
    <t>143.736628051591</t>
  </si>
  <si>
    <t>1013.33186589461</t>
  </si>
  <si>
    <t>506.665932947306</t>
  </si>
  <si>
    <t>233.865755827562</t>
  </si>
  <si>
    <t>468.895375776941</t>
  </si>
  <si>
    <t>1138.80954373228</t>
  </si>
  <si>
    <t>569.404771866139</t>
  </si>
  <si>
    <t>424.746308471554</t>
  </si>
  <si>
    <t>212.373154235777</t>
  </si>
  <si>
    <t>648.566258128086</t>
  </si>
  <si>
    <t>324.283129064043</t>
  </si>
  <si>
    <t>1493.0871272686</t>
  </si>
  <si>
    <t>420.048571757859</t>
  </si>
  <si>
    <t>1927.59922715279</t>
  </si>
  <si>
    <t>642.533075717596</t>
  </si>
  <si>
    <t>626.090788374588</t>
  </si>
  <si>
    <t>1880.49334264387</t>
  </si>
  <si>
    <t>940.246671321934</t>
  </si>
  <si>
    <t>1413.5161392935</t>
  </si>
  <si>
    <t>499.333138900481</t>
  </si>
  <si>
    <t>399.529369941175</t>
  </si>
  <si>
    <t>566.734646703989</t>
  </si>
  <si>
    <t>496.273531673675</t>
  </si>
  <si>
    <t>1080.06874606753</t>
  </si>
  <si>
    <t>360.022915355844</t>
  </si>
  <si>
    <t>880.03576993937</t>
  </si>
  <si>
    <t>1176.70023598518</t>
  </si>
  <si>
    <t>742.484029728015</t>
  </si>
  <si>
    <t>341.838754607373</t>
  </si>
  <si>
    <t>1197.32112907791</t>
  </si>
  <si>
    <t>542.106982759633</t>
  </si>
  <si>
    <t>533.257274909073</t>
  </si>
  <si>
    <t>585.057879065095</t>
  </si>
  <si>
    <t>1757.15392119869</t>
  </si>
  <si>
    <t>883.444225546734</t>
  </si>
  <si>
    <t>441.722112773367</t>
  </si>
  <si>
    <t>1043.81129666603</t>
  </si>
  <si>
    <t>521.905648333015</t>
  </si>
  <si>
    <t>2101.09959394815</t>
  </si>
  <si>
    <t>697.36735863366</t>
  </si>
  <si>
    <t>2251.9027003972</t>
  </si>
  <si>
    <t>1125.9513501986</t>
  </si>
  <si>
    <t>Claim Amount</t>
  </si>
  <si>
    <t>Exposure</t>
  </si>
  <si>
    <t>Claim Count</t>
  </si>
  <si>
    <t>Age</t>
  </si>
  <si>
    <t>Vehicle Age</t>
  </si>
  <si>
    <t>Territory</t>
  </si>
  <si>
    <t>Prior Claims</t>
  </si>
  <si>
    <t>Severity</t>
  </si>
  <si>
    <t>Average Severity</t>
  </si>
  <si>
    <t>Frequency</t>
  </si>
  <si>
    <t>Claim Count Histogram</t>
  </si>
  <si>
    <t># Claims</t>
  </si>
  <si>
    <t>Region</t>
  </si>
  <si>
    <t>Percentage</t>
  </si>
  <si>
    <t>Policyholder Territory Percentages (of those with claims)</t>
  </si>
  <si>
    <t>Mean of Severity</t>
  </si>
  <si>
    <t>Sum of Severity</t>
  </si>
  <si>
    <t>Max Severity</t>
  </si>
  <si>
    <t>FREQUENCY DATA VISUALIZATION</t>
  </si>
  <si>
    <t>Row Labels</t>
  </si>
  <si>
    <t>Grand Total</t>
  </si>
  <si>
    <t>Sum of Claim Amount</t>
  </si>
  <si>
    <t>Column Labels</t>
  </si>
  <si>
    <t>0-2</t>
  </si>
  <si>
    <t>3-5</t>
  </si>
  <si>
    <t>6-8</t>
  </si>
  <si>
    <t>9-11</t>
  </si>
  <si>
    <t>12-15</t>
  </si>
  <si>
    <t>Sum of Claim Count</t>
  </si>
  <si>
    <t>Age Groups</t>
  </si>
  <si>
    <t>75-90</t>
  </si>
  <si>
    <t>45-54</t>
  </si>
  <si>
    <t>55-64</t>
  </si>
  <si>
    <t>65-74</t>
  </si>
  <si>
    <t>35-44</t>
  </si>
  <si>
    <t>25-34</t>
  </si>
  <si>
    <t>18-24</t>
  </si>
  <si>
    <t>Vehicle Age Groups</t>
  </si>
  <si>
    <t>0.5-0.6</t>
  </si>
  <si>
    <t>0.6-0.7</t>
  </si>
  <si>
    <t>0.7-0.8</t>
  </si>
  <si>
    <t>0.8-0.9</t>
  </si>
  <si>
    <t>0.9-1</t>
  </si>
  <si>
    <t>Exposure (in years)</t>
  </si>
  <si>
    <t>% Change in Claim Amount Between Adjacent Exposure Bands</t>
  </si>
  <si>
    <t>0-1000</t>
  </si>
  <si>
    <t>1000-2000</t>
  </si>
  <si>
    <t>2000-3000</t>
  </si>
  <si>
    <t>3000-4000</t>
  </si>
  <si>
    <t>4000-5000</t>
  </si>
  <si>
    <t>5000-6000</t>
  </si>
  <si>
    <t>6000-7000</t>
  </si>
  <si>
    <t>7000-8000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</si>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</sst>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0.0%"/>
  </numFmts>
  <fonts count="12" x14ac:knownFonts="1">
    <font>
      <sz val="11"/>
      <color theme="1"/>
      <name val="Arial"/>
      <family val="2"/>
    </font>
    <font>
      <sz val="11"/>
      <color theme="1"/>
      <name val="Arial"/>
      <family val="2"/>
    </font>
    <font>
      <b/>
      <sz val="16"/>
      <color theme="1"/>
      <name val="Palatino Linotype"/>
      <family val="1"/>
    </font>
    <font>
      <sz val="11"/>
      <color theme="0"/>
      <name val="Arial"/>
      <family val="2"/>
    </font>
    <font>
      <b/>
      <sz val="14"/>
      <color theme="1"/>
      <name val="Palatino Linotype"/>
      <family val="1"/>
    </font>
    <font>
      <b/>
      <sz val="11"/>
      <color theme="1"/>
      <name val="Palatino Linotype"/>
      <family val="1"/>
    </font>
    <font>
      <sz val="11"/>
      <color theme="1"/>
      <name val="Palatino Linotype"/>
      <family val="1"/>
    </font>
    <font>
      <b/>
      <sz val="12"/>
      <color theme="1"/>
      <name val="Palatino Linotype"/>
      <family val="1"/>
    </font>
    <font>
      <b/>
      <sz val="11"/>
      <name val="Palatino Linotype"/>
      <family val="1"/>
    </font>
    <font>
      <sz val="11"/>
      <name val="Palatino Linotype"/>
      <family val="1"/>
    </font>
    <font>
      <b/>
      <sz val="13"/>
      <color rgb="FF002060"/>
      <name val="Palatino Linotype"/>
      <family val="1"/>
    </font>
    <font>
      <sz val="13"/>
      <color rgb="FF002060"/>
      <name val="Arial"/>
      <family val="2"/>
    </font>
  </fonts>
  <fills count="5">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2">
    <xf numFmtId="0" fontId="0" fillId="0" borderId="0" xfId="0"/>
    <xf numFmtId="39" fontId="0" fillId="0" borderId="0" xfId="1" applyNumberFormat="1" applyFont="1"/>
    <xf numFmtId="164" fontId="0" fillId="0" borderId="0" xfId="1" applyNumberFormat="1" applyFont="1"/>
    <xf numFmtId="2" fontId="0" fillId="0" borderId="0" xfId="0" applyNumberFormat="1"/>
    <xf numFmtId="1" fontId="0" fillId="0" borderId="0" xfId="0" applyNumberFormat="1"/>
    <xf numFmtId="165" fontId="0" fillId="0" borderId="0" xfId="2" applyNumberFormat="1" applyFont="1"/>
    <xf numFmtId="164" fontId="0" fillId="0" borderId="0" xfId="0" applyNumberFormat="1"/>
    <xf numFmtId="0" fontId="0" fillId="2" borderId="0" xfId="0" applyFill="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0" borderId="0" xfId="0" pivotButton="1"/>
    <xf numFmtId="1" fontId="0" fillId="0" borderId="0" xfId="0" applyNumberFormat="1" applyAlignment="1">
      <alignment horizontal="left"/>
    </xf>
    <xf numFmtId="10" fontId="0" fillId="0" borderId="0" xfId="0" applyNumberFormat="1"/>
    <xf numFmtId="0" fontId="0" fillId="3" borderId="0" xfId="0" applyFill="1"/>
    <xf numFmtId="0" fontId="0" fillId="0" borderId="0" xfId="0" applyAlignment="1">
      <alignment horizontal="left"/>
    </xf>
    <xf numFmtId="2" fontId="0" fillId="0" borderId="0" xfId="1" applyNumberFormat="1" applyFont="1"/>
    <xf numFmtId="2" fontId="0" fillId="0" borderId="0" xfId="0" applyNumberFormat="1" applyAlignment="1">
      <alignment horizontal="left"/>
    </xf>
    <xf numFmtId="0" fontId="5" fillId="4" borderId="8" xfId="0" applyFont="1" applyFill="1" applyBorder="1"/>
    <xf numFmtId="10" fontId="9" fillId="4" borderId="0" xfId="0" applyNumberFormat="1" applyFont="1" applyFill="1"/>
    <xf numFmtId="10" fontId="6" fillId="4" borderId="0" xfId="0" applyNumberFormat="1" applyFont="1" applyFill="1"/>
    <xf numFmtId="0" fontId="0" fillId="4" borderId="8" xfId="0" applyFill="1" applyBorder="1"/>
    <xf numFmtId="0" fontId="0" fillId="4" borderId="0" xfId="0" applyFill="1"/>
    <xf numFmtId="10" fontId="6" fillId="4" borderId="6" xfId="0" applyNumberFormat="1" applyFont="1" applyFill="1" applyBorder="1"/>
    <xf numFmtId="0" fontId="0" fillId="4" borderId="6" xfId="0" applyFill="1" applyBorder="1"/>
    <xf numFmtId="0" fontId="8" fillId="4" borderId="15" xfId="0" applyFont="1" applyFill="1" applyBorder="1"/>
    <xf numFmtId="0" fontId="5" fillId="4" borderId="11" xfId="0" applyFont="1" applyFill="1" applyBorder="1"/>
    <xf numFmtId="0" fontId="8" fillId="4" borderId="10" xfId="0" applyFont="1" applyFill="1" applyBorder="1"/>
    <xf numFmtId="0" fontId="8" fillId="4" borderId="16" xfId="0" applyFont="1" applyFill="1" applyBorder="1"/>
    <xf numFmtId="0" fontId="5" fillId="4" borderId="12" xfId="0" applyFont="1" applyFill="1" applyBorder="1" applyAlignment="1">
      <alignment horizontal="left"/>
    </xf>
    <xf numFmtId="0" fontId="5" fillId="4" borderId="13" xfId="0" applyFont="1" applyFill="1" applyBorder="1" applyAlignment="1">
      <alignment horizontal="left"/>
    </xf>
    <xf numFmtId="0" fontId="5" fillId="4" borderId="14" xfId="0" applyFont="1" applyFill="1" applyBorder="1"/>
    <xf numFmtId="0" fontId="3" fillId="4" borderId="0" xfId="0" applyFont="1" applyFill="1"/>
    <xf numFmtId="0" fontId="3" fillId="4" borderId="8" xfId="0" applyFont="1" applyFill="1" applyBorder="1"/>
    <xf numFmtId="0" fontId="3" fillId="4" borderId="9" xfId="0" applyFont="1" applyFill="1" applyBorder="1"/>
    <xf numFmtId="0" fontId="3" fillId="4" borderId="4" xfId="0" applyFont="1" applyFill="1" applyBorder="1"/>
    <xf numFmtId="0" fontId="3" fillId="4" borderId="6" xfId="0" applyFont="1" applyFill="1" applyBorder="1"/>
    <xf numFmtId="0" fontId="3" fillId="4" borderId="7" xfId="0" applyFont="1" applyFill="1" applyBorder="1"/>
    <xf numFmtId="164" fontId="0" fillId="0" borderId="0" xfId="0" applyNumberFormat="1" applyAlignment="1">
      <alignment horizontal="left"/>
    </xf>
    <xf numFmtId="0" fontId="0" fillId="2" borderId="0" xfId="0" applyFill="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7" fillId="4" borderId="12" xfId="0" applyFont="1" applyFill="1" applyBorder="1" applyAlignment="1">
      <alignment horizontal="center"/>
    </xf>
    <xf numFmtId="0" fontId="4" fillId="4" borderId="13" xfId="0" applyFont="1" applyFill="1" applyBorder="1" applyAlignment="1">
      <alignment horizontal="center"/>
    </xf>
    <xf numFmtId="0" fontId="4" fillId="4" borderId="14" xfId="0" applyFont="1" applyFill="1" applyBorder="1" applyAlignment="1">
      <alignment horizontal="center"/>
    </xf>
    <xf numFmtId="0" fontId="10" fillId="4" borderId="12" xfId="0" applyFont="1" applyFill="1" applyBorder="1" applyAlignment="1">
      <alignment horizontal="center"/>
    </xf>
    <xf numFmtId="0" fontId="11" fillId="4" borderId="13" xfId="0" applyFont="1" applyFill="1" applyBorder="1" applyAlignment="1">
      <alignment horizontal="center"/>
    </xf>
    <xf numFmtId="0" fontId="11" fillId="4" borderId="14" xfId="0" applyFont="1" applyFill="1" applyBorder="1" applyAlignment="1">
      <alignment horizontal="center"/>
    </xf>
    <xf numFmtId="0" fontId="0" fillId="0" borderId="0" xfId="0" applyAlignment="1">
      <alignment horizontal="center"/>
    </xf>
    <xf numFmtId="0" fontId="0" fillId="0" borderId="0" xfId="0" applyFill="1"/>
  </cellXfs>
  <cellStyles count="3">
    <cellStyle name="Currency" xfId="1" builtinId="4"/>
    <cellStyle name="Normal" xfId="0" builtinId="0"/>
    <cellStyle name="Percent" xfId="2" builtinId="5"/>
  </cellStyles>
  <dxfs count="18">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2" formatCode="0.00"/>
    </dxf>
    <dxf>
      <numFmt numFmtId="1" formatCode="0"/>
    </dxf>
    <dxf>
      <numFmt numFmtId="0" formatCode="General"/>
    </dxf>
    <dxf>
      <numFmt numFmtId="1" formatCode="0"/>
    </dxf>
    <dxf>
      <numFmt numFmtId="1" formatCode="0"/>
    </dxf>
    <dxf>
      <numFmt numFmtId="0" formatCode="General"/>
    </dxf>
    <dxf>
      <numFmt numFmtId="0" formatCode="General"/>
    </dxf>
    <dxf>
      <numFmt numFmtId="7" formatCode="#,##0.00_);\(#,##0.00\)"/>
    </dxf>
    <dxf>
      <numFmt numFmtId="0" formatCode="General"/>
    </dxf>
    <dxf>
      <font>
        <b/>
        <i val="0"/>
        <sz val="14"/>
        <name val="Palatino Linotype"/>
        <family val="1"/>
        <scheme val="none"/>
      </font>
    </dxf>
    <dxf>
      <fill>
        <patternFill>
          <bgColor rgb="FF296D8B"/>
        </patternFill>
      </fill>
    </dxf>
    <dxf>
      <font>
        <name val="Aptos"/>
        <family val="2"/>
        <scheme val="none"/>
      </font>
      <fill>
        <patternFill>
          <bgColor rgb="FFA7D971"/>
        </patternFill>
      </fill>
    </dxf>
  </dxfs>
  <tableStyles count="3" defaultTableStyle="TableStyleMedium2" defaultPivotStyle="PivotStyleLight16">
    <tableStyle name="Slicer Style 1" pivot="0" table="0" count="2" xr9:uid="{9DF29D96-C050-4EDB-B743-AF6210703FA8}">
      <tableStyleElement type="wholeTable" dxfId="17"/>
    </tableStyle>
    <tableStyle name="Slicer Style 2" pivot="0" table="0" count="10" xr9:uid="{BE026463-3118-429D-854C-0194BACB372F}">
      <tableStyleElement type="wholeTable" dxfId="16"/>
      <tableStyleElement type="headerRow" dxfId="15"/>
    </tableStyle>
    <tableStyle name="Slicer Style 3" pivot="0" table="0" count="1" xr9:uid="{F716A4A6-5D63-4FF5-B238-78D73B93560C}"/>
  </tableStyles>
  <colors>
    <mruColors>
      <color rgb="FFF89074"/>
      <color rgb="FF86CEEE"/>
      <color rgb="FFFF3300"/>
      <color rgb="FF296D8B"/>
      <color rgb="FFA0D9F2"/>
      <color rgb="FF0097CC"/>
      <color rgb="FFA7D971"/>
      <color rgb="FF2B4D89"/>
      <color rgb="FF000E2A"/>
    </mruColors>
  </colors>
  <extLst>
    <ext xmlns:x14="http://schemas.microsoft.com/office/spreadsheetml/2009/9/main" uri="{46F421CA-312F-682f-3DD2-61675219B42D}">
      <x14:dxfs count="10">
        <dxf>
          <fill>
            <patternFill>
              <bgColor theme="8" tint="0.39994506668294322"/>
            </patternFill>
          </fill>
        </dxf>
        <dxf>
          <font>
            <b/>
            <i val="0"/>
            <sz val="12"/>
            <name val="Palatino Linotype"/>
            <family val="1"/>
            <scheme val="none"/>
          </font>
          <fill>
            <patternFill patternType="solid">
              <fgColor auto="1"/>
              <bgColor theme="2"/>
            </patternFill>
          </fill>
          <border>
            <left style="medium">
              <color auto="1"/>
            </left>
            <right style="medium">
              <color auto="1"/>
            </right>
            <top style="medium">
              <color auto="1"/>
            </top>
            <bottom style="medium">
              <color auto="1"/>
            </bottom>
          </border>
        </dxf>
        <dxf>
          <font>
            <b/>
            <i val="0"/>
            <sz val="12"/>
            <name val="Palatino Linotype"/>
            <family val="1"/>
            <scheme val="none"/>
          </font>
          <fill>
            <patternFill patternType="solid">
              <fgColor auto="1"/>
              <bgColor rgb="FF86CEEE"/>
            </patternFill>
          </fill>
          <border>
            <left style="medium">
              <color auto="1"/>
            </left>
            <right style="medium">
              <color auto="1"/>
            </right>
            <top style="medium">
              <color auto="1"/>
            </top>
            <bottom style="medium">
              <color auto="1"/>
            </bottom>
          </border>
        </dxf>
        <dxf>
          <font>
            <b/>
            <i val="0"/>
            <sz val="12"/>
            <name val="Palatino Linotype"/>
            <family val="1"/>
            <scheme val="none"/>
          </font>
          <fill>
            <patternFill patternType="solid">
              <fgColor auto="1"/>
              <bgColor theme="2"/>
            </patternFill>
          </fill>
          <border>
            <left style="medium">
              <color auto="1"/>
            </left>
            <right style="medium">
              <color auto="1"/>
            </right>
            <top style="medium">
              <color auto="1"/>
            </top>
            <bottom style="medium">
              <color auto="1"/>
            </bottom>
          </border>
        </dxf>
        <dxf>
          <font>
            <b/>
            <i val="0"/>
            <sz val="12"/>
            <name val="Palatino Linotype"/>
            <family val="1"/>
            <scheme val="none"/>
          </font>
          <fill>
            <patternFill patternType="solid">
              <fgColor auto="1"/>
              <bgColor rgb="FF86CEEE"/>
            </patternFill>
          </fill>
          <border>
            <left style="medium">
              <color auto="1"/>
            </left>
            <right style="medium">
              <color auto="1"/>
            </right>
            <top style="medium">
              <color auto="1"/>
            </top>
            <bottom style="medium">
              <color auto="1"/>
            </bottom>
          </border>
        </dxf>
        <dxf>
          <font>
            <b/>
            <i val="0"/>
            <sz val="12"/>
            <name val="Palatino Linotype"/>
            <family val="1"/>
            <scheme val="none"/>
          </font>
          <fill>
            <patternFill>
              <bgColor rgb="FF86CEEE"/>
            </patternFill>
          </fill>
          <border>
            <left style="medium">
              <color auto="1"/>
            </left>
            <right style="medium">
              <color auto="1"/>
            </right>
            <top style="medium">
              <color auto="1"/>
            </top>
            <bottom style="medium">
              <color auto="1"/>
            </bottom>
          </border>
        </dxf>
        <dxf>
          <font>
            <b/>
            <i val="0"/>
            <sz val="12"/>
            <name val="Palatino Linotype"/>
            <family val="1"/>
            <scheme val="none"/>
          </font>
          <fill>
            <patternFill patternType="solid">
              <fgColor auto="1"/>
              <bgColor rgb="FF86CEEE"/>
            </patternFill>
          </fill>
          <border>
            <left style="medium">
              <color auto="1"/>
            </left>
            <right style="medium">
              <color auto="1"/>
            </right>
            <top style="medium">
              <color auto="1"/>
            </top>
            <bottom style="medium">
              <color auto="1"/>
            </bottom>
          </border>
        </dxf>
        <dxf>
          <font>
            <b/>
            <i val="0"/>
            <sz val="12"/>
            <name val="Palatino Linotype"/>
            <family val="1"/>
            <scheme val="none"/>
          </font>
          <fill>
            <patternFill>
              <bgColor theme="2"/>
            </patternFill>
          </fill>
          <border>
            <left style="medium">
              <color auto="1"/>
            </left>
            <right style="medium">
              <color auto="1"/>
            </right>
            <top style="medium">
              <color auto="1"/>
            </top>
            <bottom style="medium">
              <color auto="1"/>
            </bottom>
          </border>
        </dxf>
        <dxf>
          <font>
            <b/>
            <i val="0"/>
            <sz val="12"/>
            <name val="Palatino Linotype"/>
            <family val="1"/>
            <scheme val="none"/>
          </font>
          <fill>
            <patternFill patternType="solid">
              <fgColor auto="1"/>
              <bgColor theme="2"/>
            </patternFill>
          </fill>
          <border>
            <left style="medium">
              <color auto="1"/>
            </left>
            <right style="medium">
              <color auto="1"/>
            </right>
            <top style="medium">
              <color auto="1"/>
            </top>
            <bottom style="medium">
              <color auto="1"/>
            </bottom>
          </border>
        </dxf>
        <dxf>
          <fill>
            <patternFill>
              <fgColor rgb="FFA7D971"/>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s>
        </x14:slicerStyle>
        <x14:slicerStyle name="Slicer Style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Number</a:t>
            </a:r>
            <a:r>
              <a:rPr lang="en-US" b="1" baseline="0">
                <a:solidFill>
                  <a:sysClr val="windowText" lastClr="000000"/>
                </a:solidFill>
                <a:latin typeface="Palatino Linotype" panose="02040502050505030304" pitchFamily="18" charset="0"/>
              </a:rPr>
              <a:t> of Claims per Policyholder</a:t>
            </a:r>
            <a:endParaRPr lang="en-US" b="1">
              <a:solidFill>
                <a:sysClr val="windowText" lastClr="00000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 Tables'!$C$4:$C$8</c:f>
              <c:numCache>
                <c:formatCode>General</c:formatCode>
                <c:ptCount val="5"/>
                <c:pt idx="0">
                  <c:v>1295</c:v>
                </c:pt>
                <c:pt idx="1">
                  <c:v>306</c:v>
                </c:pt>
                <c:pt idx="2">
                  <c:v>55</c:v>
                </c:pt>
                <c:pt idx="3">
                  <c:v>5</c:v>
                </c:pt>
                <c:pt idx="4">
                  <c:v>0</c:v>
                </c:pt>
              </c:numCache>
            </c:numRef>
          </c:val>
          <c:extLst>
            <c:ext xmlns:c16="http://schemas.microsoft.com/office/drawing/2014/chart" uri="{C3380CC4-5D6E-409C-BE32-E72D297353CC}">
              <c16:uniqueId val="{00000001-34E1-46D1-9706-482E3435E47D}"/>
            </c:ext>
          </c:extLst>
        </c:ser>
        <c:dLbls>
          <c:showLegendKey val="0"/>
          <c:showVal val="0"/>
          <c:showCatName val="0"/>
          <c:showSerName val="0"/>
          <c:showPercent val="0"/>
          <c:showBubbleSize val="0"/>
        </c:dLbls>
        <c:gapWidth val="0"/>
        <c:overlap val="-27"/>
        <c:axId val="556485759"/>
        <c:axId val="556480959"/>
        <c:extLst>
          <c:ext xmlns:c15="http://schemas.microsoft.com/office/drawing/2012/chart" uri="{02D57815-91ED-43cb-92C2-25804820EDAC}">
            <c15:filteredBarSeries>
              <c15:ser>
                <c:idx val="0"/>
                <c:order val="0"/>
                <c:spPr>
                  <a:solidFill>
                    <a:schemeClr val="accent1"/>
                  </a:solidFill>
                  <a:ln>
                    <a:noFill/>
                  </a:ln>
                  <a:effectLst/>
                </c:spPr>
                <c:invertIfNegative val="0"/>
                <c:val>
                  <c:numRef>
                    <c:extLst>
                      <c:ext uri="{02D57815-91ED-43cb-92C2-25804820EDAC}">
                        <c15:formulaRef>
                          <c15:sqref>'Graph Tables'!$B$4:$B$8</c15:sqref>
                        </c15:formulaRef>
                      </c:ext>
                    </c:extLst>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34E1-46D1-9706-482E3435E47D}"/>
                  </c:ext>
                </c:extLst>
              </c15:ser>
            </c15:filteredBarSeries>
          </c:ext>
        </c:extLst>
      </c:barChart>
      <c:catAx>
        <c:axId val="5564857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556480959"/>
        <c:crosses val="autoZero"/>
        <c:auto val="1"/>
        <c:lblAlgn val="ctr"/>
        <c:lblOffset val="100"/>
        <c:noMultiLvlLbl val="0"/>
      </c:catAx>
      <c:valAx>
        <c:axId val="55648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55648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Palatino Linotype" panose="02040502050505030304" pitchFamily="18" charset="0"/>
                <a:ea typeface="+mn-ea"/>
                <a:cs typeface="+mn-cs"/>
              </a:defRPr>
            </a:pPr>
            <a:r>
              <a:rPr lang="en-US" sz="1400" b="1">
                <a:solidFill>
                  <a:sysClr val="windowText" lastClr="000000"/>
                </a:solidFill>
                <a:latin typeface="Palatino Linotype" panose="02040502050505030304" pitchFamily="18" charset="0"/>
              </a:rPr>
              <a:t>Percentage of Policyholders</a:t>
            </a:r>
          </a:p>
          <a:p>
            <a:pPr>
              <a:defRPr b="1">
                <a:solidFill>
                  <a:sysClr val="windowText" lastClr="000000"/>
                </a:solidFill>
                <a:latin typeface="Palatino Linotype" panose="02040502050505030304" pitchFamily="18" charset="0"/>
              </a:defRPr>
            </a:pPr>
            <a:r>
              <a:rPr lang="en-US" sz="1400" b="1" baseline="0">
                <a:solidFill>
                  <a:sysClr val="windowText" lastClr="000000"/>
                </a:solidFill>
                <a:latin typeface="Palatino Linotype" panose="02040502050505030304" pitchFamily="18" charset="0"/>
              </a:rPr>
              <a:t> (with at least one claim) by Region</a:t>
            </a:r>
            <a:endParaRPr lang="en-US" sz="1400" b="1">
              <a:solidFill>
                <a:sysClr val="windowText" lastClr="00000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Palatino Linotype" panose="02040502050505030304" pitchFamily="18" charset="0"/>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63-4B00-B90D-4ADEF9208C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63-4B00-B90D-4ADEF9208C1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0663-4B00-B90D-4ADEF9208C1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Tables'!$F$4:$F$6</c:f>
              <c:strCache>
                <c:ptCount val="3"/>
                <c:pt idx="0">
                  <c:v>Urban</c:v>
                </c:pt>
                <c:pt idx="1">
                  <c:v>Suburban</c:v>
                </c:pt>
                <c:pt idx="2">
                  <c:v>Rural</c:v>
                </c:pt>
              </c:strCache>
            </c:strRef>
          </c:cat>
          <c:val>
            <c:numRef>
              <c:f>'Graph Tables'!$H$4:$H$6</c:f>
              <c:numCache>
                <c:formatCode>0.0%</c:formatCode>
                <c:ptCount val="3"/>
                <c:pt idx="0">
                  <c:v>0.495</c:v>
                </c:pt>
                <c:pt idx="1">
                  <c:v>0.27900000000000003</c:v>
                </c:pt>
                <c:pt idx="2">
                  <c:v>0.22600000000000001</c:v>
                </c:pt>
              </c:numCache>
            </c:numRef>
          </c:val>
          <c:extLst>
            <c:ext xmlns:c16="http://schemas.microsoft.com/office/drawing/2014/chart" uri="{C3380CC4-5D6E-409C-BE32-E72D297353CC}">
              <c16:uniqueId val="{00000006-0663-4B00-B90D-4ADEF9208C15}"/>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3300">
            <a:tint val="66000"/>
            <a:satMod val="160000"/>
          </a:srgbClr>
        </a:gs>
        <a:gs pos="50000">
          <a:srgbClr val="FF3300">
            <a:tint val="44500"/>
            <a:satMod val="160000"/>
          </a:srgbClr>
        </a:gs>
        <a:gs pos="100000">
          <a:srgbClr val="FF3300">
            <a:tint val="23500"/>
            <a:satMod val="160000"/>
          </a:srgbClr>
        </a:gs>
      </a:gsLst>
      <a:path path="circle">
        <a:fillToRect l="50000" t="50000" r="50000" b="5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Tables!CAbyAge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Claim Amount by</a:t>
            </a:r>
            <a:r>
              <a:rPr lang="en-US" b="1" baseline="0">
                <a:solidFill>
                  <a:srgbClr val="002060"/>
                </a:solidFill>
                <a:latin typeface="Palatino Linotype" panose="02040502050505030304" pitchFamily="18" charset="0"/>
              </a:rPr>
              <a:t> Age</a:t>
            </a:r>
            <a:endParaRPr lang="en-US" b="1">
              <a:solidFill>
                <a:srgbClr val="00206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circle"/>
          <c:size val="7"/>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circle"/>
          <c:size val="7"/>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circle"/>
          <c:size val="7"/>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 Tables'!$B$12:$B$13</c:f>
              <c:strCache>
                <c:ptCount val="1"/>
                <c:pt idx="0">
                  <c:v>Urban</c:v>
                </c:pt>
              </c:strCache>
            </c:strRef>
          </c:tx>
          <c:spPr>
            <a:ln w="28575" cap="rnd">
              <a:solidFill>
                <a:schemeClr val="accent1"/>
              </a:solidFill>
              <a:round/>
            </a:ln>
            <a:effectLst/>
          </c:spPr>
          <c:marker>
            <c:symbol val="diamond"/>
            <c:size val="7"/>
            <c:spPr>
              <a:solidFill>
                <a:schemeClr val="accent1"/>
              </a:solidFill>
              <a:ln w="9525">
                <a:solidFill>
                  <a:schemeClr val="accent1"/>
                </a:solidFill>
              </a:ln>
              <a:effectLst/>
            </c:spPr>
          </c:marker>
          <c:cat>
            <c:strRef>
              <c:f>'Graph Tables'!$A$14:$A$21</c:f>
              <c:strCache>
                <c:ptCount val="7"/>
                <c:pt idx="0">
                  <c:v>18-24</c:v>
                </c:pt>
                <c:pt idx="1">
                  <c:v>25-34</c:v>
                </c:pt>
                <c:pt idx="2">
                  <c:v>35-44</c:v>
                </c:pt>
                <c:pt idx="3">
                  <c:v>45-54</c:v>
                </c:pt>
                <c:pt idx="4">
                  <c:v>55-64</c:v>
                </c:pt>
                <c:pt idx="5">
                  <c:v>65-74</c:v>
                </c:pt>
                <c:pt idx="6">
                  <c:v>75-90</c:v>
                </c:pt>
              </c:strCache>
            </c:strRef>
          </c:cat>
          <c:val>
            <c:numRef>
              <c:f>'Graph Tables'!$B$14:$B$21</c:f>
              <c:numCache>
                <c:formatCode>"$"#,##0.00</c:formatCode>
                <c:ptCount val="7"/>
                <c:pt idx="0">
                  <c:v>24459.339999999997</c:v>
                </c:pt>
                <c:pt idx="1">
                  <c:v>43727.419999999984</c:v>
                </c:pt>
                <c:pt idx="2">
                  <c:v>78037.719999999958</c:v>
                </c:pt>
                <c:pt idx="3">
                  <c:v>79865.500000000015</c:v>
                </c:pt>
                <c:pt idx="4">
                  <c:v>120609.43000000005</c:v>
                </c:pt>
                <c:pt idx="5">
                  <c:v>158621.63999999996</c:v>
                </c:pt>
                <c:pt idx="6">
                  <c:v>394851.84999999986</c:v>
                </c:pt>
              </c:numCache>
            </c:numRef>
          </c:val>
          <c:smooth val="0"/>
          <c:extLst>
            <c:ext xmlns:c16="http://schemas.microsoft.com/office/drawing/2014/chart" uri="{C3380CC4-5D6E-409C-BE32-E72D297353CC}">
              <c16:uniqueId val="{00000000-93DA-4D0E-8B6E-09C44223C5FD}"/>
            </c:ext>
          </c:extLst>
        </c:ser>
        <c:ser>
          <c:idx val="1"/>
          <c:order val="1"/>
          <c:tx>
            <c:strRef>
              <c:f>'Graph Tables'!$C$12:$C$13</c:f>
              <c:strCache>
                <c:ptCount val="1"/>
                <c:pt idx="0">
                  <c:v>Suburban</c:v>
                </c:pt>
              </c:strCache>
            </c:strRef>
          </c:tx>
          <c:spPr>
            <a:ln w="28575" cap="rnd">
              <a:solidFill>
                <a:schemeClr val="accent2"/>
              </a:solidFill>
              <a:round/>
            </a:ln>
            <a:effectLst/>
          </c:spPr>
          <c:marker>
            <c:symbol val="square"/>
            <c:size val="7"/>
            <c:spPr>
              <a:solidFill>
                <a:schemeClr val="accent2"/>
              </a:solidFill>
              <a:ln w="9525">
                <a:solidFill>
                  <a:schemeClr val="accent2"/>
                </a:solidFill>
              </a:ln>
              <a:effectLst/>
            </c:spPr>
          </c:marker>
          <c:cat>
            <c:strRef>
              <c:f>'Graph Tables'!$A$14:$A$21</c:f>
              <c:strCache>
                <c:ptCount val="7"/>
                <c:pt idx="0">
                  <c:v>18-24</c:v>
                </c:pt>
                <c:pt idx="1">
                  <c:v>25-34</c:v>
                </c:pt>
                <c:pt idx="2">
                  <c:v>35-44</c:v>
                </c:pt>
                <c:pt idx="3">
                  <c:v>45-54</c:v>
                </c:pt>
                <c:pt idx="4">
                  <c:v>55-64</c:v>
                </c:pt>
                <c:pt idx="5">
                  <c:v>65-74</c:v>
                </c:pt>
                <c:pt idx="6">
                  <c:v>75-90</c:v>
                </c:pt>
              </c:strCache>
            </c:strRef>
          </c:cat>
          <c:val>
            <c:numRef>
              <c:f>'Graph Tables'!$C$14:$C$21</c:f>
              <c:numCache>
                <c:formatCode>"$"#,##0.00</c:formatCode>
                <c:ptCount val="7"/>
                <c:pt idx="0">
                  <c:v>13805.429999999998</c:v>
                </c:pt>
                <c:pt idx="1">
                  <c:v>35912.370000000003</c:v>
                </c:pt>
                <c:pt idx="2">
                  <c:v>34202.32</c:v>
                </c:pt>
                <c:pt idx="3">
                  <c:v>73082.109999999986</c:v>
                </c:pt>
                <c:pt idx="4">
                  <c:v>88529.36</c:v>
                </c:pt>
                <c:pt idx="5">
                  <c:v>107386.98000000001</c:v>
                </c:pt>
                <c:pt idx="6">
                  <c:v>254430.59999999998</c:v>
                </c:pt>
              </c:numCache>
            </c:numRef>
          </c:val>
          <c:smooth val="0"/>
          <c:extLst>
            <c:ext xmlns:c16="http://schemas.microsoft.com/office/drawing/2014/chart" uri="{C3380CC4-5D6E-409C-BE32-E72D297353CC}">
              <c16:uniqueId val="{0000001A-93DA-4D0E-8B6E-09C44223C5FD}"/>
            </c:ext>
          </c:extLst>
        </c:ser>
        <c:ser>
          <c:idx val="2"/>
          <c:order val="2"/>
          <c:tx>
            <c:strRef>
              <c:f>'Graph Tables'!$D$12:$D$13</c:f>
              <c:strCache>
                <c:ptCount val="1"/>
                <c:pt idx="0">
                  <c:v>Rural</c:v>
                </c:pt>
              </c:strCache>
            </c:strRef>
          </c:tx>
          <c:spPr>
            <a:ln w="28575" cap="rnd">
              <a:solidFill>
                <a:srgbClr val="00B050"/>
              </a:solidFill>
              <a:round/>
            </a:ln>
            <a:effectLst/>
          </c:spPr>
          <c:marker>
            <c:symbol val="circle"/>
            <c:size val="7"/>
            <c:spPr>
              <a:solidFill>
                <a:srgbClr val="00B050"/>
              </a:solidFill>
              <a:ln w="9525">
                <a:solidFill>
                  <a:srgbClr val="00B050"/>
                </a:solidFill>
              </a:ln>
              <a:effectLst/>
            </c:spPr>
          </c:marker>
          <c:cat>
            <c:strRef>
              <c:f>'Graph Tables'!$A$14:$A$21</c:f>
              <c:strCache>
                <c:ptCount val="7"/>
                <c:pt idx="0">
                  <c:v>18-24</c:v>
                </c:pt>
                <c:pt idx="1">
                  <c:v>25-34</c:v>
                </c:pt>
                <c:pt idx="2">
                  <c:v>35-44</c:v>
                </c:pt>
                <c:pt idx="3">
                  <c:v>45-54</c:v>
                </c:pt>
                <c:pt idx="4">
                  <c:v>55-64</c:v>
                </c:pt>
                <c:pt idx="5">
                  <c:v>65-74</c:v>
                </c:pt>
                <c:pt idx="6">
                  <c:v>75-90</c:v>
                </c:pt>
              </c:strCache>
            </c:strRef>
          </c:cat>
          <c:val>
            <c:numRef>
              <c:f>'Graph Tables'!$D$14:$D$21</c:f>
              <c:numCache>
                <c:formatCode>"$"#,##0.00</c:formatCode>
                <c:ptCount val="7"/>
                <c:pt idx="0">
                  <c:v>13497.26</c:v>
                </c:pt>
                <c:pt idx="1">
                  <c:v>31936.750000000004</c:v>
                </c:pt>
                <c:pt idx="2">
                  <c:v>39389.589999999997</c:v>
                </c:pt>
                <c:pt idx="3">
                  <c:v>48163.700000000012</c:v>
                </c:pt>
                <c:pt idx="4">
                  <c:v>66889.290000000008</c:v>
                </c:pt>
                <c:pt idx="5">
                  <c:v>89392.07</c:v>
                </c:pt>
                <c:pt idx="6">
                  <c:v>238378.68000000005</c:v>
                </c:pt>
              </c:numCache>
            </c:numRef>
          </c:val>
          <c:smooth val="0"/>
          <c:extLst>
            <c:ext xmlns:c16="http://schemas.microsoft.com/office/drawing/2014/chart" uri="{C3380CC4-5D6E-409C-BE32-E72D297353CC}">
              <c16:uniqueId val="{0000001B-93DA-4D0E-8B6E-09C44223C5FD}"/>
            </c:ext>
          </c:extLst>
        </c:ser>
        <c:dLbls>
          <c:showLegendKey val="0"/>
          <c:showVal val="0"/>
          <c:showCatName val="0"/>
          <c:showSerName val="0"/>
          <c:showPercent val="0"/>
          <c:showBubbleSize val="0"/>
        </c:dLbls>
        <c:marker val="1"/>
        <c:smooth val="0"/>
        <c:axId val="279803087"/>
        <c:axId val="279788207"/>
      </c:lineChart>
      <c:catAx>
        <c:axId val="27980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279788207"/>
        <c:crosses val="autoZero"/>
        <c:auto val="1"/>
        <c:lblAlgn val="ctr"/>
        <c:lblOffset val="100"/>
        <c:noMultiLvlLbl val="0"/>
      </c:catAx>
      <c:valAx>
        <c:axId val="27978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27980308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Tables!CAbyVA</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Claim Amount by Vehicle Age (in $000s</a:t>
            </a:r>
            <a:r>
              <a:rPr lang="en-US">
                <a:solidFill>
                  <a:srgbClr val="002060"/>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 Tables'!$B$40:$B$41</c:f>
              <c:strCache>
                <c:ptCount val="1"/>
                <c:pt idx="0">
                  <c:v>Rural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Tables'!$A$42:$A$47</c:f>
              <c:strCache>
                <c:ptCount val="5"/>
                <c:pt idx="0">
                  <c:v>0-2</c:v>
                </c:pt>
                <c:pt idx="1">
                  <c:v>3-5</c:v>
                </c:pt>
                <c:pt idx="2">
                  <c:v>6-8</c:v>
                </c:pt>
                <c:pt idx="3">
                  <c:v>9-11</c:v>
                </c:pt>
                <c:pt idx="4">
                  <c:v>12-15</c:v>
                </c:pt>
              </c:strCache>
            </c:strRef>
          </c:cat>
          <c:val>
            <c:numRef>
              <c:f>'Graph Tables'!$B$42:$B$47</c:f>
              <c:numCache>
                <c:formatCode>"$"#,##0.00</c:formatCode>
                <c:ptCount val="5"/>
                <c:pt idx="0">
                  <c:v>65986.290000000008</c:v>
                </c:pt>
                <c:pt idx="1">
                  <c:v>85296.729999999981</c:v>
                </c:pt>
                <c:pt idx="2">
                  <c:v>91011.150000000009</c:v>
                </c:pt>
                <c:pt idx="3">
                  <c:v>97302.000000000015</c:v>
                </c:pt>
                <c:pt idx="4">
                  <c:v>188051.16999999995</c:v>
                </c:pt>
              </c:numCache>
            </c:numRef>
          </c:val>
          <c:extLst>
            <c:ext xmlns:c16="http://schemas.microsoft.com/office/drawing/2014/chart" uri="{C3380CC4-5D6E-409C-BE32-E72D297353CC}">
              <c16:uniqueId val="{00000000-E91A-4489-9AA7-7C2C5CF7BA1A}"/>
            </c:ext>
          </c:extLst>
        </c:ser>
        <c:ser>
          <c:idx val="1"/>
          <c:order val="1"/>
          <c:tx>
            <c:strRef>
              <c:f>'Graph Tables'!$C$40:$C$41</c:f>
              <c:strCache>
                <c:ptCount val="1"/>
                <c:pt idx="0">
                  <c:v>Suburban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Tables'!$A$42:$A$47</c:f>
              <c:strCache>
                <c:ptCount val="5"/>
                <c:pt idx="0">
                  <c:v>0-2</c:v>
                </c:pt>
                <c:pt idx="1">
                  <c:v>3-5</c:v>
                </c:pt>
                <c:pt idx="2">
                  <c:v>6-8</c:v>
                </c:pt>
                <c:pt idx="3">
                  <c:v>9-11</c:v>
                </c:pt>
                <c:pt idx="4">
                  <c:v>12-15</c:v>
                </c:pt>
              </c:strCache>
            </c:strRef>
          </c:cat>
          <c:val>
            <c:numRef>
              <c:f>'Graph Tables'!$C$42:$C$47</c:f>
              <c:numCache>
                <c:formatCode>"$"#,##0.00</c:formatCode>
                <c:ptCount val="5"/>
                <c:pt idx="0">
                  <c:v>60210.680000000008</c:v>
                </c:pt>
                <c:pt idx="1">
                  <c:v>94442.92</c:v>
                </c:pt>
                <c:pt idx="2">
                  <c:v>105194.78</c:v>
                </c:pt>
                <c:pt idx="3">
                  <c:v>159414.67999999996</c:v>
                </c:pt>
                <c:pt idx="4">
                  <c:v>188086.11000000002</c:v>
                </c:pt>
              </c:numCache>
            </c:numRef>
          </c:val>
          <c:extLst>
            <c:ext xmlns:c16="http://schemas.microsoft.com/office/drawing/2014/chart" uri="{C3380CC4-5D6E-409C-BE32-E72D297353CC}">
              <c16:uniqueId val="{00000018-E91A-4489-9AA7-7C2C5CF7BA1A}"/>
            </c:ext>
          </c:extLst>
        </c:ser>
        <c:ser>
          <c:idx val="2"/>
          <c:order val="2"/>
          <c:tx>
            <c:strRef>
              <c:f>'Graph Tables'!$D$40:$D$41</c:f>
              <c:strCache>
                <c:ptCount val="1"/>
                <c:pt idx="0">
                  <c:v>Urban</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Tables'!$A$42:$A$47</c:f>
              <c:strCache>
                <c:ptCount val="5"/>
                <c:pt idx="0">
                  <c:v>0-2</c:v>
                </c:pt>
                <c:pt idx="1">
                  <c:v>3-5</c:v>
                </c:pt>
                <c:pt idx="2">
                  <c:v>6-8</c:v>
                </c:pt>
                <c:pt idx="3">
                  <c:v>9-11</c:v>
                </c:pt>
                <c:pt idx="4">
                  <c:v>12-15</c:v>
                </c:pt>
              </c:strCache>
            </c:strRef>
          </c:cat>
          <c:val>
            <c:numRef>
              <c:f>'Graph Tables'!$D$42:$D$47</c:f>
              <c:numCache>
                <c:formatCode>"$"#,##0.00</c:formatCode>
                <c:ptCount val="5"/>
                <c:pt idx="0">
                  <c:v>79890.290000000008</c:v>
                </c:pt>
                <c:pt idx="1">
                  <c:v>119761.32000000005</c:v>
                </c:pt>
                <c:pt idx="2">
                  <c:v>192674.72999999992</c:v>
                </c:pt>
                <c:pt idx="3">
                  <c:v>220520.93999999986</c:v>
                </c:pt>
                <c:pt idx="4">
                  <c:v>287325.61999999994</c:v>
                </c:pt>
              </c:numCache>
            </c:numRef>
          </c:val>
          <c:extLst>
            <c:ext xmlns:c16="http://schemas.microsoft.com/office/drawing/2014/chart" uri="{C3380CC4-5D6E-409C-BE32-E72D297353CC}">
              <c16:uniqueId val="{00000019-E91A-4489-9AA7-7C2C5CF7BA1A}"/>
            </c:ext>
          </c:extLst>
        </c:ser>
        <c:dLbls>
          <c:showLegendKey val="0"/>
          <c:showVal val="0"/>
          <c:showCatName val="0"/>
          <c:showSerName val="0"/>
          <c:showPercent val="0"/>
          <c:showBubbleSize val="0"/>
        </c:dLbls>
        <c:gapWidth val="182"/>
        <c:axId val="319576239"/>
        <c:axId val="319570479"/>
      </c:barChart>
      <c:catAx>
        <c:axId val="31957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319570479"/>
        <c:crosses val="autoZero"/>
        <c:auto val="1"/>
        <c:lblAlgn val="ctr"/>
        <c:lblOffset val="100"/>
        <c:noMultiLvlLbl val="0"/>
      </c:catAx>
      <c:valAx>
        <c:axId val="31957047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crossAx val="319576239"/>
        <c:crosses val="autoZero"/>
        <c:crossBetween val="between"/>
        <c:majorUnit val="40000"/>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Tables!%CAbyCC</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a:t>
            </a:r>
            <a:r>
              <a:rPr lang="en-US" b="1" baseline="0">
                <a:solidFill>
                  <a:srgbClr val="002060"/>
                </a:solidFill>
                <a:latin typeface="Palatino Linotype" panose="02040502050505030304" pitchFamily="18" charset="0"/>
              </a:rPr>
              <a:t> of Claim Amount by Claim Count</a:t>
            </a:r>
            <a:endParaRPr lang="en-US" b="1">
              <a:solidFill>
                <a:srgbClr val="002060"/>
              </a:solidFill>
              <a:latin typeface="Palatino Linotype" panose="02040502050505030304" pitchFamily="18" charset="0"/>
            </a:endParaRPr>
          </a:p>
        </c:rich>
      </c:tx>
      <c:layout>
        <c:manualLayout>
          <c:xMode val="edge"/>
          <c:yMode val="edge"/>
          <c:x val="0.167611111111111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 Tables'!$B$26:$B$27</c:f>
              <c:strCache>
                <c:ptCount val="1"/>
                <c:pt idx="0">
                  <c:v>Urban</c:v>
                </c:pt>
              </c:strCache>
            </c:strRef>
          </c:tx>
          <c:spPr>
            <a:solidFill>
              <a:schemeClr val="accent1"/>
            </a:solidFill>
            <a:ln>
              <a:noFill/>
            </a:ln>
            <a:effectLst/>
          </c:spPr>
          <c:invertIfNegative val="0"/>
          <c:cat>
            <c:strRef>
              <c:f>'Graph Tables'!$A$28:$A$32</c:f>
              <c:strCache>
                <c:ptCount val="4"/>
                <c:pt idx="0">
                  <c:v>1</c:v>
                </c:pt>
                <c:pt idx="1">
                  <c:v>2</c:v>
                </c:pt>
                <c:pt idx="2">
                  <c:v>3</c:v>
                </c:pt>
                <c:pt idx="3">
                  <c:v>4</c:v>
                </c:pt>
              </c:strCache>
            </c:strRef>
          </c:cat>
          <c:val>
            <c:numRef>
              <c:f>'Graph Tables'!$B$28:$B$32</c:f>
              <c:numCache>
                <c:formatCode>0.00%</c:formatCode>
                <c:ptCount val="4"/>
                <c:pt idx="0">
                  <c:v>0.7588573150780259</c:v>
                </c:pt>
                <c:pt idx="1">
                  <c:v>0.20626126380831944</c:v>
                </c:pt>
                <c:pt idx="2">
                  <c:v>2.9485457738174532E-2</c:v>
                </c:pt>
                <c:pt idx="3">
                  <c:v>5.3959633754804229E-3</c:v>
                </c:pt>
              </c:numCache>
            </c:numRef>
          </c:val>
          <c:extLst>
            <c:ext xmlns:c16="http://schemas.microsoft.com/office/drawing/2014/chart" uri="{C3380CC4-5D6E-409C-BE32-E72D297353CC}">
              <c16:uniqueId val="{00000000-67F1-493D-92FF-AB8D71F8672C}"/>
            </c:ext>
          </c:extLst>
        </c:ser>
        <c:ser>
          <c:idx val="1"/>
          <c:order val="1"/>
          <c:tx>
            <c:strRef>
              <c:f>'Graph Tables'!$C$26:$C$27</c:f>
              <c:strCache>
                <c:ptCount val="1"/>
                <c:pt idx="0">
                  <c:v>Suburban</c:v>
                </c:pt>
              </c:strCache>
            </c:strRef>
          </c:tx>
          <c:spPr>
            <a:solidFill>
              <a:schemeClr val="accent2"/>
            </a:solidFill>
            <a:ln>
              <a:noFill/>
            </a:ln>
            <a:effectLst/>
          </c:spPr>
          <c:invertIfNegative val="0"/>
          <c:cat>
            <c:strRef>
              <c:f>'Graph Tables'!$A$28:$A$32</c:f>
              <c:strCache>
                <c:ptCount val="4"/>
                <c:pt idx="0">
                  <c:v>1</c:v>
                </c:pt>
                <c:pt idx="1">
                  <c:v>2</c:v>
                </c:pt>
                <c:pt idx="2">
                  <c:v>3</c:v>
                </c:pt>
                <c:pt idx="3">
                  <c:v>4</c:v>
                </c:pt>
              </c:strCache>
            </c:strRef>
          </c:cat>
          <c:val>
            <c:numRef>
              <c:f>'Graph Tables'!$C$28:$C$32</c:f>
              <c:numCache>
                <c:formatCode>0.00%</c:formatCode>
                <c:ptCount val="4"/>
                <c:pt idx="0">
                  <c:v>0.70771276430656793</c:v>
                </c:pt>
                <c:pt idx="1">
                  <c:v>0.21687134272365916</c:v>
                </c:pt>
                <c:pt idx="2">
                  <c:v>7.5415892969772177E-2</c:v>
                </c:pt>
                <c:pt idx="3">
                  <c:v>0</c:v>
                </c:pt>
              </c:numCache>
            </c:numRef>
          </c:val>
          <c:extLst>
            <c:ext xmlns:c16="http://schemas.microsoft.com/office/drawing/2014/chart" uri="{C3380CC4-5D6E-409C-BE32-E72D297353CC}">
              <c16:uniqueId val="{00000014-67F1-493D-92FF-AB8D71F8672C}"/>
            </c:ext>
          </c:extLst>
        </c:ser>
        <c:ser>
          <c:idx val="2"/>
          <c:order val="2"/>
          <c:tx>
            <c:strRef>
              <c:f>'Graph Tables'!$D$26:$D$27</c:f>
              <c:strCache>
                <c:ptCount val="1"/>
                <c:pt idx="0">
                  <c:v>Rural</c:v>
                </c:pt>
              </c:strCache>
            </c:strRef>
          </c:tx>
          <c:spPr>
            <a:solidFill>
              <a:srgbClr val="00B050"/>
            </a:solidFill>
            <a:ln>
              <a:noFill/>
            </a:ln>
            <a:effectLst/>
          </c:spPr>
          <c:invertIfNegative val="0"/>
          <c:cat>
            <c:strRef>
              <c:f>'Graph Tables'!$A$28:$A$32</c:f>
              <c:strCache>
                <c:ptCount val="4"/>
                <c:pt idx="0">
                  <c:v>1</c:v>
                </c:pt>
                <c:pt idx="1">
                  <c:v>2</c:v>
                </c:pt>
                <c:pt idx="2">
                  <c:v>3</c:v>
                </c:pt>
                <c:pt idx="3">
                  <c:v>4</c:v>
                </c:pt>
              </c:strCache>
            </c:strRef>
          </c:cat>
          <c:val>
            <c:numRef>
              <c:f>'Graph Tables'!$D$28:$D$32</c:f>
              <c:numCache>
                <c:formatCode>0.00%</c:formatCode>
                <c:ptCount val="4"/>
                <c:pt idx="0">
                  <c:v>0.71244854565172255</c:v>
                </c:pt>
                <c:pt idx="1">
                  <c:v>0.23967525355097957</c:v>
                </c:pt>
                <c:pt idx="2">
                  <c:v>4.1707137195081824E-2</c:v>
                </c:pt>
                <c:pt idx="3">
                  <c:v>6.1690636022158248E-3</c:v>
                </c:pt>
              </c:numCache>
            </c:numRef>
          </c:val>
          <c:extLst>
            <c:ext xmlns:c16="http://schemas.microsoft.com/office/drawing/2014/chart" uri="{C3380CC4-5D6E-409C-BE32-E72D297353CC}">
              <c16:uniqueId val="{00000015-67F1-493D-92FF-AB8D71F8672C}"/>
            </c:ext>
          </c:extLst>
        </c:ser>
        <c:dLbls>
          <c:showLegendKey val="0"/>
          <c:showVal val="0"/>
          <c:showCatName val="0"/>
          <c:showSerName val="0"/>
          <c:showPercent val="0"/>
          <c:showBubbleSize val="0"/>
        </c:dLbls>
        <c:gapWidth val="219"/>
        <c:overlap val="-27"/>
        <c:axId val="319670591"/>
        <c:axId val="319645631"/>
      </c:barChart>
      <c:catAx>
        <c:axId val="31967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Number of Claims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319645631"/>
        <c:crosses val="autoZero"/>
        <c:auto val="1"/>
        <c:lblAlgn val="ctr"/>
        <c:lblOffset val="100"/>
        <c:noMultiLvlLbl val="0"/>
      </c:catAx>
      <c:valAx>
        <c:axId val="3196456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31967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latin typeface="Palatino Linotype" panose="02040502050505030304" pitchFamily="18" charset="0"/>
              </a:rPr>
              <a:t>% of Claim Amount by Prior</a:t>
            </a:r>
            <a:r>
              <a:rPr lang="en-US" b="1" baseline="0">
                <a:solidFill>
                  <a:srgbClr val="002060"/>
                </a:solidFill>
                <a:latin typeface="Palatino Linotype" panose="02040502050505030304" pitchFamily="18" charset="0"/>
              </a:rPr>
              <a:t> Claim Count</a:t>
            </a:r>
            <a:r>
              <a:rPr lang="en-US" b="1">
                <a:solidFill>
                  <a:srgbClr val="002060"/>
                </a:solidFill>
                <a:latin typeface="Palatino Linotype" panose="02040502050505030304"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0.28629830362113828"/>
          <c:y val="0.1794604298997941"/>
          <c:w val="0.41702219040801713"/>
          <c:h val="0.71622398501302564"/>
        </c:manualLayout>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39AB-4957-88E1-A4C4621386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AB-4957-88E1-A4C462138620}"/>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39AB-4957-88E1-A4C46213862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Tables'!$J$85:$J$87</c:f>
              <c:strCache>
                <c:ptCount val="3"/>
                <c:pt idx="0">
                  <c:v>Rural</c:v>
                </c:pt>
                <c:pt idx="1">
                  <c:v>Suburban</c:v>
                </c:pt>
                <c:pt idx="2">
                  <c:v>Urban</c:v>
                </c:pt>
              </c:strCache>
            </c:strRef>
          </c:cat>
          <c:val>
            <c:numRef>
              <c:f>'Graph Tables'!$K$85:$K$87</c:f>
              <c:numCache>
                <c:formatCode>0.00%</c:formatCode>
                <c:ptCount val="3"/>
                <c:pt idx="0">
                  <c:v>0.44230858403084988</c:v>
                </c:pt>
                <c:pt idx="1">
                  <c:v>0.29842683710541823</c:v>
                </c:pt>
                <c:pt idx="2">
                  <c:v>0.25926457886373194</c:v>
                </c:pt>
              </c:numCache>
            </c:numRef>
          </c:val>
          <c:extLst>
            <c:ext xmlns:c16="http://schemas.microsoft.com/office/drawing/2014/chart" uri="{C3380CC4-5D6E-409C-BE32-E72D297353CC}">
              <c16:uniqueId val="{00000006-39AB-4957-88E1-A4C46213862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6720013123359582"/>
          <c:y val="0.89648148148148143"/>
          <c:w val="0.45448840769903764"/>
          <c:h val="8.9629629629629629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Tables!TCbyAge</c:name>
    <c:fmtId val="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latin typeface="Palatino Linotype" panose="02040502050505030304" pitchFamily="18" charset="0"/>
              </a:rPr>
              <a:t>Total</a:t>
            </a:r>
            <a:r>
              <a:rPr lang="en-US" b="1" baseline="0">
                <a:solidFill>
                  <a:srgbClr val="002060"/>
                </a:solidFill>
                <a:latin typeface="Palatino Linotype" panose="02040502050505030304" pitchFamily="18" charset="0"/>
              </a:rPr>
              <a:t> Claims by Age Bands</a:t>
            </a:r>
            <a:endParaRPr lang="en-US" b="1">
              <a:solidFill>
                <a:srgbClr val="00206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circle"/>
          <c:size val="7"/>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 Tables'!$B$57:$B$58</c:f>
              <c:strCache>
                <c:ptCount val="1"/>
                <c:pt idx="0">
                  <c:v>Urban</c:v>
                </c:pt>
              </c:strCache>
            </c:strRef>
          </c:tx>
          <c:spPr>
            <a:ln w="28575" cap="rnd">
              <a:solidFill>
                <a:srgbClr val="0070C0"/>
              </a:solidFill>
              <a:round/>
            </a:ln>
            <a:effectLst/>
          </c:spPr>
          <c:marker>
            <c:symbol val="diamond"/>
            <c:size val="7"/>
            <c:spPr>
              <a:solidFill>
                <a:schemeClr val="accent1"/>
              </a:solidFill>
              <a:ln w="9525">
                <a:solidFill>
                  <a:schemeClr val="accent1"/>
                </a:solidFill>
              </a:ln>
              <a:effectLst/>
            </c:spPr>
          </c:marker>
          <c:cat>
            <c:strRef>
              <c:f>'Graph Tables'!$A$59:$A$66</c:f>
              <c:strCache>
                <c:ptCount val="7"/>
                <c:pt idx="0">
                  <c:v>18-24</c:v>
                </c:pt>
                <c:pt idx="1">
                  <c:v>25-34</c:v>
                </c:pt>
                <c:pt idx="2">
                  <c:v>35-44</c:v>
                </c:pt>
                <c:pt idx="3">
                  <c:v>45-54</c:v>
                </c:pt>
                <c:pt idx="4">
                  <c:v>55-64</c:v>
                </c:pt>
                <c:pt idx="5">
                  <c:v>65-74</c:v>
                </c:pt>
                <c:pt idx="6">
                  <c:v>75-90</c:v>
                </c:pt>
              </c:strCache>
            </c:strRef>
          </c:cat>
          <c:val>
            <c:numRef>
              <c:f>'Graph Tables'!$B$59:$B$66</c:f>
              <c:numCache>
                <c:formatCode>0</c:formatCode>
                <c:ptCount val="7"/>
                <c:pt idx="0">
                  <c:v>61</c:v>
                </c:pt>
                <c:pt idx="1">
                  <c:v>86</c:v>
                </c:pt>
                <c:pt idx="2">
                  <c:v>119</c:v>
                </c:pt>
                <c:pt idx="3">
                  <c:v>115</c:v>
                </c:pt>
                <c:pt idx="4">
                  <c:v>143</c:v>
                </c:pt>
                <c:pt idx="5">
                  <c:v>181</c:v>
                </c:pt>
                <c:pt idx="6">
                  <c:v>310</c:v>
                </c:pt>
              </c:numCache>
            </c:numRef>
          </c:val>
          <c:smooth val="0"/>
          <c:extLst>
            <c:ext xmlns:c16="http://schemas.microsoft.com/office/drawing/2014/chart" uri="{C3380CC4-5D6E-409C-BE32-E72D297353CC}">
              <c16:uniqueId val="{00000000-CB64-4F13-9D4B-20D7439D9573}"/>
            </c:ext>
          </c:extLst>
        </c:ser>
        <c:ser>
          <c:idx val="1"/>
          <c:order val="1"/>
          <c:tx>
            <c:strRef>
              <c:f>'Graph Tables'!$C$57:$C$58</c:f>
              <c:strCache>
                <c:ptCount val="1"/>
                <c:pt idx="0">
                  <c:v>Suburban</c:v>
                </c:pt>
              </c:strCache>
            </c:strRef>
          </c:tx>
          <c:spPr>
            <a:ln w="28575" cap="rnd">
              <a:solidFill>
                <a:schemeClr val="accent2"/>
              </a:solidFill>
              <a:round/>
            </a:ln>
            <a:effectLst/>
          </c:spPr>
          <c:marker>
            <c:symbol val="square"/>
            <c:size val="7"/>
            <c:spPr>
              <a:solidFill>
                <a:schemeClr val="accent2"/>
              </a:solidFill>
              <a:ln w="9525">
                <a:solidFill>
                  <a:schemeClr val="accent2"/>
                </a:solidFill>
              </a:ln>
              <a:effectLst/>
            </c:spPr>
          </c:marker>
          <c:cat>
            <c:strRef>
              <c:f>'Graph Tables'!$A$59:$A$66</c:f>
              <c:strCache>
                <c:ptCount val="7"/>
                <c:pt idx="0">
                  <c:v>18-24</c:v>
                </c:pt>
                <c:pt idx="1">
                  <c:v>25-34</c:v>
                </c:pt>
                <c:pt idx="2">
                  <c:v>35-44</c:v>
                </c:pt>
                <c:pt idx="3">
                  <c:v>45-54</c:v>
                </c:pt>
                <c:pt idx="4">
                  <c:v>55-64</c:v>
                </c:pt>
                <c:pt idx="5">
                  <c:v>65-74</c:v>
                </c:pt>
                <c:pt idx="6">
                  <c:v>75-90</c:v>
                </c:pt>
              </c:strCache>
            </c:strRef>
          </c:cat>
          <c:val>
            <c:numRef>
              <c:f>'Graph Tables'!$C$59:$C$66</c:f>
              <c:numCache>
                <c:formatCode>0</c:formatCode>
                <c:ptCount val="7"/>
                <c:pt idx="0">
                  <c:v>26</c:v>
                </c:pt>
                <c:pt idx="1">
                  <c:v>52</c:v>
                </c:pt>
                <c:pt idx="2">
                  <c:v>53</c:v>
                </c:pt>
                <c:pt idx="3">
                  <c:v>86</c:v>
                </c:pt>
                <c:pt idx="4">
                  <c:v>96</c:v>
                </c:pt>
                <c:pt idx="5">
                  <c:v>111</c:v>
                </c:pt>
                <c:pt idx="6">
                  <c:v>178</c:v>
                </c:pt>
              </c:numCache>
            </c:numRef>
          </c:val>
          <c:smooth val="0"/>
          <c:extLst>
            <c:ext xmlns:c16="http://schemas.microsoft.com/office/drawing/2014/chart" uri="{C3380CC4-5D6E-409C-BE32-E72D297353CC}">
              <c16:uniqueId val="{00000011-CB64-4F13-9D4B-20D7439D9573}"/>
            </c:ext>
          </c:extLst>
        </c:ser>
        <c:ser>
          <c:idx val="2"/>
          <c:order val="2"/>
          <c:tx>
            <c:strRef>
              <c:f>'Graph Tables'!$D$57:$D$58</c:f>
              <c:strCache>
                <c:ptCount val="1"/>
                <c:pt idx="0">
                  <c:v>Rural</c:v>
                </c:pt>
              </c:strCache>
            </c:strRef>
          </c:tx>
          <c:spPr>
            <a:ln w="28575" cap="rnd">
              <a:solidFill>
                <a:srgbClr val="00B050"/>
              </a:solidFill>
              <a:round/>
            </a:ln>
            <a:effectLst/>
          </c:spPr>
          <c:marker>
            <c:symbol val="circle"/>
            <c:size val="7"/>
            <c:spPr>
              <a:solidFill>
                <a:srgbClr val="00B050"/>
              </a:solidFill>
              <a:ln w="9525">
                <a:solidFill>
                  <a:srgbClr val="00B050"/>
                </a:solidFill>
              </a:ln>
              <a:effectLst/>
            </c:spPr>
          </c:marker>
          <c:cat>
            <c:strRef>
              <c:f>'Graph Tables'!$A$59:$A$66</c:f>
              <c:strCache>
                <c:ptCount val="7"/>
                <c:pt idx="0">
                  <c:v>18-24</c:v>
                </c:pt>
                <c:pt idx="1">
                  <c:v>25-34</c:v>
                </c:pt>
                <c:pt idx="2">
                  <c:v>35-44</c:v>
                </c:pt>
                <c:pt idx="3">
                  <c:v>45-54</c:v>
                </c:pt>
                <c:pt idx="4">
                  <c:v>55-64</c:v>
                </c:pt>
                <c:pt idx="5">
                  <c:v>65-74</c:v>
                </c:pt>
                <c:pt idx="6">
                  <c:v>75-90</c:v>
                </c:pt>
              </c:strCache>
            </c:strRef>
          </c:cat>
          <c:val>
            <c:numRef>
              <c:f>'Graph Tables'!$D$59:$D$66</c:f>
              <c:numCache>
                <c:formatCode>0</c:formatCode>
                <c:ptCount val="7"/>
                <c:pt idx="0">
                  <c:v>22</c:v>
                </c:pt>
                <c:pt idx="1">
                  <c:v>47</c:v>
                </c:pt>
                <c:pt idx="2">
                  <c:v>52</c:v>
                </c:pt>
                <c:pt idx="3">
                  <c:v>60</c:v>
                </c:pt>
                <c:pt idx="4">
                  <c:v>63</c:v>
                </c:pt>
                <c:pt idx="5">
                  <c:v>80</c:v>
                </c:pt>
                <c:pt idx="6">
                  <c:v>151</c:v>
                </c:pt>
              </c:numCache>
            </c:numRef>
          </c:val>
          <c:smooth val="0"/>
          <c:extLst>
            <c:ext xmlns:c16="http://schemas.microsoft.com/office/drawing/2014/chart" uri="{C3380CC4-5D6E-409C-BE32-E72D297353CC}">
              <c16:uniqueId val="{00000012-CB64-4F13-9D4B-20D7439D9573}"/>
            </c:ext>
          </c:extLst>
        </c:ser>
        <c:dLbls>
          <c:showLegendKey val="0"/>
          <c:showVal val="0"/>
          <c:showCatName val="0"/>
          <c:showSerName val="0"/>
          <c:showPercent val="0"/>
          <c:showBubbleSize val="0"/>
        </c:dLbls>
        <c:marker val="1"/>
        <c:smooth val="0"/>
        <c:axId val="1186151696"/>
        <c:axId val="1186154096"/>
      </c:lineChart>
      <c:catAx>
        <c:axId val="118615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Age Groups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186154096"/>
        <c:crosses val="autoZero"/>
        <c:auto val="1"/>
        <c:lblAlgn val="ctr"/>
        <c:lblOffset val="100"/>
        <c:noMultiLvlLbl val="0"/>
      </c:catAx>
      <c:valAx>
        <c:axId val="118615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r>
                  <a:rPr lang="en-US" b="1">
                    <a:solidFill>
                      <a:sysClr val="windowText" lastClr="000000"/>
                    </a:solidFill>
                    <a:latin typeface="Palatino Linotype" panose="02040502050505030304" pitchFamily="18" charset="0"/>
                  </a:rPr>
                  <a:t>Total</a:t>
                </a:r>
                <a:r>
                  <a:rPr lang="en-US" b="1" baseline="0">
                    <a:solidFill>
                      <a:sysClr val="windowText" lastClr="000000"/>
                    </a:solidFill>
                    <a:latin typeface="Palatino Linotype" panose="02040502050505030304" pitchFamily="18" charset="0"/>
                  </a:rPr>
                  <a:t> Claims</a:t>
                </a:r>
                <a:endParaRPr lang="en-US" b="1">
                  <a:solidFill>
                    <a:sysClr val="windowText" lastClr="000000"/>
                  </a:solidFill>
                  <a:latin typeface="Palatino Linotype" panose="02040502050505030304" pitchFamily="18"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18615169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Tables!CFbyAS</c:name>
    <c:fmtId val="10"/>
  </c:pivotSource>
  <c:chart>
    <c:title>
      <c:tx>
        <c:rich>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r>
              <a:rPr lang="en-US" sz="1400" b="1">
                <a:solidFill>
                  <a:srgbClr val="002060"/>
                </a:solidFill>
                <a:latin typeface="Palatino Linotype" panose="02040502050505030304" pitchFamily="18" charset="0"/>
              </a:rPr>
              <a:t>Running Total</a:t>
            </a:r>
            <a:r>
              <a:rPr lang="en-US" sz="1400" b="1" baseline="0">
                <a:solidFill>
                  <a:srgbClr val="002060"/>
                </a:solidFill>
                <a:latin typeface="Palatino Linotype" panose="02040502050505030304" pitchFamily="18" charset="0"/>
              </a:rPr>
              <a:t> of Claims over Average Severity Bands</a:t>
            </a:r>
            <a:endParaRPr lang="en-US" sz="1400" b="1">
              <a:solidFill>
                <a:srgbClr val="00206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 Tables'!$B$93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Tables'!$A$94:$A$102</c:f>
              <c:strCache>
                <c:ptCount val="8"/>
                <c:pt idx="0">
                  <c:v>0-1000</c:v>
                </c:pt>
                <c:pt idx="1">
                  <c:v>1000-2000</c:v>
                </c:pt>
                <c:pt idx="2">
                  <c:v>2000-3000</c:v>
                </c:pt>
                <c:pt idx="3">
                  <c:v>3000-4000</c:v>
                </c:pt>
                <c:pt idx="4">
                  <c:v>4000-5000</c:v>
                </c:pt>
                <c:pt idx="5">
                  <c:v>5000-6000</c:v>
                </c:pt>
                <c:pt idx="6">
                  <c:v>6000-7000</c:v>
                </c:pt>
                <c:pt idx="7">
                  <c:v>7000-8000</c:v>
                </c:pt>
              </c:strCache>
            </c:strRef>
          </c:cat>
          <c:val>
            <c:numRef>
              <c:f>'Graph Tables'!$B$94:$B$102</c:f>
              <c:numCache>
                <c:formatCode>0</c:formatCode>
                <c:ptCount val="8"/>
                <c:pt idx="0">
                  <c:v>1384</c:v>
                </c:pt>
                <c:pt idx="1">
                  <c:v>1901</c:v>
                </c:pt>
                <c:pt idx="2">
                  <c:v>2026</c:v>
                </c:pt>
                <c:pt idx="3">
                  <c:v>2066</c:v>
                </c:pt>
                <c:pt idx="4">
                  <c:v>2082</c:v>
                </c:pt>
                <c:pt idx="5">
                  <c:v>2087</c:v>
                </c:pt>
                <c:pt idx="6">
                  <c:v>2090</c:v>
                </c:pt>
                <c:pt idx="7">
                  <c:v>2092</c:v>
                </c:pt>
              </c:numCache>
            </c:numRef>
          </c:val>
          <c:extLst>
            <c:ext xmlns:c16="http://schemas.microsoft.com/office/drawing/2014/chart" uri="{C3380CC4-5D6E-409C-BE32-E72D297353CC}">
              <c16:uniqueId val="{00000000-F78B-4198-801D-9C4079092556}"/>
            </c:ext>
          </c:extLst>
        </c:ser>
        <c:dLbls>
          <c:showLegendKey val="0"/>
          <c:showVal val="0"/>
          <c:showCatName val="0"/>
          <c:showSerName val="0"/>
          <c:showPercent val="0"/>
          <c:showBubbleSize val="0"/>
        </c:dLbls>
        <c:gapWidth val="219"/>
        <c:overlap val="-27"/>
        <c:axId val="1094185488"/>
        <c:axId val="1094185968"/>
      </c:barChart>
      <c:catAx>
        <c:axId val="10941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094185968"/>
        <c:crosses val="autoZero"/>
        <c:auto val="1"/>
        <c:lblAlgn val="ctr"/>
        <c:lblOffset val="100"/>
        <c:noMultiLvlLbl val="0"/>
      </c:catAx>
      <c:valAx>
        <c:axId val="10941859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094185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Tables!TCbyVA</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latin typeface="Palatino Linotype" panose="02040502050505030304" pitchFamily="18" charset="0"/>
              </a:rPr>
              <a:t>Total</a:t>
            </a:r>
            <a:r>
              <a:rPr lang="en-US" b="1" baseline="0">
                <a:solidFill>
                  <a:srgbClr val="002060"/>
                </a:solidFill>
                <a:latin typeface="Palatino Linotype" panose="02040502050505030304" pitchFamily="18" charset="0"/>
              </a:rPr>
              <a:t> Claims by Vehicle Age Bands</a:t>
            </a:r>
            <a:endParaRPr lang="en-US" b="1">
              <a:solidFill>
                <a:srgbClr val="00206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6CEEE"/>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F8907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86CEEE"/>
          </a:solidFill>
          <a:ln w="19050">
            <a:solidFill>
              <a:schemeClr val="lt1"/>
            </a:solidFill>
          </a:ln>
          <a:effectLst/>
        </c:spPr>
      </c:pivotFmt>
      <c:pivotFmt>
        <c:idx val="8"/>
        <c:spPr>
          <a:solidFill>
            <a:srgbClr val="F89074"/>
          </a:solidFill>
          <a:ln w="19050">
            <a:solidFill>
              <a:schemeClr val="lt1"/>
            </a:solidFill>
          </a:ln>
          <a:effectLst/>
        </c:spPr>
      </c:pivotFmt>
      <c:pivotFmt>
        <c:idx val="9"/>
        <c:spPr>
          <a:solidFill>
            <a:srgbClr val="00B05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86CEEE"/>
          </a:solidFill>
          <a:ln w="19050">
            <a:solidFill>
              <a:schemeClr val="lt1"/>
            </a:solidFill>
          </a:ln>
          <a:effectLst/>
        </c:spPr>
      </c:pivotFmt>
      <c:pivotFmt>
        <c:idx val="14"/>
        <c:spPr>
          <a:solidFill>
            <a:srgbClr val="F89074"/>
          </a:solidFill>
          <a:ln w="19050">
            <a:solidFill>
              <a:schemeClr val="lt1"/>
            </a:solidFill>
          </a:ln>
          <a:effectLst/>
        </c:spPr>
      </c:pivotFmt>
      <c:pivotFmt>
        <c:idx val="15"/>
        <c:spPr>
          <a:solidFill>
            <a:srgbClr val="00B050"/>
          </a:solidFill>
          <a:ln w="19050">
            <a:solidFill>
              <a:schemeClr val="lt1"/>
            </a:solidFill>
          </a:ln>
          <a:effectLst/>
        </c:spPr>
      </c:pivotFmt>
    </c:pivotFmts>
    <c:plotArea>
      <c:layout>
        <c:manualLayout>
          <c:layoutTarget val="inner"/>
          <c:xMode val="edge"/>
          <c:yMode val="edge"/>
          <c:x val="0.28324132686028625"/>
          <c:y val="0.19359580052493436"/>
          <c:w val="0.44611286089238839"/>
          <c:h val="0.74352143482064736"/>
        </c:manualLayout>
      </c:layout>
      <c:pieChart>
        <c:varyColors val="1"/>
        <c:ser>
          <c:idx val="0"/>
          <c:order val="0"/>
          <c:tx>
            <c:strRef>
              <c:f>'Graph Tables'!$B$111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E7-4B1F-8AD5-67460167D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E7-4B1F-8AD5-67460167DBE4}"/>
              </c:ext>
            </c:extLst>
          </c:dPt>
          <c:dPt>
            <c:idx val="2"/>
            <c:bubble3D val="0"/>
            <c:spPr>
              <a:solidFill>
                <a:srgbClr val="86CEEE"/>
              </a:solidFill>
              <a:ln w="19050">
                <a:solidFill>
                  <a:schemeClr val="lt1"/>
                </a:solidFill>
              </a:ln>
              <a:effectLst/>
            </c:spPr>
            <c:extLst>
              <c:ext xmlns:c16="http://schemas.microsoft.com/office/drawing/2014/chart" uri="{C3380CC4-5D6E-409C-BE32-E72D297353CC}">
                <c16:uniqueId val="{00000005-6DE7-4B1F-8AD5-67460167DBE4}"/>
              </c:ext>
            </c:extLst>
          </c:dPt>
          <c:dPt>
            <c:idx val="3"/>
            <c:bubble3D val="0"/>
            <c:spPr>
              <a:solidFill>
                <a:srgbClr val="F89074"/>
              </a:solidFill>
              <a:ln w="19050">
                <a:solidFill>
                  <a:schemeClr val="lt1"/>
                </a:solidFill>
              </a:ln>
              <a:effectLst/>
            </c:spPr>
            <c:extLst>
              <c:ext xmlns:c16="http://schemas.microsoft.com/office/drawing/2014/chart" uri="{C3380CC4-5D6E-409C-BE32-E72D297353CC}">
                <c16:uniqueId val="{00000007-6DE7-4B1F-8AD5-67460167DBE4}"/>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6DE7-4B1F-8AD5-67460167DBE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Tables'!$A$112:$A$117</c:f>
              <c:strCache>
                <c:ptCount val="5"/>
                <c:pt idx="0">
                  <c:v>0-2</c:v>
                </c:pt>
                <c:pt idx="1">
                  <c:v>3-5</c:v>
                </c:pt>
                <c:pt idx="2">
                  <c:v>6-8</c:v>
                </c:pt>
                <c:pt idx="3">
                  <c:v>9-11</c:v>
                </c:pt>
                <c:pt idx="4">
                  <c:v>12-15</c:v>
                </c:pt>
              </c:strCache>
            </c:strRef>
          </c:cat>
          <c:val>
            <c:numRef>
              <c:f>'Graph Tables'!$B$112:$B$117</c:f>
              <c:numCache>
                <c:formatCode>0.00%</c:formatCode>
                <c:ptCount val="5"/>
                <c:pt idx="0">
                  <c:v>0.122848948374761</c:v>
                </c:pt>
                <c:pt idx="1">
                  <c:v>0.16204588910133844</c:v>
                </c:pt>
                <c:pt idx="2">
                  <c:v>0.21653919694072657</c:v>
                </c:pt>
                <c:pt idx="3">
                  <c:v>0.2208413001912046</c:v>
                </c:pt>
                <c:pt idx="4">
                  <c:v>0.27772466539196938</c:v>
                </c:pt>
              </c:numCache>
            </c:numRef>
          </c:val>
          <c:extLst>
            <c:ext xmlns:c16="http://schemas.microsoft.com/office/drawing/2014/chart" uri="{C3380CC4-5D6E-409C-BE32-E72D297353CC}">
              <c16:uniqueId val="{0000000A-6DE7-4B1F-8AD5-67460167DB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Tables!CAbyAge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Claim Amount by</a:t>
            </a:r>
            <a:r>
              <a:rPr lang="en-US" b="1" baseline="0">
                <a:solidFill>
                  <a:srgbClr val="002060"/>
                </a:solidFill>
                <a:latin typeface="Palatino Linotype" panose="02040502050505030304" pitchFamily="18" charset="0"/>
              </a:rPr>
              <a:t> Age</a:t>
            </a:r>
            <a:endParaRPr lang="en-US" b="1">
              <a:solidFill>
                <a:srgbClr val="00206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circle"/>
          <c:size val="7"/>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 Tables'!$B$12:$B$13</c:f>
              <c:strCache>
                <c:ptCount val="1"/>
                <c:pt idx="0">
                  <c:v>Urban</c:v>
                </c:pt>
              </c:strCache>
            </c:strRef>
          </c:tx>
          <c:spPr>
            <a:ln w="28575" cap="rnd">
              <a:solidFill>
                <a:schemeClr val="accent1"/>
              </a:solidFill>
              <a:round/>
            </a:ln>
            <a:effectLst/>
          </c:spPr>
          <c:marker>
            <c:symbol val="diamond"/>
            <c:size val="7"/>
            <c:spPr>
              <a:solidFill>
                <a:schemeClr val="accent1"/>
              </a:solidFill>
              <a:ln w="9525">
                <a:solidFill>
                  <a:schemeClr val="accent1"/>
                </a:solidFill>
              </a:ln>
              <a:effectLst/>
            </c:spPr>
          </c:marker>
          <c:cat>
            <c:strRef>
              <c:f>'Graph Tables'!$A$14:$A$21</c:f>
              <c:strCache>
                <c:ptCount val="7"/>
                <c:pt idx="0">
                  <c:v>18-24</c:v>
                </c:pt>
                <c:pt idx="1">
                  <c:v>25-34</c:v>
                </c:pt>
                <c:pt idx="2">
                  <c:v>35-44</c:v>
                </c:pt>
                <c:pt idx="3">
                  <c:v>45-54</c:v>
                </c:pt>
                <c:pt idx="4">
                  <c:v>55-64</c:v>
                </c:pt>
                <c:pt idx="5">
                  <c:v>65-74</c:v>
                </c:pt>
                <c:pt idx="6">
                  <c:v>75-90</c:v>
                </c:pt>
              </c:strCache>
            </c:strRef>
          </c:cat>
          <c:val>
            <c:numRef>
              <c:f>'Graph Tables'!$B$14:$B$21</c:f>
              <c:numCache>
                <c:formatCode>"$"#,##0.00</c:formatCode>
                <c:ptCount val="7"/>
                <c:pt idx="0">
                  <c:v>24459.339999999997</c:v>
                </c:pt>
                <c:pt idx="1">
                  <c:v>43727.419999999984</c:v>
                </c:pt>
                <c:pt idx="2">
                  <c:v>78037.719999999958</c:v>
                </c:pt>
                <c:pt idx="3">
                  <c:v>79865.500000000015</c:v>
                </c:pt>
                <c:pt idx="4">
                  <c:v>120609.43000000005</c:v>
                </c:pt>
                <c:pt idx="5">
                  <c:v>158621.63999999996</c:v>
                </c:pt>
                <c:pt idx="6">
                  <c:v>394851.84999999986</c:v>
                </c:pt>
              </c:numCache>
            </c:numRef>
          </c:val>
          <c:smooth val="0"/>
          <c:extLst>
            <c:ext xmlns:c16="http://schemas.microsoft.com/office/drawing/2014/chart" uri="{C3380CC4-5D6E-409C-BE32-E72D297353CC}">
              <c16:uniqueId val="{00000000-1215-4C74-9B89-F2B2C0BFA57B}"/>
            </c:ext>
          </c:extLst>
        </c:ser>
        <c:ser>
          <c:idx val="1"/>
          <c:order val="1"/>
          <c:tx>
            <c:strRef>
              <c:f>'Graph Tables'!$C$12:$C$13</c:f>
              <c:strCache>
                <c:ptCount val="1"/>
                <c:pt idx="0">
                  <c:v>Suburban</c:v>
                </c:pt>
              </c:strCache>
            </c:strRef>
          </c:tx>
          <c:spPr>
            <a:ln w="28575" cap="rnd">
              <a:solidFill>
                <a:schemeClr val="accent2"/>
              </a:solidFill>
              <a:round/>
            </a:ln>
            <a:effectLst/>
          </c:spPr>
          <c:marker>
            <c:symbol val="square"/>
            <c:size val="7"/>
            <c:spPr>
              <a:solidFill>
                <a:schemeClr val="accent2"/>
              </a:solidFill>
              <a:ln w="9525">
                <a:solidFill>
                  <a:schemeClr val="accent2"/>
                </a:solidFill>
              </a:ln>
              <a:effectLst/>
            </c:spPr>
          </c:marker>
          <c:cat>
            <c:strRef>
              <c:f>'Graph Tables'!$A$14:$A$21</c:f>
              <c:strCache>
                <c:ptCount val="7"/>
                <c:pt idx="0">
                  <c:v>18-24</c:v>
                </c:pt>
                <c:pt idx="1">
                  <c:v>25-34</c:v>
                </c:pt>
                <c:pt idx="2">
                  <c:v>35-44</c:v>
                </c:pt>
                <c:pt idx="3">
                  <c:v>45-54</c:v>
                </c:pt>
                <c:pt idx="4">
                  <c:v>55-64</c:v>
                </c:pt>
                <c:pt idx="5">
                  <c:v>65-74</c:v>
                </c:pt>
                <c:pt idx="6">
                  <c:v>75-90</c:v>
                </c:pt>
              </c:strCache>
            </c:strRef>
          </c:cat>
          <c:val>
            <c:numRef>
              <c:f>'Graph Tables'!$C$14:$C$21</c:f>
              <c:numCache>
                <c:formatCode>"$"#,##0.00</c:formatCode>
                <c:ptCount val="7"/>
                <c:pt idx="0">
                  <c:v>13805.429999999998</c:v>
                </c:pt>
                <c:pt idx="1">
                  <c:v>35912.370000000003</c:v>
                </c:pt>
                <c:pt idx="2">
                  <c:v>34202.32</c:v>
                </c:pt>
                <c:pt idx="3">
                  <c:v>73082.109999999986</c:v>
                </c:pt>
                <c:pt idx="4">
                  <c:v>88529.36</c:v>
                </c:pt>
                <c:pt idx="5">
                  <c:v>107386.98000000001</c:v>
                </c:pt>
                <c:pt idx="6">
                  <c:v>254430.59999999998</c:v>
                </c:pt>
              </c:numCache>
            </c:numRef>
          </c:val>
          <c:smooth val="0"/>
          <c:extLst>
            <c:ext xmlns:c16="http://schemas.microsoft.com/office/drawing/2014/chart" uri="{C3380CC4-5D6E-409C-BE32-E72D297353CC}">
              <c16:uniqueId val="{00000017-56FD-4124-B605-158325CBBAD8}"/>
            </c:ext>
          </c:extLst>
        </c:ser>
        <c:ser>
          <c:idx val="2"/>
          <c:order val="2"/>
          <c:tx>
            <c:strRef>
              <c:f>'Graph Tables'!$D$12:$D$13</c:f>
              <c:strCache>
                <c:ptCount val="1"/>
                <c:pt idx="0">
                  <c:v>Rural</c:v>
                </c:pt>
              </c:strCache>
            </c:strRef>
          </c:tx>
          <c:spPr>
            <a:ln w="28575" cap="rnd">
              <a:solidFill>
                <a:srgbClr val="00B050"/>
              </a:solidFill>
              <a:round/>
            </a:ln>
            <a:effectLst/>
          </c:spPr>
          <c:marker>
            <c:symbol val="circle"/>
            <c:size val="7"/>
            <c:spPr>
              <a:solidFill>
                <a:srgbClr val="00B050"/>
              </a:solidFill>
              <a:ln w="9525">
                <a:solidFill>
                  <a:srgbClr val="00B050"/>
                </a:solidFill>
              </a:ln>
              <a:effectLst/>
            </c:spPr>
          </c:marker>
          <c:cat>
            <c:strRef>
              <c:f>'Graph Tables'!$A$14:$A$21</c:f>
              <c:strCache>
                <c:ptCount val="7"/>
                <c:pt idx="0">
                  <c:v>18-24</c:v>
                </c:pt>
                <c:pt idx="1">
                  <c:v>25-34</c:v>
                </c:pt>
                <c:pt idx="2">
                  <c:v>35-44</c:v>
                </c:pt>
                <c:pt idx="3">
                  <c:v>45-54</c:v>
                </c:pt>
                <c:pt idx="4">
                  <c:v>55-64</c:v>
                </c:pt>
                <c:pt idx="5">
                  <c:v>65-74</c:v>
                </c:pt>
                <c:pt idx="6">
                  <c:v>75-90</c:v>
                </c:pt>
              </c:strCache>
            </c:strRef>
          </c:cat>
          <c:val>
            <c:numRef>
              <c:f>'Graph Tables'!$D$14:$D$21</c:f>
              <c:numCache>
                <c:formatCode>"$"#,##0.00</c:formatCode>
                <c:ptCount val="7"/>
                <c:pt idx="0">
                  <c:v>13497.26</c:v>
                </c:pt>
                <c:pt idx="1">
                  <c:v>31936.750000000004</c:v>
                </c:pt>
                <c:pt idx="2">
                  <c:v>39389.589999999997</c:v>
                </c:pt>
                <c:pt idx="3">
                  <c:v>48163.700000000012</c:v>
                </c:pt>
                <c:pt idx="4">
                  <c:v>66889.290000000008</c:v>
                </c:pt>
                <c:pt idx="5">
                  <c:v>89392.07</c:v>
                </c:pt>
                <c:pt idx="6">
                  <c:v>238378.68000000005</c:v>
                </c:pt>
              </c:numCache>
            </c:numRef>
          </c:val>
          <c:smooth val="0"/>
          <c:extLst>
            <c:ext xmlns:c16="http://schemas.microsoft.com/office/drawing/2014/chart" uri="{C3380CC4-5D6E-409C-BE32-E72D297353CC}">
              <c16:uniqueId val="{00000018-56FD-4124-B605-158325CBBAD8}"/>
            </c:ext>
          </c:extLst>
        </c:ser>
        <c:dLbls>
          <c:showLegendKey val="0"/>
          <c:showVal val="0"/>
          <c:showCatName val="0"/>
          <c:showSerName val="0"/>
          <c:showPercent val="0"/>
          <c:showBubbleSize val="0"/>
        </c:dLbls>
        <c:marker val="1"/>
        <c:smooth val="0"/>
        <c:axId val="279803087"/>
        <c:axId val="279788207"/>
      </c:lineChart>
      <c:catAx>
        <c:axId val="27980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279788207"/>
        <c:crosses val="autoZero"/>
        <c:auto val="1"/>
        <c:lblAlgn val="ctr"/>
        <c:lblOffset val="100"/>
        <c:noMultiLvlLbl val="0"/>
      </c:catAx>
      <c:valAx>
        <c:axId val="27978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27980308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Tables!%CAbyCC</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a:t>
            </a:r>
            <a:r>
              <a:rPr lang="en-US" b="1" baseline="0">
                <a:solidFill>
                  <a:srgbClr val="002060"/>
                </a:solidFill>
                <a:latin typeface="Palatino Linotype" panose="02040502050505030304" pitchFamily="18" charset="0"/>
              </a:rPr>
              <a:t> of Claim Amount by Claim Count</a:t>
            </a:r>
            <a:endParaRPr lang="en-US" b="1">
              <a:solidFill>
                <a:srgbClr val="002060"/>
              </a:solidFill>
              <a:latin typeface="Palatino Linotype" panose="02040502050505030304" pitchFamily="18" charset="0"/>
            </a:endParaRPr>
          </a:p>
        </c:rich>
      </c:tx>
      <c:layout>
        <c:manualLayout>
          <c:xMode val="edge"/>
          <c:yMode val="edge"/>
          <c:x val="0.167611111111111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 Tables'!$B$26:$B$27</c:f>
              <c:strCache>
                <c:ptCount val="1"/>
                <c:pt idx="0">
                  <c:v>Urban</c:v>
                </c:pt>
              </c:strCache>
            </c:strRef>
          </c:tx>
          <c:spPr>
            <a:solidFill>
              <a:schemeClr val="accent1"/>
            </a:solidFill>
            <a:ln>
              <a:noFill/>
            </a:ln>
            <a:effectLst/>
          </c:spPr>
          <c:invertIfNegative val="0"/>
          <c:cat>
            <c:strRef>
              <c:f>'Graph Tables'!$A$28:$A$32</c:f>
              <c:strCache>
                <c:ptCount val="4"/>
                <c:pt idx="0">
                  <c:v>1</c:v>
                </c:pt>
                <c:pt idx="1">
                  <c:v>2</c:v>
                </c:pt>
                <c:pt idx="2">
                  <c:v>3</c:v>
                </c:pt>
                <c:pt idx="3">
                  <c:v>4</c:v>
                </c:pt>
              </c:strCache>
            </c:strRef>
          </c:cat>
          <c:val>
            <c:numRef>
              <c:f>'Graph Tables'!$B$28:$B$32</c:f>
              <c:numCache>
                <c:formatCode>0.00%</c:formatCode>
                <c:ptCount val="4"/>
                <c:pt idx="0">
                  <c:v>0.7588573150780259</c:v>
                </c:pt>
                <c:pt idx="1">
                  <c:v>0.20626126380831944</c:v>
                </c:pt>
                <c:pt idx="2">
                  <c:v>2.9485457738174532E-2</c:v>
                </c:pt>
                <c:pt idx="3">
                  <c:v>5.3959633754804229E-3</c:v>
                </c:pt>
              </c:numCache>
            </c:numRef>
          </c:val>
          <c:extLst>
            <c:ext xmlns:c16="http://schemas.microsoft.com/office/drawing/2014/chart" uri="{C3380CC4-5D6E-409C-BE32-E72D297353CC}">
              <c16:uniqueId val="{00000000-A04A-43F1-9414-20D843FB8A8C}"/>
            </c:ext>
          </c:extLst>
        </c:ser>
        <c:ser>
          <c:idx val="1"/>
          <c:order val="1"/>
          <c:tx>
            <c:strRef>
              <c:f>'Graph Tables'!$C$26:$C$27</c:f>
              <c:strCache>
                <c:ptCount val="1"/>
                <c:pt idx="0">
                  <c:v>Suburban</c:v>
                </c:pt>
              </c:strCache>
            </c:strRef>
          </c:tx>
          <c:spPr>
            <a:solidFill>
              <a:schemeClr val="accent2"/>
            </a:solidFill>
            <a:ln>
              <a:noFill/>
            </a:ln>
            <a:effectLst/>
          </c:spPr>
          <c:invertIfNegative val="0"/>
          <c:cat>
            <c:strRef>
              <c:f>'Graph Tables'!$A$28:$A$32</c:f>
              <c:strCache>
                <c:ptCount val="4"/>
                <c:pt idx="0">
                  <c:v>1</c:v>
                </c:pt>
                <c:pt idx="1">
                  <c:v>2</c:v>
                </c:pt>
                <c:pt idx="2">
                  <c:v>3</c:v>
                </c:pt>
                <c:pt idx="3">
                  <c:v>4</c:v>
                </c:pt>
              </c:strCache>
            </c:strRef>
          </c:cat>
          <c:val>
            <c:numRef>
              <c:f>'Graph Tables'!$C$28:$C$32</c:f>
              <c:numCache>
                <c:formatCode>0.00%</c:formatCode>
                <c:ptCount val="4"/>
                <c:pt idx="0">
                  <c:v>0.70771276430656793</c:v>
                </c:pt>
                <c:pt idx="1">
                  <c:v>0.21687134272365916</c:v>
                </c:pt>
                <c:pt idx="2">
                  <c:v>7.5415892969772177E-2</c:v>
                </c:pt>
                <c:pt idx="3">
                  <c:v>0</c:v>
                </c:pt>
              </c:numCache>
            </c:numRef>
          </c:val>
          <c:extLst>
            <c:ext xmlns:c16="http://schemas.microsoft.com/office/drawing/2014/chart" uri="{C3380CC4-5D6E-409C-BE32-E72D297353CC}">
              <c16:uniqueId val="{00000017-1A3F-4807-A2F8-8AE50F0037E2}"/>
            </c:ext>
          </c:extLst>
        </c:ser>
        <c:ser>
          <c:idx val="2"/>
          <c:order val="2"/>
          <c:tx>
            <c:strRef>
              <c:f>'Graph Tables'!$D$26:$D$27</c:f>
              <c:strCache>
                <c:ptCount val="1"/>
                <c:pt idx="0">
                  <c:v>Rural</c:v>
                </c:pt>
              </c:strCache>
            </c:strRef>
          </c:tx>
          <c:spPr>
            <a:solidFill>
              <a:srgbClr val="00B050"/>
            </a:solidFill>
            <a:ln>
              <a:noFill/>
            </a:ln>
            <a:effectLst/>
          </c:spPr>
          <c:invertIfNegative val="0"/>
          <c:cat>
            <c:strRef>
              <c:f>'Graph Tables'!$A$28:$A$32</c:f>
              <c:strCache>
                <c:ptCount val="4"/>
                <c:pt idx="0">
                  <c:v>1</c:v>
                </c:pt>
                <c:pt idx="1">
                  <c:v>2</c:v>
                </c:pt>
                <c:pt idx="2">
                  <c:v>3</c:v>
                </c:pt>
                <c:pt idx="3">
                  <c:v>4</c:v>
                </c:pt>
              </c:strCache>
            </c:strRef>
          </c:cat>
          <c:val>
            <c:numRef>
              <c:f>'Graph Tables'!$D$28:$D$32</c:f>
              <c:numCache>
                <c:formatCode>0.00%</c:formatCode>
                <c:ptCount val="4"/>
                <c:pt idx="0">
                  <c:v>0.71244854565172255</c:v>
                </c:pt>
                <c:pt idx="1">
                  <c:v>0.23967525355097957</c:v>
                </c:pt>
                <c:pt idx="2">
                  <c:v>4.1707137195081824E-2</c:v>
                </c:pt>
                <c:pt idx="3">
                  <c:v>6.1690636022158248E-3</c:v>
                </c:pt>
              </c:numCache>
            </c:numRef>
          </c:val>
          <c:extLst>
            <c:ext xmlns:c16="http://schemas.microsoft.com/office/drawing/2014/chart" uri="{C3380CC4-5D6E-409C-BE32-E72D297353CC}">
              <c16:uniqueId val="{00000018-1A3F-4807-A2F8-8AE50F0037E2}"/>
            </c:ext>
          </c:extLst>
        </c:ser>
        <c:dLbls>
          <c:showLegendKey val="0"/>
          <c:showVal val="0"/>
          <c:showCatName val="0"/>
          <c:showSerName val="0"/>
          <c:showPercent val="0"/>
          <c:showBubbleSize val="0"/>
        </c:dLbls>
        <c:gapWidth val="219"/>
        <c:overlap val="-27"/>
        <c:axId val="319670591"/>
        <c:axId val="319645631"/>
      </c:barChart>
      <c:catAx>
        <c:axId val="31967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Number of Claims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319645631"/>
        <c:crosses val="autoZero"/>
        <c:auto val="1"/>
        <c:lblAlgn val="ctr"/>
        <c:lblOffset val="100"/>
        <c:noMultiLvlLbl val="0"/>
      </c:catAx>
      <c:valAx>
        <c:axId val="3196456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31967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Tables!CAbyVA</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Palatino Linotype" panose="02040502050505030304" pitchFamily="18" charset="0"/>
              </a:rPr>
              <a:t>Claim Amount by Vehicle Age (in $000s</a:t>
            </a:r>
            <a:r>
              <a:rPr lang="en-US">
                <a:solidFill>
                  <a:srgbClr val="002060"/>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 Tables'!$B$40:$B$41</c:f>
              <c:strCache>
                <c:ptCount val="1"/>
                <c:pt idx="0">
                  <c:v>Rural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Tables'!$A$42:$A$47</c:f>
              <c:strCache>
                <c:ptCount val="5"/>
                <c:pt idx="0">
                  <c:v>0-2</c:v>
                </c:pt>
                <c:pt idx="1">
                  <c:v>3-5</c:v>
                </c:pt>
                <c:pt idx="2">
                  <c:v>6-8</c:v>
                </c:pt>
                <c:pt idx="3">
                  <c:v>9-11</c:v>
                </c:pt>
                <c:pt idx="4">
                  <c:v>12-15</c:v>
                </c:pt>
              </c:strCache>
            </c:strRef>
          </c:cat>
          <c:val>
            <c:numRef>
              <c:f>'Graph Tables'!$B$42:$B$47</c:f>
              <c:numCache>
                <c:formatCode>"$"#,##0.00</c:formatCode>
                <c:ptCount val="5"/>
                <c:pt idx="0">
                  <c:v>65986.290000000008</c:v>
                </c:pt>
                <c:pt idx="1">
                  <c:v>85296.729999999981</c:v>
                </c:pt>
                <c:pt idx="2">
                  <c:v>91011.150000000009</c:v>
                </c:pt>
                <c:pt idx="3">
                  <c:v>97302.000000000015</c:v>
                </c:pt>
                <c:pt idx="4">
                  <c:v>188051.16999999995</c:v>
                </c:pt>
              </c:numCache>
            </c:numRef>
          </c:val>
          <c:extLst>
            <c:ext xmlns:c16="http://schemas.microsoft.com/office/drawing/2014/chart" uri="{C3380CC4-5D6E-409C-BE32-E72D297353CC}">
              <c16:uniqueId val="{00000000-E0D4-4C31-8598-3E94F0A8E64B}"/>
            </c:ext>
          </c:extLst>
        </c:ser>
        <c:ser>
          <c:idx val="1"/>
          <c:order val="1"/>
          <c:tx>
            <c:strRef>
              <c:f>'Graph Tables'!$C$40:$C$41</c:f>
              <c:strCache>
                <c:ptCount val="1"/>
                <c:pt idx="0">
                  <c:v>Suburban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Tables'!$A$42:$A$47</c:f>
              <c:strCache>
                <c:ptCount val="5"/>
                <c:pt idx="0">
                  <c:v>0-2</c:v>
                </c:pt>
                <c:pt idx="1">
                  <c:v>3-5</c:v>
                </c:pt>
                <c:pt idx="2">
                  <c:v>6-8</c:v>
                </c:pt>
                <c:pt idx="3">
                  <c:v>9-11</c:v>
                </c:pt>
                <c:pt idx="4">
                  <c:v>12-15</c:v>
                </c:pt>
              </c:strCache>
            </c:strRef>
          </c:cat>
          <c:val>
            <c:numRef>
              <c:f>'Graph Tables'!$C$42:$C$47</c:f>
              <c:numCache>
                <c:formatCode>"$"#,##0.00</c:formatCode>
                <c:ptCount val="5"/>
                <c:pt idx="0">
                  <c:v>60210.680000000008</c:v>
                </c:pt>
                <c:pt idx="1">
                  <c:v>94442.92</c:v>
                </c:pt>
                <c:pt idx="2">
                  <c:v>105194.78</c:v>
                </c:pt>
                <c:pt idx="3">
                  <c:v>159414.67999999996</c:v>
                </c:pt>
                <c:pt idx="4">
                  <c:v>188086.11000000002</c:v>
                </c:pt>
              </c:numCache>
            </c:numRef>
          </c:val>
          <c:extLst>
            <c:ext xmlns:c16="http://schemas.microsoft.com/office/drawing/2014/chart" uri="{C3380CC4-5D6E-409C-BE32-E72D297353CC}">
              <c16:uniqueId val="{00000017-AEBD-411A-BAD8-DF6A3AD51288}"/>
            </c:ext>
          </c:extLst>
        </c:ser>
        <c:ser>
          <c:idx val="2"/>
          <c:order val="2"/>
          <c:tx>
            <c:strRef>
              <c:f>'Graph Tables'!$D$40:$D$41</c:f>
              <c:strCache>
                <c:ptCount val="1"/>
                <c:pt idx="0">
                  <c:v>Urban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Tables'!$A$42:$A$47</c:f>
              <c:strCache>
                <c:ptCount val="5"/>
                <c:pt idx="0">
                  <c:v>0-2</c:v>
                </c:pt>
                <c:pt idx="1">
                  <c:v>3-5</c:v>
                </c:pt>
                <c:pt idx="2">
                  <c:v>6-8</c:v>
                </c:pt>
                <c:pt idx="3">
                  <c:v>9-11</c:v>
                </c:pt>
                <c:pt idx="4">
                  <c:v>12-15</c:v>
                </c:pt>
              </c:strCache>
            </c:strRef>
          </c:cat>
          <c:val>
            <c:numRef>
              <c:f>'Graph Tables'!$D$42:$D$47</c:f>
              <c:numCache>
                <c:formatCode>"$"#,##0.00</c:formatCode>
                <c:ptCount val="5"/>
                <c:pt idx="0">
                  <c:v>79890.290000000008</c:v>
                </c:pt>
                <c:pt idx="1">
                  <c:v>119761.32000000005</c:v>
                </c:pt>
                <c:pt idx="2">
                  <c:v>192674.72999999992</c:v>
                </c:pt>
                <c:pt idx="3">
                  <c:v>220520.93999999986</c:v>
                </c:pt>
                <c:pt idx="4">
                  <c:v>287325.61999999994</c:v>
                </c:pt>
              </c:numCache>
            </c:numRef>
          </c:val>
          <c:extLst>
            <c:ext xmlns:c16="http://schemas.microsoft.com/office/drawing/2014/chart" uri="{C3380CC4-5D6E-409C-BE32-E72D297353CC}">
              <c16:uniqueId val="{00000018-AEBD-411A-BAD8-DF6A3AD51288}"/>
            </c:ext>
          </c:extLst>
        </c:ser>
        <c:dLbls>
          <c:showLegendKey val="0"/>
          <c:showVal val="0"/>
          <c:showCatName val="0"/>
          <c:showSerName val="0"/>
          <c:showPercent val="0"/>
          <c:showBubbleSize val="0"/>
        </c:dLbls>
        <c:gapWidth val="182"/>
        <c:axId val="319576239"/>
        <c:axId val="319570479"/>
      </c:barChart>
      <c:catAx>
        <c:axId val="31957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319570479"/>
        <c:crosses val="autoZero"/>
        <c:auto val="1"/>
        <c:lblAlgn val="ctr"/>
        <c:lblOffset val="100"/>
        <c:noMultiLvlLbl val="0"/>
      </c:catAx>
      <c:valAx>
        <c:axId val="31957047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crossAx val="319576239"/>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Tables!TCbyAge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Total</a:t>
            </a:r>
            <a:r>
              <a:rPr lang="en-US" b="1" baseline="0">
                <a:solidFill>
                  <a:sysClr val="windowText" lastClr="000000"/>
                </a:solidFill>
                <a:latin typeface="Palatino Linotype" panose="02040502050505030304" pitchFamily="18" charset="0"/>
              </a:rPr>
              <a:t> Claims by Age Group</a:t>
            </a:r>
            <a:endParaRPr lang="en-US" b="1">
              <a:solidFill>
                <a:sysClr val="windowText" lastClr="00000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 Tables'!$B$57:$B$58</c:f>
              <c:strCache>
                <c:ptCount val="1"/>
                <c:pt idx="0">
                  <c:v>Urban</c:v>
                </c:pt>
              </c:strCache>
            </c:strRef>
          </c:tx>
          <c:spPr>
            <a:ln w="28575" cap="rnd">
              <a:solidFill>
                <a:srgbClr val="0070C0"/>
              </a:solidFill>
              <a:round/>
            </a:ln>
            <a:effectLst/>
          </c:spPr>
          <c:marker>
            <c:symbol val="none"/>
          </c:marker>
          <c:cat>
            <c:strRef>
              <c:f>'Graph Tables'!$A$59:$A$66</c:f>
              <c:strCache>
                <c:ptCount val="7"/>
                <c:pt idx="0">
                  <c:v>18-24</c:v>
                </c:pt>
                <c:pt idx="1">
                  <c:v>25-34</c:v>
                </c:pt>
                <c:pt idx="2">
                  <c:v>35-44</c:v>
                </c:pt>
                <c:pt idx="3">
                  <c:v>45-54</c:v>
                </c:pt>
                <c:pt idx="4">
                  <c:v>55-64</c:v>
                </c:pt>
                <c:pt idx="5">
                  <c:v>65-74</c:v>
                </c:pt>
                <c:pt idx="6">
                  <c:v>75-90</c:v>
                </c:pt>
              </c:strCache>
            </c:strRef>
          </c:cat>
          <c:val>
            <c:numRef>
              <c:f>'Graph Tables'!$B$59:$B$66</c:f>
              <c:numCache>
                <c:formatCode>0</c:formatCode>
                <c:ptCount val="7"/>
                <c:pt idx="0">
                  <c:v>61</c:v>
                </c:pt>
                <c:pt idx="1">
                  <c:v>86</c:v>
                </c:pt>
                <c:pt idx="2">
                  <c:v>119</c:v>
                </c:pt>
                <c:pt idx="3">
                  <c:v>115</c:v>
                </c:pt>
                <c:pt idx="4">
                  <c:v>143</c:v>
                </c:pt>
                <c:pt idx="5">
                  <c:v>181</c:v>
                </c:pt>
                <c:pt idx="6">
                  <c:v>310</c:v>
                </c:pt>
              </c:numCache>
            </c:numRef>
          </c:val>
          <c:smooth val="0"/>
          <c:extLst>
            <c:ext xmlns:c16="http://schemas.microsoft.com/office/drawing/2014/chart" uri="{C3380CC4-5D6E-409C-BE32-E72D297353CC}">
              <c16:uniqueId val="{00000000-9888-4B1C-9C09-93169D32070C}"/>
            </c:ext>
          </c:extLst>
        </c:ser>
        <c:ser>
          <c:idx val="1"/>
          <c:order val="1"/>
          <c:tx>
            <c:strRef>
              <c:f>'Graph Tables'!$C$57:$C$58</c:f>
              <c:strCache>
                <c:ptCount val="1"/>
                <c:pt idx="0">
                  <c:v>Suburban</c:v>
                </c:pt>
              </c:strCache>
            </c:strRef>
          </c:tx>
          <c:spPr>
            <a:ln w="28575" cap="rnd">
              <a:solidFill>
                <a:schemeClr val="accent2"/>
              </a:solidFill>
              <a:round/>
            </a:ln>
            <a:effectLst/>
          </c:spPr>
          <c:marker>
            <c:symbol val="none"/>
          </c:marker>
          <c:cat>
            <c:strRef>
              <c:f>'Graph Tables'!$A$59:$A$66</c:f>
              <c:strCache>
                <c:ptCount val="7"/>
                <c:pt idx="0">
                  <c:v>18-24</c:v>
                </c:pt>
                <c:pt idx="1">
                  <c:v>25-34</c:v>
                </c:pt>
                <c:pt idx="2">
                  <c:v>35-44</c:v>
                </c:pt>
                <c:pt idx="3">
                  <c:v>45-54</c:v>
                </c:pt>
                <c:pt idx="4">
                  <c:v>55-64</c:v>
                </c:pt>
                <c:pt idx="5">
                  <c:v>65-74</c:v>
                </c:pt>
                <c:pt idx="6">
                  <c:v>75-90</c:v>
                </c:pt>
              </c:strCache>
            </c:strRef>
          </c:cat>
          <c:val>
            <c:numRef>
              <c:f>'Graph Tables'!$C$59:$C$66</c:f>
              <c:numCache>
                <c:formatCode>0</c:formatCode>
                <c:ptCount val="7"/>
                <c:pt idx="0">
                  <c:v>26</c:v>
                </c:pt>
                <c:pt idx="1">
                  <c:v>52</c:v>
                </c:pt>
                <c:pt idx="2">
                  <c:v>53</c:v>
                </c:pt>
                <c:pt idx="3">
                  <c:v>86</c:v>
                </c:pt>
                <c:pt idx="4">
                  <c:v>96</c:v>
                </c:pt>
                <c:pt idx="5">
                  <c:v>111</c:v>
                </c:pt>
                <c:pt idx="6">
                  <c:v>178</c:v>
                </c:pt>
              </c:numCache>
            </c:numRef>
          </c:val>
          <c:smooth val="0"/>
          <c:extLst>
            <c:ext xmlns:c16="http://schemas.microsoft.com/office/drawing/2014/chart" uri="{C3380CC4-5D6E-409C-BE32-E72D297353CC}">
              <c16:uniqueId val="{00000017-CDCF-45BE-BFEA-3932E4853FDF}"/>
            </c:ext>
          </c:extLst>
        </c:ser>
        <c:ser>
          <c:idx val="2"/>
          <c:order val="2"/>
          <c:tx>
            <c:strRef>
              <c:f>'Graph Tables'!$D$57:$D$58</c:f>
              <c:strCache>
                <c:ptCount val="1"/>
                <c:pt idx="0">
                  <c:v>Rural</c:v>
                </c:pt>
              </c:strCache>
            </c:strRef>
          </c:tx>
          <c:spPr>
            <a:ln w="28575" cap="rnd">
              <a:solidFill>
                <a:srgbClr val="00B050"/>
              </a:solidFill>
              <a:round/>
            </a:ln>
            <a:effectLst/>
          </c:spPr>
          <c:marker>
            <c:symbol val="none"/>
          </c:marker>
          <c:cat>
            <c:strRef>
              <c:f>'Graph Tables'!$A$59:$A$66</c:f>
              <c:strCache>
                <c:ptCount val="7"/>
                <c:pt idx="0">
                  <c:v>18-24</c:v>
                </c:pt>
                <c:pt idx="1">
                  <c:v>25-34</c:v>
                </c:pt>
                <c:pt idx="2">
                  <c:v>35-44</c:v>
                </c:pt>
                <c:pt idx="3">
                  <c:v>45-54</c:v>
                </c:pt>
                <c:pt idx="4">
                  <c:v>55-64</c:v>
                </c:pt>
                <c:pt idx="5">
                  <c:v>65-74</c:v>
                </c:pt>
                <c:pt idx="6">
                  <c:v>75-90</c:v>
                </c:pt>
              </c:strCache>
            </c:strRef>
          </c:cat>
          <c:val>
            <c:numRef>
              <c:f>'Graph Tables'!$D$59:$D$66</c:f>
              <c:numCache>
                <c:formatCode>0</c:formatCode>
                <c:ptCount val="7"/>
                <c:pt idx="0">
                  <c:v>22</c:v>
                </c:pt>
                <c:pt idx="1">
                  <c:v>47</c:v>
                </c:pt>
                <c:pt idx="2">
                  <c:v>52</c:v>
                </c:pt>
                <c:pt idx="3">
                  <c:v>60</c:v>
                </c:pt>
                <c:pt idx="4">
                  <c:v>63</c:v>
                </c:pt>
                <c:pt idx="5">
                  <c:v>80</c:v>
                </c:pt>
                <c:pt idx="6">
                  <c:v>151</c:v>
                </c:pt>
              </c:numCache>
            </c:numRef>
          </c:val>
          <c:smooth val="0"/>
          <c:extLst>
            <c:ext xmlns:c16="http://schemas.microsoft.com/office/drawing/2014/chart" uri="{C3380CC4-5D6E-409C-BE32-E72D297353CC}">
              <c16:uniqueId val="{00000018-CDCF-45BE-BFEA-3932E4853FDF}"/>
            </c:ext>
          </c:extLst>
        </c:ser>
        <c:dLbls>
          <c:showLegendKey val="0"/>
          <c:showVal val="0"/>
          <c:showCatName val="0"/>
          <c:showSerName val="0"/>
          <c:showPercent val="0"/>
          <c:showBubbleSize val="0"/>
        </c:dLbls>
        <c:smooth val="0"/>
        <c:axId val="1186151696"/>
        <c:axId val="1186154096"/>
      </c:lineChart>
      <c:catAx>
        <c:axId val="118615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Age Groups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186154096"/>
        <c:crosses val="autoZero"/>
        <c:auto val="1"/>
        <c:lblAlgn val="ctr"/>
        <c:lblOffset val="100"/>
        <c:noMultiLvlLbl val="0"/>
      </c:catAx>
      <c:valAx>
        <c:axId val="118615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r>
                  <a:rPr lang="en-US" b="1">
                    <a:solidFill>
                      <a:sysClr val="windowText" lastClr="000000"/>
                    </a:solidFill>
                    <a:latin typeface="Palatino Linotype" panose="02040502050505030304" pitchFamily="18" charset="0"/>
                  </a:rPr>
                  <a:t>Total</a:t>
                </a:r>
                <a:r>
                  <a:rPr lang="en-US" b="1" baseline="0">
                    <a:solidFill>
                      <a:sysClr val="windowText" lastClr="000000"/>
                    </a:solidFill>
                    <a:latin typeface="Palatino Linotype" panose="02040502050505030304" pitchFamily="18" charset="0"/>
                  </a:rPr>
                  <a:t> Claims</a:t>
                </a:r>
                <a:endParaRPr lang="en-US" b="1">
                  <a:solidFill>
                    <a:sysClr val="windowText" lastClr="000000"/>
                  </a:solidFill>
                  <a:latin typeface="Palatino Linotype" panose="02040502050505030304" pitchFamily="18"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18615169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 of Claim Amount by Prior</a:t>
            </a:r>
            <a:r>
              <a:rPr lang="en-US" b="1" baseline="0">
                <a:solidFill>
                  <a:sysClr val="windowText" lastClr="000000"/>
                </a:solidFill>
                <a:latin typeface="Palatino Linotype" panose="02040502050505030304" pitchFamily="18" charset="0"/>
              </a:rPr>
              <a:t> Claim Count</a:t>
            </a:r>
            <a:r>
              <a:rPr lang="en-US" b="1">
                <a:solidFill>
                  <a:sysClr val="windowText" lastClr="000000"/>
                </a:solidFill>
                <a:latin typeface="Palatino Linotype" panose="02040502050505030304"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609623797025378"/>
          <c:y val="0.12989428404782735"/>
          <c:w val="0.45947419072615925"/>
          <c:h val="0.76579031787693208"/>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4A-43DC-9777-32EDA18187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4A-43DC-9777-32EDA18187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4A-43DC-9777-32EDA18187C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Tables'!$J$85:$J$87</c:f>
              <c:strCache>
                <c:ptCount val="3"/>
                <c:pt idx="0">
                  <c:v>Rural</c:v>
                </c:pt>
                <c:pt idx="1">
                  <c:v>Suburban</c:v>
                </c:pt>
                <c:pt idx="2">
                  <c:v>Urban</c:v>
                </c:pt>
              </c:strCache>
            </c:strRef>
          </c:cat>
          <c:val>
            <c:numRef>
              <c:f>'Graph Tables'!$K$85:$K$87</c:f>
              <c:numCache>
                <c:formatCode>0.00%</c:formatCode>
                <c:ptCount val="3"/>
                <c:pt idx="0">
                  <c:v>0.44230858403084988</c:v>
                </c:pt>
                <c:pt idx="1">
                  <c:v>0.29842683710541823</c:v>
                </c:pt>
                <c:pt idx="2">
                  <c:v>0.25926457886373194</c:v>
                </c:pt>
              </c:numCache>
            </c:numRef>
          </c:val>
          <c:extLst>
            <c:ext xmlns:c16="http://schemas.microsoft.com/office/drawing/2014/chart" uri="{C3380CC4-5D6E-409C-BE32-E72D297353CC}">
              <c16:uniqueId val="{00000000-6CF4-4B0C-A3CE-7DEF3C6BC0B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6720013123359582"/>
          <c:y val="0.89648148148148143"/>
          <c:w val="0.45448840769903764"/>
          <c:h val="8.9629629629629629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Tables!CFbyAS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Running Total</a:t>
            </a:r>
            <a:r>
              <a:rPr lang="en-US" b="1" baseline="0">
                <a:solidFill>
                  <a:sysClr val="windowText" lastClr="000000"/>
                </a:solidFill>
                <a:latin typeface="Palatino Linotype" panose="02040502050505030304" pitchFamily="18" charset="0"/>
              </a:rPr>
              <a:t> of Claims over Average Severity Bands</a:t>
            </a:r>
            <a:endParaRPr lang="en-US" b="1">
              <a:solidFill>
                <a:sysClr val="windowText" lastClr="00000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 Tables'!$B$93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 Tables'!$A$94:$A$102</c:f>
              <c:strCache>
                <c:ptCount val="8"/>
                <c:pt idx="0">
                  <c:v>0-1000</c:v>
                </c:pt>
                <c:pt idx="1">
                  <c:v>1000-2000</c:v>
                </c:pt>
                <c:pt idx="2">
                  <c:v>2000-3000</c:v>
                </c:pt>
                <c:pt idx="3">
                  <c:v>3000-4000</c:v>
                </c:pt>
                <c:pt idx="4">
                  <c:v>4000-5000</c:v>
                </c:pt>
                <c:pt idx="5">
                  <c:v>5000-6000</c:v>
                </c:pt>
                <c:pt idx="6">
                  <c:v>6000-7000</c:v>
                </c:pt>
                <c:pt idx="7">
                  <c:v>7000-8000</c:v>
                </c:pt>
              </c:strCache>
            </c:strRef>
          </c:cat>
          <c:val>
            <c:numRef>
              <c:f>'Graph Tables'!$B$94:$B$102</c:f>
              <c:numCache>
                <c:formatCode>0</c:formatCode>
                <c:ptCount val="8"/>
                <c:pt idx="0">
                  <c:v>1384</c:v>
                </c:pt>
                <c:pt idx="1">
                  <c:v>1901</c:v>
                </c:pt>
                <c:pt idx="2">
                  <c:v>2026</c:v>
                </c:pt>
                <c:pt idx="3">
                  <c:v>2066</c:v>
                </c:pt>
                <c:pt idx="4">
                  <c:v>2082</c:v>
                </c:pt>
                <c:pt idx="5">
                  <c:v>2087</c:v>
                </c:pt>
                <c:pt idx="6">
                  <c:v>2090</c:v>
                </c:pt>
                <c:pt idx="7">
                  <c:v>2092</c:v>
                </c:pt>
              </c:numCache>
            </c:numRef>
          </c:val>
          <c:extLst>
            <c:ext xmlns:c16="http://schemas.microsoft.com/office/drawing/2014/chart" uri="{C3380CC4-5D6E-409C-BE32-E72D297353CC}">
              <c16:uniqueId val="{00000000-C423-41EA-8474-DA30F59DAE8E}"/>
            </c:ext>
          </c:extLst>
        </c:ser>
        <c:dLbls>
          <c:showLegendKey val="0"/>
          <c:showVal val="0"/>
          <c:showCatName val="0"/>
          <c:showSerName val="0"/>
          <c:showPercent val="0"/>
          <c:showBubbleSize val="0"/>
        </c:dLbls>
        <c:gapWidth val="219"/>
        <c:overlap val="-27"/>
        <c:axId val="1094185488"/>
        <c:axId val="1094185968"/>
      </c:barChart>
      <c:catAx>
        <c:axId val="10941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094185968"/>
        <c:crosses val="autoZero"/>
        <c:auto val="1"/>
        <c:lblAlgn val="ctr"/>
        <c:lblOffset val="100"/>
        <c:noMultiLvlLbl val="0"/>
      </c:catAx>
      <c:valAx>
        <c:axId val="1094185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Palatino Linotype" panose="02040502050505030304" pitchFamily="18" charset="0"/>
                <a:ea typeface="+mn-ea"/>
                <a:cs typeface="+mn-cs"/>
              </a:defRPr>
            </a:pPr>
            <a:endParaRPr lang="en-US"/>
          </a:p>
        </c:txPr>
        <c:crossAx val="109418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[PricingSevExcel.xlsx]Graph Tables!TCbyVA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Palatino Linotype" panose="02040502050505030304" pitchFamily="18" charset="0"/>
              </a:rPr>
              <a:t>Total</a:t>
            </a:r>
            <a:r>
              <a:rPr lang="en-US" b="1" baseline="0">
                <a:solidFill>
                  <a:sysClr val="windowText" lastClr="000000"/>
                </a:solidFill>
                <a:latin typeface="Palatino Linotype" panose="02040502050505030304" pitchFamily="18" charset="0"/>
              </a:rPr>
              <a:t> Claims by Vehicle Age Bands</a:t>
            </a:r>
            <a:endParaRPr lang="en-US" b="1">
              <a:solidFill>
                <a:sysClr val="windowText" lastClr="000000"/>
              </a:solidFill>
              <a:latin typeface="Palatino Linotype" panose="02040502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6CEEE"/>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F89074"/>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3385870516185481"/>
          <c:y val="0.19278798483522894"/>
          <c:w val="0.44611286089238839"/>
          <c:h val="0.74352143482064736"/>
        </c:manualLayout>
      </c:layout>
      <c:pieChart>
        <c:varyColors val="1"/>
        <c:ser>
          <c:idx val="0"/>
          <c:order val="0"/>
          <c:tx>
            <c:strRef>
              <c:f>'Graph Tables'!$B$111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7B-444E-AE17-083D29E4C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7B-444E-AE17-083D29E4C079}"/>
              </c:ext>
            </c:extLst>
          </c:dPt>
          <c:dPt>
            <c:idx val="2"/>
            <c:bubble3D val="0"/>
            <c:spPr>
              <a:solidFill>
                <a:srgbClr val="86CEEE"/>
              </a:solidFill>
              <a:ln w="19050">
                <a:solidFill>
                  <a:schemeClr val="lt1"/>
                </a:solidFill>
              </a:ln>
              <a:effectLst/>
            </c:spPr>
            <c:extLst>
              <c:ext xmlns:c16="http://schemas.microsoft.com/office/drawing/2014/chart" uri="{C3380CC4-5D6E-409C-BE32-E72D297353CC}">
                <c16:uniqueId val="{00000002-092E-4C50-AE79-D26363CDA14F}"/>
              </c:ext>
            </c:extLst>
          </c:dPt>
          <c:dPt>
            <c:idx val="3"/>
            <c:bubble3D val="0"/>
            <c:spPr>
              <a:solidFill>
                <a:srgbClr val="F89074"/>
              </a:solidFill>
              <a:ln w="19050">
                <a:solidFill>
                  <a:schemeClr val="lt1"/>
                </a:solidFill>
              </a:ln>
              <a:effectLst/>
            </c:spPr>
            <c:extLst>
              <c:ext xmlns:c16="http://schemas.microsoft.com/office/drawing/2014/chart" uri="{C3380CC4-5D6E-409C-BE32-E72D297353CC}">
                <c16:uniqueId val="{00000004-092E-4C50-AE79-D26363CDA14F}"/>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3-092E-4C50-AE79-D26363CDA14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Palatino Linotype" panose="02040502050505030304" pitchFamily="18"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Tables'!$A$112:$A$117</c:f>
              <c:strCache>
                <c:ptCount val="5"/>
                <c:pt idx="0">
                  <c:v>0-2</c:v>
                </c:pt>
                <c:pt idx="1">
                  <c:v>3-5</c:v>
                </c:pt>
                <c:pt idx="2">
                  <c:v>6-8</c:v>
                </c:pt>
                <c:pt idx="3">
                  <c:v>9-11</c:v>
                </c:pt>
                <c:pt idx="4">
                  <c:v>12-15</c:v>
                </c:pt>
              </c:strCache>
            </c:strRef>
          </c:cat>
          <c:val>
            <c:numRef>
              <c:f>'Graph Tables'!$B$112:$B$117</c:f>
              <c:numCache>
                <c:formatCode>0.00%</c:formatCode>
                <c:ptCount val="5"/>
                <c:pt idx="0">
                  <c:v>0.122848948374761</c:v>
                </c:pt>
                <c:pt idx="1">
                  <c:v>0.16204588910133844</c:v>
                </c:pt>
                <c:pt idx="2">
                  <c:v>0.21653919694072657</c:v>
                </c:pt>
                <c:pt idx="3">
                  <c:v>0.2208413001912046</c:v>
                </c:pt>
                <c:pt idx="4">
                  <c:v>0.27772466539196938</c:v>
                </c:pt>
              </c:numCache>
            </c:numRef>
          </c:val>
          <c:extLst>
            <c:ext xmlns:c16="http://schemas.microsoft.com/office/drawing/2014/chart" uri="{C3380CC4-5D6E-409C-BE32-E72D297353CC}">
              <c16:uniqueId val="{00000000-092E-4C50-AE79-D26363CDA1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Palatino Linotype" panose="02040502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Exposure Period Frequency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Palatino Linotype" panose="02040502050505030304" pitchFamily="18" charset="0"/>
            </a:rPr>
            <a:t>Exposure Period Frequency</a:t>
          </a:r>
        </a:p>
      </cx:txPr>
    </cx:title>
    <cx:plotArea>
      <cx:plotAreaRegion>
        <cx:series layoutId="clusteredColumn" uniqueId="{0DB43B55-08B4-408A-B16B-365A315119B4}">
          <cx: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10800000" scaled="1"/>
              <a:tileRect/>
            </a:gradFill>
            <a:ln>
              <a:solidFill>
                <a:schemeClr val="tx1"/>
              </a:solidFill>
            </a:ln>
          </cx:spPr>
          <cx:dataLabels>
            <cx:txPr>
              <a:bodyPr spcFirstLastPara="1" vertOverflow="ellipsis" horzOverflow="overflow" wrap="square" lIns="0" tIns="0" rIns="0" bIns="0" anchor="ctr" anchorCtr="1"/>
              <a:lstStyle/>
              <a:p>
                <a:pPr algn="ctr" rtl="0">
                  <a:defRPr sz="1000"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1000" b="1" i="0" u="none" strike="noStrike" baseline="0">
                  <a:solidFill>
                    <a:sysClr val="windowText" lastClr="000000"/>
                  </a:solidFill>
                  <a:latin typeface="Palatino Linotype" panose="02040502050505030304" pitchFamily="18" charset="0"/>
                </a:endParaRPr>
              </a:p>
            </cx:txPr>
            <cx:visibility seriesName="0" categoryName="0" value="1"/>
          </cx:dataLabels>
          <cx:dataId val="0"/>
          <cx:layoutPr>
            <cx:binning intervalClosed="r">
              <cx:binCount val="5"/>
            </cx:binning>
          </cx:layoutPr>
        </cx:series>
      </cx:plotAreaRegion>
      <cx:axis id="0">
        <cx:catScaling gapWidth="0"/>
        <cx:tickLabels/>
        <cx:txPr>
          <a:bodyPr spcFirstLastPara="1" vertOverflow="ellipsis" horzOverflow="overflow" wrap="square" lIns="0" tIns="0" rIns="0" bIns="0" anchor="ctr" anchorCtr="1"/>
          <a:lstStyle/>
          <a:p>
            <a:pPr algn="ctr" rtl="0">
              <a:defRPr sz="1000"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1000" b="1" i="0" u="none" strike="noStrike" baseline="0">
              <a:solidFill>
                <a:sysClr val="windowText" lastClr="000000"/>
              </a:solidFill>
              <a:latin typeface="Palatino Linotype" panose="02040502050505030304" pitchFamily="18" charset="0"/>
            </a:endParaRPr>
          </a:p>
        </cx:txPr>
      </cx:axis>
      <cx:axis id="1">
        <cx:valScaling/>
        <cx:tickLabels/>
        <cx:txPr>
          <a:bodyPr spcFirstLastPara="1" vertOverflow="ellipsis" horzOverflow="overflow" wrap="square" lIns="0" tIns="0" rIns="0" bIns="0" anchor="ctr" anchorCtr="1"/>
          <a:lstStyle/>
          <a:p>
            <a:pPr algn="ctr" rtl="0">
              <a:defRPr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900" b="1" i="0" u="none" strike="noStrike" baseline="0">
              <a:solidFill>
                <a:sysClr val="windowText" lastClr="000000"/>
              </a:solidFill>
              <a:latin typeface="Palatino Linotype" panose="02040502050505030304" pitchFamily="18" charset="0"/>
            </a:endParaRPr>
          </a:p>
        </cx:txPr>
      </cx:axis>
    </cx:plotArea>
  </cx:chart>
  <cx:spPr>
    <a:solidFill>
      <a:schemeClr val="accent4">
        <a:lumMod val="20000"/>
        <a:lumOff val="80000"/>
      </a:schemeClr>
    </a:solidFill>
    <a:ln>
      <a:solidFill>
        <a:sysClr val="windowText" lastClr="00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Claim Range Frequency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Palatino Linotype" panose="02040502050505030304" pitchFamily="18" charset="0"/>
            </a:rPr>
            <a:t>Claim Range Frequency ($)</a:t>
          </a:r>
        </a:p>
      </cx:txPr>
    </cx:title>
    <cx:plotArea>
      <cx:plotAreaRegion>
        <cx:series layoutId="clusteredColumn" uniqueId="{A02DB4A9-B836-4AC3-8532-7C9E04D7B6E8}">
          <cx:tx>
            <cx:txData>
              <cx:f>_xlchart.v1.3</cx:f>
              <cx:v>Claim Amount</cx:v>
            </cx:txData>
          </cx:tx>
          <cx:spPr>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5400000" scaled="1"/>
              <a:tileRect/>
            </a:gradFill>
          </cx:spPr>
          <cx:dataLabels>
            <cx:txPr>
              <a:bodyPr spcFirstLastPara="1" vertOverflow="ellipsis" horzOverflow="overflow" wrap="square" lIns="0" tIns="0" rIns="0" bIns="0" anchor="ctr" anchorCtr="1"/>
              <a:lstStyle/>
              <a:p>
                <a:pPr algn="ctr" rtl="0">
                  <a:defRPr sz="1000" b="1">
                    <a:solidFill>
                      <a:schemeClr val="tx1"/>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1000" b="1" i="0" u="none" strike="noStrike" baseline="0">
                  <a:solidFill>
                    <a:schemeClr val="tx1"/>
                  </a:solidFill>
                  <a:latin typeface="Palatino Linotype" panose="02040502050505030304" pitchFamily="18" charset="0"/>
                </a:endParaRPr>
              </a:p>
            </cx:txPr>
            <cx:visibility seriesName="0" categoryName="0" value="1"/>
          </cx:dataLabels>
          <cx:dataId val="0"/>
          <cx:layoutPr>
            <cx:binning intervalClosed="r">
              <cx:binSize val="500"/>
            </cx:binning>
          </cx:layoutPr>
        </cx:series>
      </cx:plotAreaRegion>
      <cx:axis id="0">
        <cx:catScaling gapWidth="0"/>
        <cx:tickLabels/>
        <cx:numFmt formatCode="$#,##0" sourceLinked="0"/>
        <cx:txPr>
          <a:bodyPr spcFirstLastPara="1" vertOverflow="ellipsis" horzOverflow="overflow" wrap="square" lIns="0" tIns="0" rIns="0" bIns="0" anchor="ctr" anchorCtr="1"/>
          <a:lstStyle/>
          <a:p>
            <a:pPr algn="ctr" rtl="0">
              <a:defRPr b="1">
                <a:solidFill>
                  <a:schemeClr val="tx1"/>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900" b="1" i="0" u="none" strike="noStrike" baseline="0">
              <a:solidFill>
                <a:schemeClr val="tx1"/>
              </a:solidFill>
              <a:latin typeface="Palatino Linotype" panose="02040502050505030304" pitchFamily="18" charset="0"/>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900" b="1" i="0" u="none" strike="noStrike" baseline="0">
              <a:solidFill>
                <a:schemeClr val="tx1"/>
              </a:solidFill>
              <a:latin typeface="Palatino Linotype" panose="02040502050505030304" pitchFamily="18" charset="0"/>
            </a:endParaRPr>
          </a:p>
        </cx:txPr>
      </cx:axis>
    </cx:plotArea>
  </cx:chart>
  <cx:spPr>
    <a:ln>
      <a:solidFill>
        <a:sysClr val="windowText" lastClr="000000"/>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Age Range Frequency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Palatino Linotype" panose="02040502050505030304" pitchFamily="18" charset="0"/>
            </a:rPr>
            <a:t>Age Range Frequency</a:t>
          </a:r>
        </a:p>
      </cx:txPr>
    </cx:title>
    <cx:plotArea>
      <cx:plotAreaRegion>
        <cx:series layoutId="clusteredColumn" uniqueId="{626F22FA-C160-48BE-9BEE-71A7B1D94762}">
          <cx:tx>
            <cx:txData>
              <cx:f>_xlchart.v1.5</cx:f>
              <cx:v>Age</cx:v>
            </cx:txData>
          </cx:tx>
          <cx: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ln>
              <a:solidFill>
                <a:sysClr val="windowText" lastClr="000000"/>
              </a:solidFill>
            </a:ln>
          </cx:spPr>
          <cx:dataLabels pos="inEnd">
            <cx:txPr>
              <a:bodyPr spcFirstLastPara="1" vertOverflow="ellipsis" horzOverflow="overflow" wrap="square" lIns="0" tIns="0" rIns="0" bIns="0" anchor="ctr" anchorCtr="1"/>
              <a:lstStyle/>
              <a:p>
                <a:pPr algn="ctr" rtl="0">
                  <a:defRPr sz="1000"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1000" b="1" i="0" u="none" strike="noStrike" baseline="0">
                  <a:solidFill>
                    <a:sysClr val="windowText" lastClr="000000"/>
                  </a:solidFill>
                  <a:latin typeface="Palatino Linotype" panose="02040502050505030304" pitchFamily="18" charset="0"/>
                </a:endParaRPr>
              </a:p>
            </cx:txPr>
            <cx:visibility seriesName="0" categoryName="0" value="1"/>
          </cx:dataLabels>
          <cx:dataId val="0"/>
          <cx:layoutPr>
            <cx:binning intervalClosed="r">
              <cx:binSize val="9"/>
            </cx:binning>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1"/>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900" b="1" i="0" u="none" strike="noStrike" baseline="0">
              <a:solidFill>
                <a:schemeClr val="tx1"/>
              </a:solidFill>
              <a:latin typeface="Palatino Linotype" panose="02040502050505030304" pitchFamily="18" charset="0"/>
            </a:endParaRPr>
          </a:p>
        </cx:txPr>
      </cx:axis>
      <cx:axis id="1" hidden="1">
        <cx:valScaling/>
        <cx:majorGridlines/>
        <cx:tickLabels/>
        <cx:txPr>
          <a:bodyPr spcFirstLastPara="1" vertOverflow="ellipsis" horzOverflow="overflow" wrap="square" lIns="0" tIns="0" rIns="0" bIns="0" anchor="ctr" anchorCtr="1"/>
          <a:lstStyle/>
          <a:p>
            <a:pPr algn="ctr" rtl="0">
              <a:defRPr b="1">
                <a:solidFill>
                  <a:schemeClr val="tx1"/>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900" b="1" i="0" u="none" strike="noStrike" baseline="0">
              <a:solidFill>
                <a:schemeClr val="tx1"/>
              </a:solidFill>
              <a:latin typeface="Palatino Linotype" panose="02040502050505030304" pitchFamily="18" charset="0"/>
            </a:endParaRPr>
          </a:p>
        </cx:txPr>
      </cx:axis>
    </cx:plotArea>
  </cx:chart>
  <cx:spPr>
    <a:ln>
      <a:solidFill>
        <a:sysClr val="windowText" lastClr="000000"/>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Vehicle Age Frequency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Palatino Linotype" panose="02040502050505030304" pitchFamily="18" charset="0"/>
            </a:rPr>
            <a:t>Vehicle Age Frequency</a:t>
          </a:r>
        </a:p>
      </cx:txPr>
    </cx:title>
    <cx:plotArea>
      <cx:plotAreaRegion>
        <cx:series layoutId="clusteredColumn" uniqueId="{8152DAB5-1291-4C3C-8D88-0D7AD257844F}">
          <cx:tx>
            <cx:txData>
              <cx:f>_xlchart.v1.0</cx:f>
              <cx:v>vehicle_age</cx:v>
            </cx:txData>
          </cx:tx>
          <cx: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8100000" scaled="1"/>
              <a:tileRect/>
            </a:gradFill>
          </cx:spPr>
          <cx:dataLabels>
            <cx:txPr>
              <a:bodyPr spcFirstLastPara="1" vertOverflow="ellipsis" horzOverflow="overflow" wrap="square" lIns="0" tIns="0" rIns="0" bIns="0" anchor="ctr" anchorCtr="1"/>
              <a:lstStyle/>
              <a:p>
                <a:pPr algn="ctr" rtl="0">
                  <a:defRPr sz="1000"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1000" b="1" i="0" u="none" strike="noStrike" baseline="0">
                  <a:solidFill>
                    <a:sysClr val="windowText" lastClr="000000"/>
                  </a:solidFill>
                  <a:latin typeface="Palatino Linotype" panose="02040502050505030304" pitchFamily="18" charset="0"/>
                </a:endParaRPr>
              </a:p>
            </cx:txPr>
            <cx:visibility seriesName="0" categoryName="0" value="1"/>
          </cx:dataLabels>
          <cx:dataId val="0"/>
          <cx:layoutPr>
            <cx:binning intervalClosed="r">
              <cx:binSize val="1"/>
            </cx:binning>
          </cx:layoutPr>
        </cx:series>
      </cx:plotAreaRegion>
      <cx:axis id="0">
        <cx:catScaling gapWidth="0"/>
        <cx:tickLabels/>
        <cx:txPr>
          <a:bodyPr spcFirstLastPara="1" vertOverflow="ellipsis" horzOverflow="overflow" wrap="square" lIns="0" tIns="0" rIns="0" bIns="0" anchor="ctr" anchorCtr="1"/>
          <a:lstStyle/>
          <a:p>
            <a:pPr algn="ctr" rtl="0">
              <a:defRPr sz="800"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800" b="1" i="0" u="none" strike="noStrike" baseline="0">
              <a:solidFill>
                <a:sysClr val="windowText" lastClr="000000"/>
              </a:solidFill>
              <a:latin typeface="Palatino Linotype" panose="02040502050505030304" pitchFamily="18" charset="0"/>
            </a:endParaRPr>
          </a:p>
        </cx:txPr>
      </cx:axis>
      <cx:axis id="1">
        <cx:valScaling/>
        <cx:tickLabels/>
        <cx:txPr>
          <a:bodyPr spcFirstLastPara="1" vertOverflow="ellipsis" horzOverflow="overflow" wrap="square" lIns="0" tIns="0" rIns="0" bIns="0" anchor="ctr" anchorCtr="1"/>
          <a:lstStyle/>
          <a:p>
            <a:pPr algn="ctr" rtl="0">
              <a:defRPr sz="1000" b="1">
                <a:solidFill>
                  <a:sysClr val="windowText" lastClr="000000"/>
                </a:solidFill>
                <a:latin typeface="Palatino Linotype" panose="02040502050505030304" pitchFamily="18" charset="0"/>
                <a:ea typeface="Palatino Linotype" panose="02040502050505030304" pitchFamily="18" charset="0"/>
                <a:cs typeface="Palatino Linotype" panose="02040502050505030304" pitchFamily="18" charset="0"/>
              </a:defRPr>
            </a:pPr>
            <a:endParaRPr lang="en-US" sz="1000" b="1" i="0" u="none" strike="noStrike" baseline="0">
              <a:solidFill>
                <a:sysClr val="windowText" lastClr="000000"/>
              </a:solidFill>
              <a:latin typeface="Palatino Linotype" panose="02040502050505030304" pitchFamily="18" charset="0"/>
            </a:endParaRPr>
          </a:p>
        </cx:txPr>
      </cx:axis>
    </cx:plotArea>
  </cx:chart>
  <cx:spPr>
    <a:solidFill>
      <a:schemeClr val="bg2"/>
    </a:solidFill>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PricingSeverityModel.csv" TargetMode="External"/></Relationships>
</file>

<file path=xl/drawings/_rels/drawing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4.xml"/><Relationship Id="rId5" Type="http://schemas.microsoft.com/office/2014/relationships/chartEx" Target="../charts/chartEx3.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9525</xdr:rowOff>
    </xdr:from>
    <xdr:to>
      <xdr:col>9</xdr:col>
      <xdr:colOff>666750</xdr:colOff>
      <xdr:row>13</xdr:row>
      <xdr:rowOff>9525</xdr:rowOff>
    </xdr:to>
    <xdr:sp macro="" textlink="">
      <xdr:nvSpPr>
        <xdr:cNvPr id="2" name="TextBox 1">
          <a:extLst>
            <a:ext uri="{FF2B5EF4-FFF2-40B4-BE49-F238E27FC236}">
              <a16:creationId xmlns:a16="http://schemas.microsoft.com/office/drawing/2014/main" id="{E634E9EF-C207-578C-F8A6-7DA52C40C791}"/>
            </a:ext>
          </a:extLst>
        </xdr:cNvPr>
        <xdr:cNvSpPr txBox="1"/>
      </xdr:nvSpPr>
      <xdr:spPr>
        <a:xfrm>
          <a:off x="695325" y="190500"/>
          <a:ext cx="6143625" cy="21717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i="1">
              <a:latin typeface="Palatino Linotype" panose="02040502050505030304" pitchFamily="18" charset="0"/>
            </a:rPr>
            <a:t>Pricing</a:t>
          </a:r>
          <a:r>
            <a:rPr lang="en-US" sz="1600" i="1" baseline="0">
              <a:latin typeface="Palatino Linotype" panose="02040502050505030304" pitchFamily="18" charset="0"/>
            </a:rPr>
            <a:t> and Severity Dataset Analysis</a:t>
          </a:r>
        </a:p>
        <a:p>
          <a:pPr algn="ctr"/>
          <a:endParaRPr lang="en-US" sz="1600" i="0" baseline="0">
            <a:latin typeface="Palatino Linotype" panose="02040502050505030304" pitchFamily="18" charset="0"/>
          </a:endParaRPr>
        </a:p>
        <a:p>
          <a:pPr algn="l"/>
          <a:r>
            <a:rPr lang="en-US" sz="1400" i="0" baseline="0">
              <a:latin typeface="Palatino Linotype" panose="02040502050505030304" pitchFamily="18" charset="0"/>
            </a:rPr>
            <a:t>All tables and dashboards use information from the </a:t>
          </a:r>
          <a:r>
            <a:rPr lang="en-US" sz="1400" b="1" i="0" baseline="0">
              <a:solidFill>
                <a:srgbClr val="FF0000"/>
              </a:solidFill>
              <a:latin typeface="Palatino Linotype" panose="02040502050505030304" pitchFamily="18" charset="0"/>
            </a:rPr>
            <a:t>PricingSeverityModel.csv</a:t>
          </a:r>
          <a:r>
            <a:rPr lang="en-US" sz="1400" i="0" baseline="0">
              <a:latin typeface="Palatino Linotype" panose="02040502050505030304" pitchFamily="18" charset="0"/>
            </a:rPr>
            <a:t> dataset. See Pricing Severity Model Analysis to find how each feature was constructed</a:t>
          </a:r>
        </a:p>
        <a:p>
          <a:pPr algn="l"/>
          <a:endParaRPr lang="en-US" sz="1400" i="0" baseline="0">
            <a:latin typeface="Palatino Linotype" panose="02040502050505030304" pitchFamily="18" charset="0"/>
          </a:endParaRPr>
        </a:p>
        <a:p>
          <a:pPr algn="l"/>
          <a:r>
            <a:rPr lang="en-US" sz="1400" i="0" baseline="0">
              <a:latin typeface="Palatino Linotype" panose="02040502050505030304" pitchFamily="18" charset="0"/>
            </a:rPr>
            <a:t>Link: https://ryangomberg.github.io/ryangomberg/PricingSeverityModeling.pdf</a:t>
          </a:r>
        </a:p>
        <a:p>
          <a:pPr algn="l"/>
          <a:endParaRPr lang="en-US" sz="1400" i="0" baseline="0">
            <a:latin typeface="Palatino Linotype" panose="02040502050505030304" pitchFamily="18" charset="0"/>
          </a:endParaRPr>
        </a:p>
        <a:p>
          <a:pPr algn="l"/>
          <a:endParaRPr lang="en-US" sz="1400" i="0" baseline="0">
            <a:latin typeface="Palatino Linotype" panose="02040502050505030304" pitchFamily="18" charset="0"/>
          </a:endParaRPr>
        </a:p>
        <a:p>
          <a:pPr algn="l"/>
          <a:endParaRPr lang="en-US" sz="1400" i="0" baseline="0">
            <a:latin typeface="Palatino Linotype" panose="02040502050505030304" pitchFamily="18" charset="0"/>
          </a:endParaRPr>
        </a:p>
        <a:p>
          <a:pPr algn="l"/>
          <a:endParaRPr lang="en-US" sz="1400" i="0" baseline="0">
            <a:latin typeface="Palatino Linotype" panose="02040502050505030304" pitchFamily="18" charset="0"/>
          </a:endParaRPr>
        </a:p>
        <a:p>
          <a:pPr algn="l"/>
          <a:endParaRPr lang="en-US" sz="1400" i="0" baseline="0">
            <a:latin typeface="Palatino Linotype" panose="02040502050505030304" pitchFamily="18" charset="0"/>
          </a:endParaRPr>
        </a:p>
      </xdr:txBody>
    </xdr:sp>
    <xdr:clientData/>
  </xdr:twoCellAnchor>
  <xdr:twoCellAnchor>
    <xdr:from>
      <xdr:col>1</xdr:col>
      <xdr:colOff>9526</xdr:colOff>
      <xdr:row>13</xdr:row>
      <xdr:rowOff>38100</xdr:rowOff>
    </xdr:from>
    <xdr:to>
      <xdr:col>9</xdr:col>
      <xdr:colOff>666750</xdr:colOff>
      <xdr:row>17</xdr:row>
      <xdr:rowOff>171450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E9444554-05DC-741D-14EF-8F7274E59CFF}"/>
            </a:ext>
          </a:extLst>
        </xdr:cNvPr>
        <xdr:cNvSpPr/>
      </xdr:nvSpPr>
      <xdr:spPr>
        <a:xfrm>
          <a:off x="695326" y="2390775"/>
          <a:ext cx="6143624" cy="85725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Palatino Linotype" panose="02040502050505030304" pitchFamily="18" charset="0"/>
            </a:rPr>
            <a:t>Access the original dataset here</a:t>
          </a:r>
        </a:p>
      </xdr:txBody>
    </xdr:sp>
    <xdr:clientData/>
  </xdr:twoCellAnchor>
  <xdr:twoCellAnchor>
    <xdr:from>
      <xdr:col>11</xdr:col>
      <xdr:colOff>0</xdr:colOff>
      <xdr:row>1</xdr:row>
      <xdr:rowOff>0</xdr:rowOff>
    </xdr:from>
    <xdr:to>
      <xdr:col>17</xdr:col>
      <xdr:colOff>657225</xdr:colOff>
      <xdr:row>17</xdr:row>
      <xdr:rowOff>9525</xdr:rowOff>
    </xdr:to>
    <xdr:sp macro="" textlink="">
      <xdr:nvSpPr>
        <xdr:cNvPr id="4" name="TextBox 3">
          <a:extLst>
            <a:ext uri="{FF2B5EF4-FFF2-40B4-BE49-F238E27FC236}">
              <a16:creationId xmlns:a16="http://schemas.microsoft.com/office/drawing/2014/main" id="{B972711C-59CA-EC47-A61C-C97F2EA6C7D7}"/>
            </a:ext>
          </a:extLst>
        </xdr:cNvPr>
        <xdr:cNvSpPr txBox="1"/>
      </xdr:nvSpPr>
      <xdr:spPr>
        <a:xfrm>
          <a:off x="7543800" y="180975"/>
          <a:ext cx="4772025" cy="2905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latin typeface="Palatino Linotype" panose="02040502050505030304" pitchFamily="18" charset="0"/>
            </a:rPr>
            <a:t>The purpose of this dashboard is to explore determinants</a:t>
          </a:r>
          <a:r>
            <a:rPr lang="en-US" sz="1200" i="1" baseline="0">
              <a:latin typeface="Palatino Linotype" panose="02040502050505030304" pitchFamily="18" charset="0"/>
            </a:rPr>
            <a:t> of auto insurance risk, and discover how independent features like exposure, age, vehicle age, and territory all influence claim frequency and severity.</a:t>
          </a:r>
        </a:p>
        <a:p>
          <a:endParaRPr lang="en-US" sz="1200" i="1" baseline="0">
            <a:latin typeface="Palatino Linotype" panose="02040502050505030304" pitchFamily="18" charset="0"/>
          </a:endParaRPr>
        </a:p>
        <a:p>
          <a:r>
            <a:rPr lang="en-US" sz="1200" i="1" baseline="0">
              <a:latin typeface="Palatino Linotype" panose="02040502050505030304" pitchFamily="18" charset="0"/>
            </a:rPr>
            <a:t>This spreadsheet includes one visualization dashboard to understand frequency among each feature and one interactive dashboard to observe changes in claim amount and frequency over different subgroups of features. Then, some sample observations are made over the entire group of policyholders. A more detailed analysis will be shown in a separate presentation. </a:t>
          </a:r>
        </a:p>
        <a:p>
          <a:endParaRPr lang="en-US" sz="1200" i="1" baseline="0">
            <a:latin typeface="Palatino Linotype" panose="02040502050505030304" pitchFamily="18" charset="0"/>
          </a:endParaRPr>
        </a:p>
        <a:p>
          <a:r>
            <a:rPr lang="en-US" sz="1200" i="1" baseline="0">
              <a:latin typeface="Palatino Linotype" panose="02040502050505030304" pitchFamily="18" charset="0"/>
            </a:rPr>
            <a:t>This spreadsheet also includes the raw dataset alongside the list of applied transformations to make it analysis-ready.</a:t>
          </a:r>
          <a:endParaRPr lang="en-US" sz="1200" i="1">
            <a:latin typeface="Palatino Linotype" panose="0204050205050503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228600</xdr:colOff>
      <xdr:row>1</xdr:row>
      <xdr:rowOff>9524</xdr:rowOff>
    </xdr:from>
    <xdr:to>
      <xdr:col>19</xdr:col>
      <xdr:colOff>28575</xdr:colOff>
      <xdr:row>25</xdr:row>
      <xdr:rowOff>152400</xdr:rowOff>
    </xdr:to>
    <xdr:sp macro="" textlink="">
      <xdr:nvSpPr>
        <xdr:cNvPr id="2" name="TextBox 1">
          <a:extLst>
            <a:ext uri="{FF2B5EF4-FFF2-40B4-BE49-F238E27FC236}">
              <a16:creationId xmlns:a16="http://schemas.microsoft.com/office/drawing/2014/main" id="{481A95EA-2E8A-8D45-7AB3-D0DF30CE985B}"/>
            </a:ext>
          </a:extLst>
        </xdr:cNvPr>
        <xdr:cNvSpPr txBox="1"/>
      </xdr:nvSpPr>
      <xdr:spPr>
        <a:xfrm>
          <a:off x="12706350" y="190499"/>
          <a:ext cx="5286375" cy="4486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Palatino Linotype" panose="02040502050505030304" pitchFamily="18" charset="0"/>
            </a:rPr>
            <a:t>DATA</a:t>
          </a:r>
          <a:r>
            <a:rPr lang="en-US" sz="1600" b="1" baseline="0">
              <a:latin typeface="Palatino Linotype" panose="02040502050505030304" pitchFamily="18" charset="0"/>
            </a:rPr>
            <a:t> TRANSFORMATION</a:t>
          </a:r>
        </a:p>
        <a:p>
          <a:pPr algn="l"/>
          <a:endParaRPr lang="en-US" sz="1400" b="0" baseline="0">
            <a:latin typeface="Palatino Linotype" panose="02040502050505030304" pitchFamily="18" charset="0"/>
          </a:endParaRPr>
        </a:p>
        <a:p>
          <a:pPr algn="l"/>
          <a:r>
            <a:rPr lang="en-US" sz="1400" b="0" baseline="0">
              <a:latin typeface="Palatino Linotype" panose="02040502050505030304" pitchFamily="18" charset="0"/>
            </a:rPr>
            <a:t>1. Removed all policyholders with zero claims (Power Query).</a:t>
          </a:r>
        </a:p>
        <a:p>
          <a:pPr algn="l"/>
          <a:r>
            <a:rPr lang="en-US" sz="1400" b="0" baseline="0">
              <a:latin typeface="Palatino Linotype" panose="02040502050505030304" pitchFamily="18" charset="0"/>
            </a:rPr>
            <a:t>2. Name adjustments for all columns.</a:t>
          </a:r>
        </a:p>
        <a:p>
          <a:pPr algn="l"/>
          <a:r>
            <a:rPr lang="en-US" sz="1400" b="0" baseline="0">
              <a:latin typeface="Palatino Linotype" panose="02040502050505030304" pitchFamily="18" charset="0"/>
            </a:rPr>
            <a:t>3. </a:t>
          </a:r>
          <a:r>
            <a:rPr lang="en-US" sz="1400" b="0" baseline="0">
              <a:solidFill>
                <a:schemeClr val="dk1"/>
              </a:solidFill>
              <a:effectLst/>
              <a:latin typeface="Palatino Linotype" panose="02040502050505030304" pitchFamily="18" charset="0"/>
              <a:ea typeface="+mn-ea"/>
              <a:cs typeface="+mn-cs"/>
            </a:rPr>
            <a:t>`exposure' is expressed in only 2 decimal digits.</a:t>
          </a:r>
        </a:p>
        <a:p>
          <a:pPr algn="l"/>
          <a:r>
            <a:rPr lang="en-US" sz="1400" b="0" baseline="0">
              <a:solidFill>
                <a:schemeClr val="dk1"/>
              </a:solidFill>
              <a:effectLst/>
              <a:latin typeface="Palatino Linotype" panose="02040502050505030304" pitchFamily="18" charset="0"/>
              <a:ea typeface="+mn-ea"/>
              <a:cs typeface="+mn-cs"/>
            </a:rPr>
            <a:t>4. Rewrote `Severity,' `Average Severity,' and 'Claim Amount' as dollar amounts.</a:t>
          </a:r>
        </a:p>
        <a:p>
          <a:pPr algn="l"/>
          <a:r>
            <a:rPr lang="en-US" sz="1400" b="0" baseline="0">
              <a:solidFill>
                <a:schemeClr val="dk1"/>
              </a:solidFill>
              <a:effectLst/>
              <a:latin typeface="Palatino Linotype" panose="02040502050505030304" pitchFamily="18" charset="0"/>
              <a:ea typeface="+mn-ea"/>
              <a:cs typeface="+mn-cs"/>
            </a:rPr>
            <a:t>5. Made 'Age,' 'Claim Count,' and 'Vehicle Age' numerical quantities.</a:t>
          </a:r>
        </a:p>
        <a:p>
          <a:pPr algn="l"/>
          <a:r>
            <a:rPr lang="en-US" sz="1400" b="0" baseline="0">
              <a:solidFill>
                <a:schemeClr val="dk1"/>
              </a:solidFill>
              <a:effectLst/>
              <a:latin typeface="Palatino Linotype" panose="02040502050505030304" pitchFamily="18" charset="0"/>
              <a:ea typeface="+mn-ea"/>
              <a:cs typeface="+mn-cs"/>
            </a:rPr>
            <a:t>6. Verified that the 'Territory' column is expressed as text using the ISTEXT() function.</a:t>
          </a:r>
        </a:p>
        <a:p>
          <a:pPr algn="l"/>
          <a:r>
            <a:rPr lang="en-US" sz="1400" b="0" baseline="0">
              <a:solidFill>
                <a:schemeClr val="dk1"/>
              </a:solidFill>
              <a:effectLst/>
              <a:latin typeface="Palatino Linotype" panose="02040502050505030304" pitchFamily="18" charset="0"/>
              <a:ea typeface="+mn-ea"/>
              <a:cs typeface="+mn-cs"/>
            </a:rPr>
            <a:t>7. Added bins for `Age' and 'Vehicle Age' to allow for more variability in the Severity Dashboard.</a:t>
          </a:r>
        </a:p>
        <a:p>
          <a:pPr algn="l"/>
          <a:endParaRPr lang="en-US" sz="1400" b="0" baseline="0">
            <a:solidFill>
              <a:schemeClr val="dk1"/>
            </a:solidFill>
            <a:effectLst/>
            <a:latin typeface="Palatino Linotype" panose="02040502050505030304" pitchFamily="18" charset="0"/>
            <a:ea typeface="+mn-ea"/>
            <a:cs typeface="+mn-cs"/>
          </a:endParaRPr>
        </a:p>
        <a:p>
          <a:pPr algn="l"/>
          <a:r>
            <a:rPr lang="en-US" sz="1400" b="0" baseline="0">
              <a:solidFill>
                <a:schemeClr val="dk1"/>
              </a:solidFill>
              <a:effectLst/>
              <a:latin typeface="Palatino Linotype" panose="02040502050505030304" pitchFamily="18" charset="0"/>
              <a:ea typeface="+mn-ea"/>
              <a:cs typeface="+mn-cs"/>
            </a:rPr>
            <a:t>We will be working with the transformed data for the entire spreadsheet.</a:t>
          </a:r>
        </a:p>
        <a:p>
          <a:pPr algn="l"/>
          <a:endParaRPr lang="en-US" sz="1400" b="0" baseline="0">
            <a:solidFill>
              <a:schemeClr val="dk1"/>
            </a:solidFill>
            <a:effectLst/>
            <a:latin typeface="Palatino Linotype" panose="02040502050505030304" pitchFamily="18" charset="0"/>
            <a:ea typeface="+mn-ea"/>
            <a:cs typeface="+mn-cs"/>
          </a:endParaRPr>
        </a:p>
        <a:p>
          <a:pPr algn="l"/>
          <a:r>
            <a:rPr lang="en-US" sz="1400" b="0" baseline="0">
              <a:solidFill>
                <a:schemeClr val="dk1"/>
              </a:solidFill>
              <a:effectLst/>
              <a:latin typeface="Palatino Linotype" panose="02040502050505030304" pitchFamily="18" charset="0"/>
              <a:ea typeface="+mn-ea"/>
              <a:cs typeface="+mn-cs"/>
            </a:rPr>
            <a:t>We are only interested in policyholders with claims.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7</xdr:row>
      <xdr:rowOff>57150</xdr:rowOff>
    </xdr:from>
    <xdr:to>
      <xdr:col>6</xdr:col>
      <xdr:colOff>190500</xdr:colOff>
      <xdr:row>22</xdr:row>
      <xdr:rowOff>152400</xdr:rowOff>
    </xdr:to>
    <xdr:graphicFrame macro="">
      <xdr:nvGraphicFramePr>
        <xdr:cNvPr id="3" name="Chart 2">
          <a:extLst>
            <a:ext uri="{FF2B5EF4-FFF2-40B4-BE49-F238E27FC236}">
              <a16:creationId xmlns:a16="http://schemas.microsoft.com/office/drawing/2014/main" id="{3C5B9F27-7537-431F-B9E8-39878DB12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7</xdr:row>
      <xdr:rowOff>57150</xdr:rowOff>
    </xdr:from>
    <xdr:to>
      <xdr:col>12</xdr:col>
      <xdr:colOff>133350</xdr:colOff>
      <xdr:row>22</xdr:row>
      <xdr:rowOff>133350</xdr:rowOff>
    </xdr:to>
    <xdr:graphicFrame macro="">
      <xdr:nvGraphicFramePr>
        <xdr:cNvPr id="2" name="Chart 1">
          <a:extLst>
            <a:ext uri="{FF2B5EF4-FFF2-40B4-BE49-F238E27FC236}">
              <a16:creationId xmlns:a16="http://schemas.microsoft.com/office/drawing/2014/main" id="{E5131BB2-25F6-4701-A44D-DA06F7D65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2</xdr:row>
      <xdr:rowOff>38100</xdr:rowOff>
    </xdr:from>
    <xdr:to>
      <xdr:col>5</xdr:col>
      <xdr:colOff>28575</xdr:colOff>
      <xdr:row>7</xdr:row>
      <xdr:rowOff>19050</xdr:rowOff>
    </xdr:to>
    <xdr:sp macro="" textlink="">
      <xdr:nvSpPr>
        <xdr:cNvPr id="5" name="Rectangle: Rounded Corners 4">
          <a:extLst>
            <a:ext uri="{FF2B5EF4-FFF2-40B4-BE49-F238E27FC236}">
              <a16:creationId xmlns:a16="http://schemas.microsoft.com/office/drawing/2014/main" id="{64CD74DA-899A-EB7A-5B87-55CA4049C23D}"/>
            </a:ext>
          </a:extLst>
        </xdr:cNvPr>
        <xdr:cNvSpPr/>
      </xdr:nvSpPr>
      <xdr:spPr>
        <a:xfrm>
          <a:off x="47625" y="361950"/>
          <a:ext cx="3048000" cy="8858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1,661</a:t>
          </a: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a:solidFill>
                <a:sysClr val="windowText" lastClr="000000"/>
              </a:solidFill>
              <a:latin typeface="Gadugi" panose="020B0502040204020203" pitchFamily="34" charset="0"/>
              <a:ea typeface="Gadugi" panose="020B0502040204020203" pitchFamily="34" charset="0"/>
            </a:rPr>
            <a:t>#</a:t>
          </a:r>
          <a:r>
            <a:rPr lang="en-US" sz="1200" b="0" baseline="0">
              <a:solidFill>
                <a:sysClr val="windowText" lastClr="000000"/>
              </a:solidFill>
              <a:latin typeface="Gadugi" panose="020B0502040204020203" pitchFamily="34" charset="0"/>
              <a:ea typeface="Gadugi" panose="020B0502040204020203" pitchFamily="34" charset="0"/>
            </a:rPr>
            <a:t> of Policyholders with claims</a:t>
          </a:r>
          <a:endParaRPr lang="en-US" sz="1200" b="0">
            <a:solidFill>
              <a:sysClr val="windowText" lastClr="000000"/>
            </a:solidFill>
            <a:latin typeface="Gadugi" panose="020B0502040204020203" pitchFamily="34" charset="0"/>
            <a:ea typeface="Gadugi" panose="020B0502040204020203" pitchFamily="34" charset="0"/>
          </a:endParaRPr>
        </a:p>
        <a:p>
          <a:pPr algn="ctr"/>
          <a:endParaRPr lang="en-US" sz="1800" b="1">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5</xdr:col>
      <xdr:colOff>57149</xdr:colOff>
      <xdr:row>2</xdr:row>
      <xdr:rowOff>47625</xdr:rowOff>
    </xdr:from>
    <xdr:to>
      <xdr:col>9</xdr:col>
      <xdr:colOff>438150</xdr:colOff>
      <xdr:row>7</xdr:row>
      <xdr:rowOff>28575</xdr:rowOff>
    </xdr:to>
    <xdr:sp macro="" textlink="">
      <xdr:nvSpPr>
        <xdr:cNvPr id="6" name="Rectangle: Rounded Corners 5">
          <a:extLst>
            <a:ext uri="{FF2B5EF4-FFF2-40B4-BE49-F238E27FC236}">
              <a16:creationId xmlns:a16="http://schemas.microsoft.com/office/drawing/2014/main" id="{9AF7577D-F1E0-401E-BBB6-131C8BB1C060}"/>
            </a:ext>
          </a:extLst>
        </xdr:cNvPr>
        <xdr:cNvSpPr/>
      </xdr:nvSpPr>
      <xdr:spPr>
        <a:xfrm>
          <a:off x="3124199" y="371475"/>
          <a:ext cx="3124201" cy="8858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$2.0</a:t>
          </a:r>
          <a:r>
            <a:rPr lang="en-US" sz="1800" b="1" baseline="0">
              <a:solidFill>
                <a:sysClr val="windowText" lastClr="000000"/>
              </a:solidFill>
              <a:latin typeface="Gadugi" panose="020B0502040204020203" pitchFamily="34" charset="0"/>
              <a:ea typeface="Gadugi" panose="020B0502040204020203" pitchFamily="34" charset="0"/>
            </a:rPr>
            <a:t>M</a:t>
          </a:r>
          <a:endParaRPr lang="en-US" sz="1800" b="1">
            <a:solidFill>
              <a:sysClr val="windowText" lastClr="000000"/>
            </a:solidFill>
            <a:latin typeface="Gadugi" panose="020B0502040204020203" pitchFamily="34" charset="0"/>
            <a:ea typeface="Gadugi" panose="020B0502040204020203" pitchFamily="34" charset="0"/>
          </a:endParaRP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baseline="0">
              <a:solidFill>
                <a:sysClr val="windowText" lastClr="000000"/>
              </a:solidFill>
              <a:latin typeface="Gadugi" panose="020B0502040204020203" pitchFamily="34" charset="0"/>
              <a:ea typeface="Gadugi" panose="020B0502040204020203" pitchFamily="34" charset="0"/>
            </a:rPr>
            <a:t>Total Claim Amount ($)</a:t>
          </a:r>
          <a:endParaRPr lang="en-US" sz="1200" b="0">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9</xdr:col>
      <xdr:colOff>466725</xdr:colOff>
      <xdr:row>2</xdr:row>
      <xdr:rowOff>47625</xdr:rowOff>
    </xdr:from>
    <xdr:to>
      <xdr:col>14</xdr:col>
      <xdr:colOff>266699</xdr:colOff>
      <xdr:row>7</xdr:row>
      <xdr:rowOff>47625</xdr:rowOff>
    </xdr:to>
    <xdr:sp macro="" textlink="">
      <xdr:nvSpPr>
        <xdr:cNvPr id="7" name="Rectangle: Rounded Corners 6">
          <a:extLst>
            <a:ext uri="{FF2B5EF4-FFF2-40B4-BE49-F238E27FC236}">
              <a16:creationId xmlns:a16="http://schemas.microsoft.com/office/drawing/2014/main" id="{9CFA1FFD-859E-420F-882C-D0D2B690AC9F}"/>
            </a:ext>
          </a:extLst>
        </xdr:cNvPr>
        <xdr:cNvSpPr/>
      </xdr:nvSpPr>
      <xdr:spPr>
        <a:xfrm>
          <a:off x="6276975" y="371475"/>
          <a:ext cx="3228974" cy="90487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$1.2K</a:t>
          </a: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baseline="0">
              <a:solidFill>
                <a:sysClr val="windowText" lastClr="000000"/>
              </a:solidFill>
              <a:latin typeface="Gadugi" panose="020B0502040204020203" pitchFamily="34" charset="0"/>
              <a:ea typeface="Gadugi" panose="020B0502040204020203" pitchFamily="34" charset="0"/>
            </a:rPr>
            <a:t>Avg. Claim Amount ($)</a:t>
          </a:r>
          <a:endParaRPr lang="en-US" sz="1200" b="0">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14</xdr:col>
      <xdr:colOff>304800</xdr:colOff>
      <xdr:row>2</xdr:row>
      <xdr:rowOff>47626</xdr:rowOff>
    </xdr:from>
    <xdr:to>
      <xdr:col>19</xdr:col>
      <xdr:colOff>28575</xdr:colOff>
      <xdr:row>7</xdr:row>
      <xdr:rowOff>57151</xdr:rowOff>
    </xdr:to>
    <xdr:sp macro="" textlink="">
      <xdr:nvSpPr>
        <xdr:cNvPr id="8" name="Rectangle: Rounded Corners 7">
          <a:extLst>
            <a:ext uri="{FF2B5EF4-FFF2-40B4-BE49-F238E27FC236}">
              <a16:creationId xmlns:a16="http://schemas.microsoft.com/office/drawing/2014/main" id="{61E9CEB7-AEDC-4A02-85AE-0EE7C5A2B643}"/>
            </a:ext>
          </a:extLst>
        </xdr:cNvPr>
        <xdr:cNvSpPr/>
      </xdr:nvSpPr>
      <xdr:spPr>
        <a:xfrm>
          <a:off x="9544050" y="371476"/>
          <a:ext cx="3048000" cy="9144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$13.0K</a:t>
          </a: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baseline="0">
              <a:solidFill>
                <a:sysClr val="windowText" lastClr="000000"/>
              </a:solidFill>
              <a:latin typeface="Gadugi" panose="020B0502040204020203" pitchFamily="34" charset="0"/>
              <a:ea typeface="Gadugi" panose="020B0502040204020203" pitchFamily="34" charset="0"/>
            </a:rPr>
            <a:t>Max. Claim Amount ($)</a:t>
          </a:r>
          <a:endParaRPr lang="en-US" sz="1200" b="0">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12</xdr:col>
      <xdr:colOff>161926</xdr:colOff>
      <xdr:row>7</xdr:row>
      <xdr:rowOff>66674</xdr:rowOff>
    </xdr:from>
    <xdr:to>
      <xdr:col>18</xdr:col>
      <xdr:colOff>666751</xdr:colOff>
      <xdr:row>22</xdr:row>
      <xdr:rowOff>123824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220C431-406F-44DD-ABE0-331F70653E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029576" y="1295399"/>
              <a:ext cx="4514850" cy="2771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19050</xdr:colOff>
      <xdr:row>22</xdr:row>
      <xdr:rowOff>180973</xdr:rowOff>
    </xdr:from>
    <xdr:to>
      <xdr:col>9</xdr:col>
      <xdr:colOff>561975</xdr:colOff>
      <xdr:row>47</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2471935-5816-46E1-B1C2-10C26F64C9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150" y="4124323"/>
              <a:ext cx="6315075" cy="44862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590549</xdr:colOff>
      <xdr:row>23</xdr:row>
      <xdr:rowOff>0</xdr:rowOff>
    </xdr:from>
    <xdr:to>
      <xdr:col>18</xdr:col>
      <xdr:colOff>657225</xdr:colOff>
      <xdr:row>35</xdr:row>
      <xdr:rowOff>28575</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63DED94-9D1C-446E-9F71-3C302A7E5A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400799" y="4124325"/>
              <a:ext cx="6134101" cy="2200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590550</xdr:colOff>
      <xdr:row>35</xdr:row>
      <xdr:rowOff>57149</xdr:rowOff>
    </xdr:from>
    <xdr:to>
      <xdr:col>18</xdr:col>
      <xdr:colOff>676275</xdr:colOff>
      <xdr:row>47</xdr:row>
      <xdr:rowOff>161924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E0CD99B-C4CF-4AEB-8129-6DBB6AF0A3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00800" y="6353174"/>
              <a:ext cx="6153150" cy="2276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647700</xdr:colOff>
      <xdr:row>36</xdr:row>
      <xdr:rowOff>95250</xdr:rowOff>
    </xdr:from>
    <xdr:to>
      <xdr:col>16</xdr:col>
      <xdr:colOff>47625</xdr:colOff>
      <xdr:row>51</xdr:row>
      <xdr:rowOff>66676</xdr:rowOff>
    </xdr:to>
    <xdr:sp macro="" textlink="">
      <xdr:nvSpPr>
        <xdr:cNvPr id="31" name="Rectangle 30">
          <a:extLst>
            <a:ext uri="{FF2B5EF4-FFF2-40B4-BE49-F238E27FC236}">
              <a16:creationId xmlns:a16="http://schemas.microsoft.com/office/drawing/2014/main" id="{B33CF5B5-1841-48A9-8477-11A053C997DF}"/>
            </a:ext>
          </a:extLst>
        </xdr:cNvPr>
        <xdr:cNvSpPr/>
      </xdr:nvSpPr>
      <xdr:spPr>
        <a:xfrm>
          <a:off x="6819900" y="7067550"/>
          <a:ext cx="4829175" cy="2686051"/>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76200</xdr:colOff>
      <xdr:row>24</xdr:row>
      <xdr:rowOff>0</xdr:rowOff>
    </xdr:from>
    <xdr:to>
      <xdr:col>22</xdr:col>
      <xdr:colOff>409575</xdr:colOff>
      <xdr:row>36</xdr:row>
      <xdr:rowOff>9525</xdr:rowOff>
    </xdr:to>
    <xdr:sp macro="" textlink="">
      <xdr:nvSpPr>
        <xdr:cNvPr id="22" name="Rectangle 21">
          <a:extLst>
            <a:ext uri="{FF2B5EF4-FFF2-40B4-BE49-F238E27FC236}">
              <a16:creationId xmlns:a16="http://schemas.microsoft.com/office/drawing/2014/main" id="{F62A90AF-25A4-48B7-9B4C-EAEBAFA75106}"/>
            </a:ext>
          </a:extLst>
        </xdr:cNvPr>
        <xdr:cNvSpPr/>
      </xdr:nvSpPr>
      <xdr:spPr>
        <a:xfrm>
          <a:off x="11677650" y="4343400"/>
          <a:ext cx="4448175" cy="2638425"/>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942975</xdr:colOff>
      <xdr:row>8</xdr:row>
      <xdr:rowOff>142875</xdr:rowOff>
    </xdr:from>
    <xdr:to>
      <xdr:col>22</xdr:col>
      <xdr:colOff>390525</xdr:colOff>
      <xdr:row>23</xdr:row>
      <xdr:rowOff>114300</xdr:rowOff>
    </xdr:to>
    <xdr:sp macro="" textlink="">
      <xdr:nvSpPr>
        <xdr:cNvPr id="16" name="Rectangle 15">
          <a:extLst>
            <a:ext uri="{FF2B5EF4-FFF2-40B4-BE49-F238E27FC236}">
              <a16:creationId xmlns:a16="http://schemas.microsoft.com/office/drawing/2014/main" id="{342521C8-5DCA-49E4-BB7E-404A0BD0BD79}"/>
            </a:ext>
          </a:extLst>
        </xdr:cNvPr>
        <xdr:cNvSpPr/>
      </xdr:nvSpPr>
      <xdr:spPr>
        <a:xfrm>
          <a:off x="10248900" y="1590675"/>
          <a:ext cx="5857875" cy="2686050"/>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571501</xdr:colOff>
      <xdr:row>8</xdr:row>
      <xdr:rowOff>142875</xdr:rowOff>
    </xdr:from>
    <xdr:to>
      <xdr:col>13</xdr:col>
      <xdr:colOff>904875</xdr:colOff>
      <xdr:row>23</xdr:row>
      <xdr:rowOff>114300</xdr:rowOff>
    </xdr:to>
    <xdr:sp macro="" textlink="">
      <xdr:nvSpPr>
        <xdr:cNvPr id="13" name="Rectangle 12">
          <a:extLst>
            <a:ext uri="{FF2B5EF4-FFF2-40B4-BE49-F238E27FC236}">
              <a16:creationId xmlns:a16="http://schemas.microsoft.com/office/drawing/2014/main" id="{3ACF4615-F920-75EF-B5B6-DF1423409971}"/>
            </a:ext>
          </a:extLst>
        </xdr:cNvPr>
        <xdr:cNvSpPr/>
      </xdr:nvSpPr>
      <xdr:spPr>
        <a:xfrm>
          <a:off x="3314701" y="1590675"/>
          <a:ext cx="6896099" cy="2686050"/>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57150</xdr:rowOff>
    </xdr:from>
    <xdr:to>
      <xdr:col>22</xdr:col>
      <xdr:colOff>428625</xdr:colOff>
      <xdr:row>3</xdr:row>
      <xdr:rowOff>66675</xdr:rowOff>
    </xdr:to>
    <xdr:sp macro="" textlink="">
      <xdr:nvSpPr>
        <xdr:cNvPr id="3" name="Rectangle 2">
          <a:extLst>
            <a:ext uri="{FF2B5EF4-FFF2-40B4-BE49-F238E27FC236}">
              <a16:creationId xmlns:a16="http://schemas.microsoft.com/office/drawing/2014/main" id="{06BA4D75-1CF6-E646-4208-41805791E785}"/>
            </a:ext>
          </a:extLst>
        </xdr:cNvPr>
        <xdr:cNvSpPr/>
      </xdr:nvSpPr>
      <xdr:spPr>
        <a:xfrm>
          <a:off x="95250" y="57150"/>
          <a:ext cx="16049625" cy="552450"/>
        </a:xfrm>
        <a:prstGeom prst="rect">
          <a:avLst/>
        </a:prstGeom>
        <a:solidFill>
          <a:srgbClr val="000E2A"/>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lang="en-US" sz="1600" b="1">
              <a:latin typeface="Roboto" panose="02000000000000000000" pitchFamily="2" charset="0"/>
              <a:ea typeface="Roboto" panose="02000000000000000000" pitchFamily="2" charset="0"/>
            </a:rPr>
            <a:t>	</a:t>
          </a:r>
          <a:r>
            <a:rPr lang="en-US" sz="1600" b="1" baseline="0">
              <a:solidFill>
                <a:srgbClr val="92D050"/>
              </a:solidFill>
              <a:latin typeface="Roboto" panose="02000000000000000000" pitchFamily="2" charset="0"/>
              <a:ea typeface="Roboto" panose="02000000000000000000" pitchFamily="2" charset="0"/>
            </a:rPr>
            <a:t>                                                                   </a:t>
          </a:r>
          <a:r>
            <a:rPr lang="en-US" sz="2400" b="1" u="none" baseline="0">
              <a:solidFill>
                <a:srgbClr val="92D050"/>
              </a:solidFill>
              <a:latin typeface="Calisto MT" panose="02040603050505030304" pitchFamily="18" charset="0"/>
              <a:ea typeface="Roboto" panose="02000000000000000000" pitchFamily="2" charset="0"/>
            </a:rPr>
            <a:t>S E V </a:t>
          </a:r>
          <a:r>
            <a:rPr lang="en-US" sz="2400" b="1" baseline="0">
              <a:solidFill>
                <a:srgbClr val="92D050"/>
              </a:solidFill>
              <a:latin typeface="Calisto MT" panose="02040603050505030304" pitchFamily="18" charset="0"/>
              <a:ea typeface="Roboto" panose="02000000000000000000" pitchFamily="2" charset="0"/>
            </a:rPr>
            <a:t>E R I T Y   A N D   C L A I M S   D A S H B O A R D </a:t>
          </a:r>
          <a:endParaRPr lang="en-US" sz="1600" b="1">
            <a:solidFill>
              <a:srgbClr val="92D050"/>
            </a:solidFill>
            <a:latin typeface="Calisto MT" panose="02040603050505030304" pitchFamily="18" charset="0"/>
            <a:ea typeface="Roboto" panose="02000000000000000000" pitchFamily="2" charset="0"/>
          </a:endParaRPr>
        </a:p>
      </xdr:txBody>
    </xdr:sp>
    <xdr:clientData/>
  </xdr:twoCellAnchor>
  <xdr:twoCellAnchor>
    <xdr:from>
      <xdr:col>6</xdr:col>
      <xdr:colOff>333375</xdr:colOff>
      <xdr:row>2</xdr:row>
      <xdr:rowOff>95250</xdr:rowOff>
    </xdr:from>
    <xdr:to>
      <xdr:col>17</xdr:col>
      <xdr:colOff>114301</xdr:colOff>
      <xdr:row>2</xdr:row>
      <xdr:rowOff>142875</xdr:rowOff>
    </xdr:to>
    <xdr:sp macro="" textlink="">
      <xdr:nvSpPr>
        <xdr:cNvPr id="4" name="Rectangle 3">
          <a:extLst>
            <a:ext uri="{FF2B5EF4-FFF2-40B4-BE49-F238E27FC236}">
              <a16:creationId xmlns:a16="http://schemas.microsoft.com/office/drawing/2014/main" id="{0631A43E-81BB-0BF7-960D-7B0FEAC20150}"/>
            </a:ext>
          </a:extLst>
        </xdr:cNvPr>
        <xdr:cNvSpPr/>
      </xdr:nvSpPr>
      <xdr:spPr>
        <a:xfrm>
          <a:off x="4448175" y="457200"/>
          <a:ext cx="7953376" cy="47625"/>
        </a:xfrm>
        <a:prstGeom prst="rect">
          <a:avLst/>
        </a:prstGeom>
        <a:solidFill>
          <a:srgbClr val="92D05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rgbClr val="92D050"/>
            </a:solidFill>
          </a:endParaRPr>
        </a:p>
      </xdr:txBody>
    </xdr:sp>
    <xdr:clientData/>
  </xdr:twoCellAnchor>
  <xdr:twoCellAnchor>
    <xdr:from>
      <xdr:col>0</xdr:col>
      <xdr:colOff>85725</xdr:colOff>
      <xdr:row>3</xdr:row>
      <xdr:rowOff>95251</xdr:rowOff>
    </xdr:from>
    <xdr:to>
      <xdr:col>2</xdr:col>
      <xdr:colOff>504825</xdr:colOff>
      <xdr:row>33</xdr:row>
      <xdr:rowOff>19051</xdr:rowOff>
    </xdr:to>
    <xdr:sp macro="" textlink="">
      <xdr:nvSpPr>
        <xdr:cNvPr id="5" name="Rectangle: Rounded Corners 4">
          <a:extLst>
            <a:ext uri="{FF2B5EF4-FFF2-40B4-BE49-F238E27FC236}">
              <a16:creationId xmlns:a16="http://schemas.microsoft.com/office/drawing/2014/main" id="{767E5BBD-EF5A-6358-3354-31A01364CBC1}"/>
            </a:ext>
          </a:extLst>
        </xdr:cNvPr>
        <xdr:cNvSpPr/>
      </xdr:nvSpPr>
      <xdr:spPr>
        <a:xfrm>
          <a:off x="85725" y="638176"/>
          <a:ext cx="1790700" cy="5810250"/>
        </a:xfrm>
        <a:prstGeom prst="roundRect">
          <a:avLst/>
        </a:prstGeom>
        <a:solidFill>
          <a:srgbClr val="296D8B"/>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228600</xdr:colOff>
      <xdr:row>6</xdr:row>
      <xdr:rowOff>28575</xdr:rowOff>
    </xdr:from>
    <xdr:to>
      <xdr:col>2</xdr:col>
      <xdr:colOff>276225</xdr:colOff>
      <xdr:row>11</xdr:row>
      <xdr:rowOff>66674</xdr:rowOff>
    </xdr:to>
    <mc:AlternateContent xmlns:mc="http://schemas.openxmlformats.org/markup-compatibility/2006" xmlns:a14="http://schemas.microsoft.com/office/drawing/2010/main">
      <mc:Choice Requires="a14">
        <xdr:graphicFrame macro="">
          <xdr:nvGraphicFramePr>
            <xdr:cNvPr id="6" name="Territory 1">
              <a:extLst>
                <a:ext uri="{FF2B5EF4-FFF2-40B4-BE49-F238E27FC236}">
                  <a16:creationId xmlns:a16="http://schemas.microsoft.com/office/drawing/2014/main" id="{F3CF524E-1AE7-45E3-AE54-EF0218954B20}"/>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228600" y="1114425"/>
              <a:ext cx="1419225"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11</xdr:row>
      <xdr:rowOff>47624</xdr:rowOff>
    </xdr:from>
    <xdr:to>
      <xdr:col>2</xdr:col>
      <xdr:colOff>342900</xdr:colOff>
      <xdr:row>19</xdr:row>
      <xdr:rowOff>142875</xdr:rowOff>
    </xdr:to>
    <mc:AlternateContent xmlns:mc="http://schemas.openxmlformats.org/markup-compatibility/2006" xmlns:a14="http://schemas.microsoft.com/office/drawing/2010/main">
      <mc:Choice Requires="a14">
        <xdr:graphicFrame macro="">
          <xdr:nvGraphicFramePr>
            <xdr:cNvPr id="7" name="Age Groups 1">
              <a:extLst>
                <a:ext uri="{FF2B5EF4-FFF2-40B4-BE49-F238E27FC236}">
                  <a16:creationId xmlns:a16="http://schemas.microsoft.com/office/drawing/2014/main" id="{58D48D1E-A721-473A-9EF5-7B57729C6223}"/>
                </a:ext>
              </a:extLst>
            </xdr:cNvPr>
            <xdr:cNvGraphicFramePr/>
          </xdr:nvGraphicFramePr>
          <xdr:xfrm>
            <a:off x="0" y="0"/>
            <a:ext cx="0" cy="0"/>
          </xdr:xfrm>
          <a:graphic>
            <a:graphicData uri="http://schemas.microsoft.com/office/drawing/2010/slicer">
              <sle:slicer xmlns:sle="http://schemas.microsoft.com/office/drawing/2010/slicer" name="Age Groups 1"/>
            </a:graphicData>
          </a:graphic>
        </xdr:graphicFrame>
      </mc:Choice>
      <mc:Fallback xmlns="">
        <xdr:sp macro="" textlink="">
          <xdr:nvSpPr>
            <xdr:cNvPr id="0" name=""/>
            <xdr:cNvSpPr>
              <a:spLocks noTextEdit="1"/>
            </xdr:cNvSpPr>
          </xdr:nvSpPr>
          <xdr:spPr>
            <a:xfrm>
              <a:off x="228600" y="2038349"/>
              <a:ext cx="1485900" cy="1543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19</xdr:row>
      <xdr:rowOff>104776</xdr:rowOff>
    </xdr:from>
    <xdr:to>
      <xdr:col>2</xdr:col>
      <xdr:colOff>333375</xdr:colOff>
      <xdr:row>25</xdr:row>
      <xdr:rowOff>171450</xdr:rowOff>
    </xdr:to>
    <mc:AlternateContent xmlns:mc="http://schemas.openxmlformats.org/markup-compatibility/2006" xmlns:a14="http://schemas.microsoft.com/office/drawing/2010/main">
      <mc:Choice Requires="a14">
        <xdr:graphicFrame macro="">
          <xdr:nvGraphicFramePr>
            <xdr:cNvPr id="2" name="Vehicle Age Groups 1">
              <a:extLst>
                <a:ext uri="{FF2B5EF4-FFF2-40B4-BE49-F238E27FC236}">
                  <a16:creationId xmlns:a16="http://schemas.microsoft.com/office/drawing/2014/main" id="{20AD0240-DDC8-4DB8-9028-62610EC9DB7C}"/>
                </a:ext>
              </a:extLst>
            </xdr:cNvPr>
            <xdr:cNvGraphicFramePr/>
          </xdr:nvGraphicFramePr>
          <xdr:xfrm>
            <a:off x="0" y="0"/>
            <a:ext cx="0" cy="0"/>
          </xdr:xfrm>
          <a:graphic>
            <a:graphicData uri="http://schemas.microsoft.com/office/drawing/2010/slicer">
              <sle:slicer xmlns:sle="http://schemas.microsoft.com/office/drawing/2010/slicer" name="Vehicle Age Groups 1"/>
            </a:graphicData>
          </a:graphic>
        </xdr:graphicFrame>
      </mc:Choice>
      <mc:Fallback xmlns="">
        <xdr:sp macro="" textlink="">
          <xdr:nvSpPr>
            <xdr:cNvPr id="0" name=""/>
            <xdr:cNvSpPr>
              <a:spLocks noTextEdit="1"/>
            </xdr:cNvSpPr>
          </xdr:nvSpPr>
          <xdr:spPr>
            <a:xfrm>
              <a:off x="219075" y="3543301"/>
              <a:ext cx="148590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552450</xdr:colOff>
      <xdr:row>3</xdr:row>
      <xdr:rowOff>114300</xdr:rowOff>
    </xdr:from>
    <xdr:to>
      <xdr:col>7</xdr:col>
      <xdr:colOff>457200</xdr:colOff>
      <xdr:row>8</xdr:row>
      <xdr:rowOff>95250</xdr:rowOff>
    </xdr:to>
    <xdr:sp macro="" textlink="">
      <xdr:nvSpPr>
        <xdr:cNvPr id="8" name="Rectangle: Rounded Corners 7">
          <a:extLst>
            <a:ext uri="{FF2B5EF4-FFF2-40B4-BE49-F238E27FC236}">
              <a16:creationId xmlns:a16="http://schemas.microsoft.com/office/drawing/2014/main" id="{99D19B06-99BE-4AC7-9F12-C520F1401BDE}"/>
            </a:ext>
          </a:extLst>
        </xdr:cNvPr>
        <xdr:cNvSpPr/>
      </xdr:nvSpPr>
      <xdr:spPr>
        <a:xfrm>
          <a:off x="1924050" y="657225"/>
          <a:ext cx="3333750" cy="885825"/>
        </a:xfrm>
        <a:prstGeom prst="roundRect">
          <a:avLst/>
        </a:prstGeom>
        <a:gradFill flip="none" rotWithShape="1">
          <a:gsLst>
            <a:gs pos="0">
              <a:srgbClr val="296D8B">
                <a:tint val="66000"/>
                <a:satMod val="160000"/>
              </a:srgbClr>
            </a:gs>
            <a:gs pos="50000">
              <a:srgbClr val="296D8B">
                <a:tint val="44500"/>
                <a:satMod val="160000"/>
              </a:srgbClr>
            </a:gs>
            <a:gs pos="100000">
              <a:srgbClr val="296D8B">
                <a:tint val="23500"/>
                <a:satMod val="160000"/>
              </a:srgbClr>
            </a:gs>
          </a:gsLst>
          <a:path path="circle">
            <a:fillToRect r="100000" b="100000"/>
          </a:path>
          <a:tileRect l="-100000" t="-100000"/>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1,661</a:t>
          </a: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a:solidFill>
                <a:sysClr val="windowText" lastClr="000000"/>
              </a:solidFill>
              <a:latin typeface="Gadugi" panose="020B0502040204020203" pitchFamily="34" charset="0"/>
              <a:ea typeface="Gadugi" panose="020B0502040204020203" pitchFamily="34" charset="0"/>
            </a:rPr>
            <a:t>#</a:t>
          </a:r>
          <a:r>
            <a:rPr lang="en-US" sz="1200" b="0" baseline="0">
              <a:solidFill>
                <a:sysClr val="windowText" lastClr="000000"/>
              </a:solidFill>
              <a:latin typeface="Gadugi" panose="020B0502040204020203" pitchFamily="34" charset="0"/>
              <a:ea typeface="Gadugi" panose="020B0502040204020203" pitchFamily="34" charset="0"/>
            </a:rPr>
            <a:t> of Policyholders with claims</a:t>
          </a:r>
          <a:endParaRPr lang="en-US" sz="1200" b="0">
            <a:solidFill>
              <a:sysClr val="windowText" lastClr="000000"/>
            </a:solidFill>
            <a:latin typeface="Gadugi" panose="020B0502040204020203" pitchFamily="34" charset="0"/>
            <a:ea typeface="Gadugi" panose="020B0502040204020203" pitchFamily="34" charset="0"/>
          </a:endParaRPr>
        </a:p>
        <a:p>
          <a:pPr algn="ctr"/>
          <a:endParaRPr lang="en-US" sz="1800" b="1">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7</xdr:col>
      <xdr:colOff>485776</xdr:colOff>
      <xdr:row>3</xdr:row>
      <xdr:rowOff>123825</xdr:rowOff>
    </xdr:from>
    <xdr:to>
      <xdr:col>11</xdr:col>
      <xdr:colOff>561976</xdr:colOff>
      <xdr:row>8</xdr:row>
      <xdr:rowOff>104775</xdr:rowOff>
    </xdr:to>
    <xdr:sp macro="" textlink="">
      <xdr:nvSpPr>
        <xdr:cNvPr id="9" name="Rectangle: Rounded Corners 8">
          <a:extLst>
            <a:ext uri="{FF2B5EF4-FFF2-40B4-BE49-F238E27FC236}">
              <a16:creationId xmlns:a16="http://schemas.microsoft.com/office/drawing/2014/main" id="{75C8E097-2231-4BA4-8C1C-42DE5C35294C}"/>
            </a:ext>
          </a:extLst>
        </xdr:cNvPr>
        <xdr:cNvSpPr/>
      </xdr:nvSpPr>
      <xdr:spPr>
        <a:xfrm>
          <a:off x="5286376" y="666750"/>
          <a:ext cx="3600450" cy="885825"/>
        </a:xfrm>
        <a:prstGeom prst="roundRect">
          <a:avLst/>
        </a:prstGeom>
        <a:gradFill flip="none" rotWithShape="1">
          <a:gsLst>
            <a:gs pos="0">
              <a:srgbClr val="296D8B">
                <a:tint val="66000"/>
                <a:satMod val="160000"/>
              </a:srgbClr>
            </a:gs>
            <a:gs pos="50000">
              <a:srgbClr val="296D8B">
                <a:tint val="44500"/>
                <a:satMod val="160000"/>
              </a:srgbClr>
            </a:gs>
            <a:gs pos="100000">
              <a:srgbClr val="296D8B">
                <a:tint val="23500"/>
                <a:satMod val="160000"/>
              </a:srgbClr>
            </a:gs>
          </a:gsLst>
          <a:path path="circle">
            <a:fillToRect l="100000" t="100000"/>
          </a:path>
          <a:tileRect r="-100000" b="-100000"/>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$2.0</a:t>
          </a:r>
          <a:r>
            <a:rPr lang="en-US" sz="1800" b="1" baseline="0">
              <a:solidFill>
                <a:sysClr val="windowText" lastClr="000000"/>
              </a:solidFill>
              <a:latin typeface="Gadugi" panose="020B0502040204020203" pitchFamily="34" charset="0"/>
              <a:ea typeface="Gadugi" panose="020B0502040204020203" pitchFamily="34" charset="0"/>
            </a:rPr>
            <a:t>M</a:t>
          </a:r>
          <a:endParaRPr lang="en-US" sz="1800" b="1">
            <a:solidFill>
              <a:sysClr val="windowText" lastClr="000000"/>
            </a:solidFill>
            <a:latin typeface="Gadugi" panose="020B0502040204020203" pitchFamily="34" charset="0"/>
            <a:ea typeface="Gadugi" panose="020B0502040204020203" pitchFamily="34" charset="0"/>
          </a:endParaRP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baseline="0">
              <a:solidFill>
                <a:sysClr val="windowText" lastClr="000000"/>
              </a:solidFill>
              <a:latin typeface="Gadugi" panose="020B0502040204020203" pitchFamily="34" charset="0"/>
              <a:ea typeface="Gadugi" panose="020B0502040204020203" pitchFamily="34" charset="0"/>
            </a:rPr>
            <a:t>Total Claim Amount ($)</a:t>
          </a:r>
          <a:endParaRPr lang="en-US" sz="1200" b="0">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11</xdr:col>
      <xdr:colOff>590551</xdr:colOff>
      <xdr:row>3</xdr:row>
      <xdr:rowOff>114300</xdr:rowOff>
    </xdr:from>
    <xdr:to>
      <xdr:col>17</xdr:col>
      <xdr:colOff>495301</xdr:colOff>
      <xdr:row>8</xdr:row>
      <xdr:rowOff>114300</xdr:rowOff>
    </xdr:to>
    <xdr:sp macro="" textlink="">
      <xdr:nvSpPr>
        <xdr:cNvPr id="10" name="Rectangle: Rounded Corners 9">
          <a:extLst>
            <a:ext uri="{FF2B5EF4-FFF2-40B4-BE49-F238E27FC236}">
              <a16:creationId xmlns:a16="http://schemas.microsoft.com/office/drawing/2014/main" id="{59813F00-B610-4616-88BA-2A65BCC43332}"/>
            </a:ext>
          </a:extLst>
        </xdr:cNvPr>
        <xdr:cNvSpPr/>
      </xdr:nvSpPr>
      <xdr:spPr>
        <a:xfrm>
          <a:off x="8915401" y="657225"/>
          <a:ext cx="3867150" cy="904875"/>
        </a:xfrm>
        <a:prstGeom prst="roundRect">
          <a:avLst/>
        </a:prstGeom>
        <a:gradFill flip="none" rotWithShape="1">
          <a:gsLst>
            <a:gs pos="0">
              <a:srgbClr val="296D8B">
                <a:tint val="66000"/>
                <a:satMod val="160000"/>
              </a:srgbClr>
            </a:gs>
            <a:gs pos="50000">
              <a:srgbClr val="296D8B">
                <a:tint val="44500"/>
                <a:satMod val="160000"/>
              </a:srgbClr>
            </a:gs>
            <a:gs pos="100000">
              <a:srgbClr val="296D8B">
                <a:tint val="23500"/>
                <a:satMod val="160000"/>
              </a:srgbClr>
            </a:gs>
          </a:gsLst>
          <a:lin ang="10800000" scaled="1"/>
          <a:tileRect/>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$1.2K</a:t>
          </a: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baseline="0">
              <a:solidFill>
                <a:sysClr val="windowText" lastClr="000000"/>
              </a:solidFill>
              <a:latin typeface="Gadugi" panose="020B0502040204020203" pitchFamily="34" charset="0"/>
              <a:ea typeface="Gadugi" panose="020B0502040204020203" pitchFamily="34" charset="0"/>
            </a:rPr>
            <a:t>Avg. Claim Amount ($)</a:t>
          </a:r>
          <a:endParaRPr lang="en-US" sz="1200" b="0">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17</xdr:col>
      <xdr:colOff>523875</xdr:colOff>
      <xdr:row>3</xdr:row>
      <xdr:rowOff>104775</xdr:rowOff>
    </xdr:from>
    <xdr:to>
      <xdr:col>22</xdr:col>
      <xdr:colOff>438150</xdr:colOff>
      <xdr:row>8</xdr:row>
      <xdr:rowOff>114300</xdr:rowOff>
    </xdr:to>
    <xdr:sp macro="" textlink="">
      <xdr:nvSpPr>
        <xdr:cNvPr id="11" name="Rectangle: Rounded Corners 10">
          <a:extLst>
            <a:ext uri="{FF2B5EF4-FFF2-40B4-BE49-F238E27FC236}">
              <a16:creationId xmlns:a16="http://schemas.microsoft.com/office/drawing/2014/main" id="{A0470256-9D11-4415-8F75-536B00E9733E}"/>
            </a:ext>
          </a:extLst>
        </xdr:cNvPr>
        <xdr:cNvSpPr/>
      </xdr:nvSpPr>
      <xdr:spPr>
        <a:xfrm>
          <a:off x="12811125" y="647700"/>
          <a:ext cx="3343275" cy="914400"/>
        </a:xfrm>
        <a:prstGeom prst="roundRect">
          <a:avLst/>
        </a:prstGeom>
        <a:gradFill flip="none" rotWithShape="1">
          <a:gsLst>
            <a:gs pos="0">
              <a:srgbClr val="296D8B">
                <a:tint val="66000"/>
                <a:satMod val="160000"/>
              </a:srgbClr>
            </a:gs>
            <a:gs pos="50000">
              <a:srgbClr val="296D8B">
                <a:tint val="44500"/>
                <a:satMod val="160000"/>
              </a:srgbClr>
            </a:gs>
            <a:gs pos="100000">
              <a:srgbClr val="296D8B">
                <a:tint val="23500"/>
                <a:satMod val="160000"/>
              </a:srgbClr>
            </a:gs>
          </a:gsLst>
          <a:lin ang="0" scaled="1"/>
          <a:tileRect/>
        </a:gra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Gadugi" panose="020B0502040204020203" pitchFamily="34" charset="0"/>
              <a:ea typeface="Gadugi" panose="020B0502040204020203" pitchFamily="34" charset="0"/>
            </a:rPr>
            <a:t>$13.0K</a:t>
          </a:r>
        </a:p>
        <a:p>
          <a:pPr algn="ctr"/>
          <a:endParaRPr lang="en-US" sz="800" b="1">
            <a:solidFill>
              <a:sysClr val="windowText" lastClr="000000"/>
            </a:solidFill>
            <a:latin typeface="Gadugi" panose="020B0502040204020203" pitchFamily="34" charset="0"/>
            <a:ea typeface="Gadugi" panose="020B0502040204020203" pitchFamily="34" charset="0"/>
          </a:endParaRPr>
        </a:p>
        <a:p>
          <a:pPr algn="ctr"/>
          <a:r>
            <a:rPr lang="en-US" sz="1200" b="0" baseline="0">
              <a:solidFill>
                <a:sysClr val="windowText" lastClr="000000"/>
              </a:solidFill>
              <a:latin typeface="Gadugi" panose="020B0502040204020203" pitchFamily="34" charset="0"/>
              <a:ea typeface="Gadugi" panose="020B0502040204020203" pitchFamily="34" charset="0"/>
            </a:rPr>
            <a:t>Max. Claim Amount ($)</a:t>
          </a:r>
          <a:endParaRPr lang="en-US" sz="1200" b="0">
            <a:solidFill>
              <a:sysClr val="windowText" lastClr="000000"/>
            </a:solidFill>
            <a:latin typeface="Gadugi" panose="020B0502040204020203" pitchFamily="34" charset="0"/>
            <a:ea typeface="Gadugi" panose="020B0502040204020203" pitchFamily="34" charset="0"/>
          </a:endParaRPr>
        </a:p>
      </xdr:txBody>
    </xdr:sp>
    <xdr:clientData/>
  </xdr:twoCellAnchor>
  <xdr:twoCellAnchor>
    <xdr:from>
      <xdr:col>4</xdr:col>
      <xdr:colOff>600076</xdr:colOff>
      <xdr:row>8</xdr:row>
      <xdr:rowOff>161925</xdr:rowOff>
    </xdr:from>
    <xdr:to>
      <xdr:col>13</xdr:col>
      <xdr:colOff>866775</xdr:colOff>
      <xdr:row>23</xdr:row>
      <xdr:rowOff>76200</xdr:rowOff>
    </xdr:to>
    <xdr:graphicFrame macro="">
      <xdr:nvGraphicFramePr>
        <xdr:cNvPr id="12" name="Chart 11">
          <a:extLst>
            <a:ext uri="{FF2B5EF4-FFF2-40B4-BE49-F238E27FC236}">
              <a16:creationId xmlns:a16="http://schemas.microsoft.com/office/drawing/2014/main" id="{B40C2AD3-0B2B-4492-A2FF-DF11BB29B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962024</xdr:colOff>
      <xdr:row>8</xdr:row>
      <xdr:rowOff>161925</xdr:rowOff>
    </xdr:from>
    <xdr:to>
      <xdr:col>22</xdr:col>
      <xdr:colOff>352425</xdr:colOff>
      <xdr:row>23</xdr:row>
      <xdr:rowOff>76200</xdr:rowOff>
    </xdr:to>
    <xdr:graphicFrame macro="">
      <xdr:nvGraphicFramePr>
        <xdr:cNvPr id="15" name="VehAgeClaimAmt">
          <a:extLst>
            <a:ext uri="{FF2B5EF4-FFF2-40B4-BE49-F238E27FC236}">
              <a16:creationId xmlns:a16="http://schemas.microsoft.com/office/drawing/2014/main" id="{35C0C9B4-7420-4AAC-AD59-5D4704AA8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8</xdr:row>
      <xdr:rowOff>142875</xdr:rowOff>
    </xdr:from>
    <xdr:to>
      <xdr:col>4</xdr:col>
      <xdr:colOff>552450</xdr:colOff>
      <xdr:row>23</xdr:row>
      <xdr:rowOff>95250</xdr:rowOff>
    </xdr:to>
    <xdr:sp macro="" textlink="">
      <xdr:nvSpPr>
        <xdr:cNvPr id="17" name="TextBox 16">
          <a:extLst>
            <a:ext uri="{FF2B5EF4-FFF2-40B4-BE49-F238E27FC236}">
              <a16:creationId xmlns:a16="http://schemas.microsoft.com/office/drawing/2014/main" id="{81FF43E1-2C2C-CBEE-1906-8F5DEE0B6021}"/>
            </a:ext>
          </a:extLst>
        </xdr:cNvPr>
        <xdr:cNvSpPr txBox="1"/>
      </xdr:nvSpPr>
      <xdr:spPr>
        <a:xfrm>
          <a:off x="1943100" y="1590675"/>
          <a:ext cx="1352550" cy="26670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Mongolian Baiti" panose="03000500000000000000" pitchFamily="66" charset="0"/>
              <a:cs typeface="Mongolian Baiti" panose="03000500000000000000" pitchFamily="66" charset="0"/>
            </a:rPr>
            <a:t>C</a:t>
          </a:r>
          <a:r>
            <a:rPr lang="en-US" sz="1600" b="1" baseline="0">
              <a:latin typeface="Mongolian Baiti" panose="03000500000000000000" pitchFamily="66" charset="0"/>
              <a:cs typeface="Mongolian Baiti" panose="03000500000000000000" pitchFamily="66" charset="0"/>
            </a:rPr>
            <a:t> L A I M</a:t>
          </a:r>
        </a:p>
        <a:p>
          <a:pPr algn="ctr"/>
          <a:r>
            <a:rPr lang="en-US" sz="1600" b="1" baseline="0">
              <a:latin typeface="Mongolian Baiti" panose="03000500000000000000" pitchFamily="66" charset="0"/>
              <a:cs typeface="Mongolian Baiti" panose="03000500000000000000" pitchFamily="66" charset="0"/>
            </a:rPr>
            <a:t>A M O U N T</a:t>
          </a:r>
          <a:endParaRPr lang="en-US" sz="1800" b="1">
            <a:latin typeface="Mongolian Baiti" panose="03000500000000000000" pitchFamily="66" charset="0"/>
            <a:cs typeface="Mongolian Baiti" panose="03000500000000000000" pitchFamily="66" charset="0"/>
          </a:endParaRPr>
        </a:p>
      </xdr:txBody>
    </xdr:sp>
    <xdr:clientData/>
  </xdr:twoCellAnchor>
  <xdr:twoCellAnchor>
    <xdr:from>
      <xdr:col>2</xdr:col>
      <xdr:colOff>561975</xdr:colOff>
      <xdr:row>23</xdr:row>
      <xdr:rowOff>171449</xdr:rowOff>
    </xdr:from>
    <xdr:to>
      <xdr:col>9</xdr:col>
      <xdr:colOff>590550</xdr:colOff>
      <xdr:row>36</xdr:row>
      <xdr:rowOff>38100</xdr:rowOff>
    </xdr:to>
    <xdr:sp macro="" textlink="">
      <xdr:nvSpPr>
        <xdr:cNvPr id="18" name="Rectangle 17">
          <a:extLst>
            <a:ext uri="{FF2B5EF4-FFF2-40B4-BE49-F238E27FC236}">
              <a16:creationId xmlns:a16="http://schemas.microsoft.com/office/drawing/2014/main" id="{457FFEB3-7329-4926-94F6-07E1B71C5E04}"/>
            </a:ext>
          </a:extLst>
        </xdr:cNvPr>
        <xdr:cNvSpPr/>
      </xdr:nvSpPr>
      <xdr:spPr>
        <a:xfrm>
          <a:off x="1933575" y="4333874"/>
          <a:ext cx="4829175" cy="2676526"/>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590549</xdr:colOff>
      <xdr:row>24</xdr:row>
      <xdr:rowOff>19050</xdr:rowOff>
    </xdr:from>
    <xdr:to>
      <xdr:col>9</xdr:col>
      <xdr:colOff>561974</xdr:colOff>
      <xdr:row>36</xdr:row>
      <xdr:rowOff>0</xdr:rowOff>
    </xdr:to>
    <xdr:graphicFrame macro="">
      <xdr:nvGraphicFramePr>
        <xdr:cNvPr id="19" name="ClaimAmtCount">
          <a:extLst>
            <a:ext uri="{FF2B5EF4-FFF2-40B4-BE49-F238E27FC236}">
              <a16:creationId xmlns:a16="http://schemas.microsoft.com/office/drawing/2014/main" id="{1C3C805D-ED67-4A1B-A064-C85D07520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xdr:colOff>
      <xdr:row>33</xdr:row>
      <xdr:rowOff>133350</xdr:rowOff>
    </xdr:from>
    <xdr:to>
      <xdr:col>15</xdr:col>
      <xdr:colOff>838201</xdr:colOff>
      <xdr:row>35</xdr:row>
      <xdr:rowOff>95250</xdr:rowOff>
    </xdr:to>
    <xdr:sp macro="" textlink="">
      <xdr:nvSpPr>
        <xdr:cNvPr id="20" name="TextBox 19">
          <a:extLst>
            <a:ext uri="{FF2B5EF4-FFF2-40B4-BE49-F238E27FC236}">
              <a16:creationId xmlns:a16="http://schemas.microsoft.com/office/drawing/2014/main" id="{4BA6D261-9ED0-7950-FC72-76E513C7F429}"/>
            </a:ext>
          </a:extLst>
        </xdr:cNvPr>
        <xdr:cNvSpPr txBox="1"/>
      </xdr:nvSpPr>
      <xdr:spPr>
        <a:xfrm>
          <a:off x="6896100" y="6562725"/>
          <a:ext cx="4600576"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b="0" i="1">
              <a:solidFill>
                <a:sysClr val="windowText" lastClr="000000"/>
              </a:solidFill>
              <a:latin typeface="Palatino Linotype" panose="02040502050505030304" pitchFamily="18" charset="0"/>
            </a:rPr>
            <a:t>Each value compares an exposure band to the immediately preceding band.</a:t>
          </a:r>
        </a:p>
      </xdr:txBody>
    </xdr:sp>
    <xdr:clientData/>
  </xdr:twoCellAnchor>
  <xdr:twoCellAnchor>
    <xdr:from>
      <xdr:col>16</xdr:col>
      <xdr:colOff>95250</xdr:colOff>
      <xdr:row>24</xdr:row>
      <xdr:rowOff>28575</xdr:rowOff>
    </xdr:from>
    <xdr:to>
      <xdr:col>22</xdr:col>
      <xdr:colOff>381000</xdr:colOff>
      <xdr:row>35</xdr:row>
      <xdr:rowOff>142875</xdr:rowOff>
    </xdr:to>
    <xdr:graphicFrame macro="">
      <xdr:nvGraphicFramePr>
        <xdr:cNvPr id="21" name="Chart 20">
          <a:extLst>
            <a:ext uri="{FF2B5EF4-FFF2-40B4-BE49-F238E27FC236}">
              <a16:creationId xmlns:a16="http://schemas.microsoft.com/office/drawing/2014/main" id="{DD25295E-8823-4881-BB3B-FE70B9792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36</xdr:row>
      <xdr:rowOff>76200</xdr:rowOff>
    </xdr:from>
    <xdr:to>
      <xdr:col>2</xdr:col>
      <xdr:colOff>552450</xdr:colOff>
      <xdr:row>51</xdr:row>
      <xdr:rowOff>28575</xdr:rowOff>
    </xdr:to>
    <xdr:sp macro="" textlink="">
      <xdr:nvSpPr>
        <xdr:cNvPr id="23" name="TextBox 22">
          <a:extLst>
            <a:ext uri="{FF2B5EF4-FFF2-40B4-BE49-F238E27FC236}">
              <a16:creationId xmlns:a16="http://schemas.microsoft.com/office/drawing/2014/main" id="{A683B7C4-11D5-4944-91DD-07EF7E87DC9A}"/>
            </a:ext>
          </a:extLst>
        </xdr:cNvPr>
        <xdr:cNvSpPr txBox="1"/>
      </xdr:nvSpPr>
      <xdr:spPr>
        <a:xfrm>
          <a:off x="76200" y="7048500"/>
          <a:ext cx="1847850" cy="26670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Mongolian Baiti" panose="03000500000000000000" pitchFamily="66" charset="0"/>
              <a:cs typeface="Mongolian Baiti" panose="03000500000000000000" pitchFamily="66" charset="0"/>
            </a:rPr>
            <a:t>C</a:t>
          </a:r>
          <a:r>
            <a:rPr lang="en-US" sz="1600" b="1" baseline="0">
              <a:latin typeface="Mongolian Baiti" panose="03000500000000000000" pitchFamily="66" charset="0"/>
              <a:cs typeface="Mongolian Baiti" panose="03000500000000000000" pitchFamily="66" charset="0"/>
            </a:rPr>
            <a:t> L A I M</a:t>
          </a:r>
        </a:p>
        <a:p>
          <a:pPr algn="ctr"/>
          <a:r>
            <a:rPr lang="en-US" sz="1600" b="1" baseline="0">
              <a:latin typeface="Mongolian Baiti" panose="03000500000000000000" pitchFamily="66" charset="0"/>
              <a:cs typeface="Mongolian Baiti" panose="03000500000000000000" pitchFamily="66" charset="0"/>
            </a:rPr>
            <a:t>F R E Q U E N C Y</a:t>
          </a:r>
          <a:endParaRPr lang="en-US" sz="1800" b="1">
            <a:latin typeface="Mongolian Baiti" panose="03000500000000000000" pitchFamily="66" charset="0"/>
            <a:cs typeface="Mongolian Baiti" panose="03000500000000000000" pitchFamily="66" charset="0"/>
          </a:endParaRPr>
        </a:p>
      </xdr:txBody>
    </xdr:sp>
    <xdr:clientData/>
  </xdr:twoCellAnchor>
  <xdr:twoCellAnchor>
    <xdr:from>
      <xdr:col>2</xdr:col>
      <xdr:colOff>561975</xdr:colOff>
      <xdr:row>36</xdr:row>
      <xdr:rowOff>95250</xdr:rowOff>
    </xdr:from>
    <xdr:to>
      <xdr:col>9</xdr:col>
      <xdr:colOff>590550</xdr:colOff>
      <xdr:row>51</xdr:row>
      <xdr:rowOff>57151</xdr:rowOff>
    </xdr:to>
    <xdr:sp macro="" textlink="">
      <xdr:nvSpPr>
        <xdr:cNvPr id="24" name="Rectangle 23">
          <a:extLst>
            <a:ext uri="{FF2B5EF4-FFF2-40B4-BE49-F238E27FC236}">
              <a16:creationId xmlns:a16="http://schemas.microsoft.com/office/drawing/2014/main" id="{65656B96-A223-4611-85F0-E681972A63C2}"/>
            </a:ext>
          </a:extLst>
        </xdr:cNvPr>
        <xdr:cNvSpPr/>
      </xdr:nvSpPr>
      <xdr:spPr>
        <a:xfrm>
          <a:off x="1933575" y="7067550"/>
          <a:ext cx="4829175" cy="2676526"/>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581026</xdr:colOff>
      <xdr:row>36</xdr:row>
      <xdr:rowOff>133350</xdr:rowOff>
    </xdr:from>
    <xdr:to>
      <xdr:col>9</xdr:col>
      <xdr:colOff>561975</xdr:colOff>
      <xdr:row>51</xdr:row>
      <xdr:rowOff>28575</xdr:rowOff>
    </xdr:to>
    <xdr:graphicFrame macro="">
      <xdr:nvGraphicFramePr>
        <xdr:cNvPr id="25" name="Chart 24">
          <a:extLst>
            <a:ext uri="{FF2B5EF4-FFF2-40B4-BE49-F238E27FC236}">
              <a16:creationId xmlns:a16="http://schemas.microsoft.com/office/drawing/2014/main" id="{AB0DCE8F-662D-42F4-A2C8-AA6D36C15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219075</xdr:colOff>
      <xdr:row>26</xdr:row>
      <xdr:rowOff>209550</xdr:rowOff>
    </xdr:from>
    <xdr:to>
      <xdr:col>2</xdr:col>
      <xdr:colOff>266700</xdr:colOff>
      <xdr:row>31</xdr:row>
      <xdr:rowOff>123825</xdr:rowOff>
    </xdr:to>
    <mc:AlternateContent xmlns:mc="http://schemas.openxmlformats.org/markup-compatibility/2006" xmlns:a14="http://schemas.microsoft.com/office/drawing/2010/main">
      <mc:Choice Requires="a14">
        <xdr:graphicFrame macro="">
          <xdr:nvGraphicFramePr>
            <xdr:cNvPr id="26" name="Prior Claims 1">
              <a:extLst>
                <a:ext uri="{FF2B5EF4-FFF2-40B4-BE49-F238E27FC236}">
                  <a16:creationId xmlns:a16="http://schemas.microsoft.com/office/drawing/2014/main" id="{FFD39FC8-33C6-4668-A3C2-9FEBCDFC2002}"/>
                </a:ext>
              </a:extLst>
            </xdr:cNvPr>
            <xdr:cNvGraphicFramePr/>
          </xdr:nvGraphicFramePr>
          <xdr:xfrm>
            <a:off x="0" y="0"/>
            <a:ext cx="0" cy="0"/>
          </xdr:xfrm>
          <a:graphic>
            <a:graphicData uri="http://schemas.microsoft.com/office/drawing/2010/slicer">
              <sle:slicer xmlns:sle="http://schemas.microsoft.com/office/drawing/2010/slicer" name="Prior Claims 1"/>
            </a:graphicData>
          </a:graphic>
        </xdr:graphicFrame>
      </mc:Choice>
      <mc:Fallback xmlns="">
        <xdr:sp macro="" textlink="">
          <xdr:nvSpPr>
            <xdr:cNvPr id="0" name=""/>
            <xdr:cNvSpPr>
              <a:spLocks noTextEdit="1"/>
            </xdr:cNvSpPr>
          </xdr:nvSpPr>
          <xdr:spPr>
            <a:xfrm>
              <a:off x="219075" y="5143500"/>
              <a:ext cx="141922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25</xdr:row>
      <xdr:rowOff>161925</xdr:rowOff>
    </xdr:from>
    <xdr:to>
      <xdr:col>2</xdr:col>
      <xdr:colOff>323850</xdr:colOff>
      <xdr:row>27</xdr:row>
      <xdr:rowOff>28575</xdr:rowOff>
    </xdr:to>
    <xdr:sp macro="" textlink="">
      <xdr:nvSpPr>
        <xdr:cNvPr id="27" name="TextBox 26">
          <a:extLst>
            <a:ext uri="{FF2B5EF4-FFF2-40B4-BE49-F238E27FC236}">
              <a16:creationId xmlns:a16="http://schemas.microsoft.com/office/drawing/2014/main" id="{117E86FC-8724-E107-014A-1E3D9E4B66F5}"/>
            </a:ext>
          </a:extLst>
        </xdr:cNvPr>
        <xdr:cNvSpPr txBox="1"/>
      </xdr:nvSpPr>
      <xdr:spPr>
        <a:xfrm>
          <a:off x="219075" y="4829175"/>
          <a:ext cx="1476375" cy="352425"/>
        </a:xfrm>
        <a:prstGeom prst="rect">
          <a:avLst/>
        </a:prstGeom>
        <a:solidFill>
          <a:srgbClr val="296D8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Palatino Linotype" panose="02040502050505030304" pitchFamily="18" charset="0"/>
            </a:rPr>
            <a:t>Prior Claims</a:t>
          </a:r>
        </a:p>
      </xdr:txBody>
    </xdr:sp>
    <xdr:clientData/>
  </xdr:twoCellAnchor>
  <xdr:twoCellAnchor>
    <xdr:from>
      <xdr:col>0</xdr:col>
      <xdr:colOff>238125</xdr:colOff>
      <xdr:row>4</xdr:row>
      <xdr:rowOff>66675</xdr:rowOff>
    </xdr:from>
    <xdr:to>
      <xdr:col>2</xdr:col>
      <xdr:colOff>342900</xdr:colOff>
      <xdr:row>6</xdr:row>
      <xdr:rowOff>57150</xdr:rowOff>
    </xdr:to>
    <xdr:sp macro="" textlink="">
      <xdr:nvSpPr>
        <xdr:cNvPr id="28" name="TextBox 27">
          <a:extLst>
            <a:ext uri="{FF2B5EF4-FFF2-40B4-BE49-F238E27FC236}">
              <a16:creationId xmlns:a16="http://schemas.microsoft.com/office/drawing/2014/main" id="{287290D0-2D7F-4539-A0B6-EA9818250833}"/>
            </a:ext>
          </a:extLst>
        </xdr:cNvPr>
        <xdr:cNvSpPr txBox="1"/>
      </xdr:nvSpPr>
      <xdr:spPr>
        <a:xfrm>
          <a:off x="238125" y="790575"/>
          <a:ext cx="1476375" cy="352425"/>
        </a:xfrm>
        <a:prstGeom prst="rect">
          <a:avLst/>
        </a:prstGeom>
        <a:solidFill>
          <a:srgbClr val="296D8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Palatino Linotype" panose="02040502050505030304" pitchFamily="18" charset="0"/>
            </a:rPr>
            <a:t>Territory</a:t>
          </a:r>
        </a:p>
      </xdr:txBody>
    </xdr:sp>
    <xdr:clientData/>
  </xdr:twoCellAnchor>
  <xdr:twoCellAnchor>
    <xdr:from>
      <xdr:col>0</xdr:col>
      <xdr:colOff>133350</xdr:colOff>
      <xdr:row>33</xdr:row>
      <xdr:rowOff>85724</xdr:rowOff>
    </xdr:from>
    <xdr:to>
      <xdr:col>2</xdr:col>
      <xdr:colOff>409575</xdr:colOff>
      <xdr:row>40</xdr:row>
      <xdr:rowOff>123824</xdr:rowOff>
    </xdr:to>
    <xdr:sp macro="" textlink="">
      <xdr:nvSpPr>
        <xdr:cNvPr id="29" name="TextBox 28">
          <a:extLst>
            <a:ext uri="{FF2B5EF4-FFF2-40B4-BE49-F238E27FC236}">
              <a16:creationId xmlns:a16="http://schemas.microsoft.com/office/drawing/2014/main" id="{88C077E7-4D0D-7EAB-630F-5B4C56554922}"/>
            </a:ext>
          </a:extLst>
        </xdr:cNvPr>
        <xdr:cNvSpPr txBox="1"/>
      </xdr:nvSpPr>
      <xdr:spPr>
        <a:xfrm>
          <a:off x="133350" y="6515099"/>
          <a:ext cx="1647825" cy="13049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latin typeface="Palatino Linotype" panose="02040502050505030304" pitchFamily="18" charset="0"/>
            </a:rPr>
            <a:t>For some charts, there may not</a:t>
          </a:r>
          <a:r>
            <a:rPr lang="en-US" sz="1200" b="1" i="1" baseline="0">
              <a:latin typeface="Palatino Linotype" panose="02040502050505030304" pitchFamily="18" charset="0"/>
            </a:rPr>
            <a:t> be enough data for a Prior Claim Count of 3 or higher.</a:t>
          </a:r>
          <a:endParaRPr lang="en-US" sz="1200" b="1" i="1">
            <a:latin typeface="Palatino Linotype" panose="02040502050505030304" pitchFamily="18" charset="0"/>
          </a:endParaRPr>
        </a:p>
      </xdr:txBody>
    </xdr:sp>
    <xdr:clientData/>
  </xdr:twoCellAnchor>
  <xdr:twoCellAnchor>
    <xdr:from>
      <xdr:col>9</xdr:col>
      <xdr:colOff>666751</xdr:colOff>
      <xdr:row>36</xdr:row>
      <xdr:rowOff>114300</xdr:rowOff>
    </xdr:from>
    <xdr:to>
      <xdr:col>16</xdr:col>
      <xdr:colOff>19050</xdr:colOff>
      <xdr:row>51</xdr:row>
      <xdr:rowOff>38100</xdr:rowOff>
    </xdr:to>
    <xdr:graphicFrame macro="">
      <xdr:nvGraphicFramePr>
        <xdr:cNvPr id="30" name="Chart 29">
          <a:extLst>
            <a:ext uri="{FF2B5EF4-FFF2-40B4-BE49-F238E27FC236}">
              <a16:creationId xmlns:a16="http://schemas.microsoft.com/office/drawing/2014/main" id="{1F03455C-2468-4415-838B-CA71D3F0D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85725</xdr:colOff>
      <xdr:row>36</xdr:row>
      <xdr:rowOff>95250</xdr:rowOff>
    </xdr:from>
    <xdr:to>
      <xdr:col>22</xdr:col>
      <xdr:colOff>400050</xdr:colOff>
      <xdr:row>51</xdr:row>
      <xdr:rowOff>66676</xdr:rowOff>
    </xdr:to>
    <xdr:sp macro="" textlink="">
      <xdr:nvSpPr>
        <xdr:cNvPr id="14" name="Rectangle 13">
          <a:extLst>
            <a:ext uri="{FF2B5EF4-FFF2-40B4-BE49-F238E27FC236}">
              <a16:creationId xmlns:a16="http://schemas.microsoft.com/office/drawing/2014/main" id="{BCF56EC0-D7A3-4684-A2E4-C6C8D6E48A37}"/>
            </a:ext>
          </a:extLst>
        </xdr:cNvPr>
        <xdr:cNvSpPr/>
      </xdr:nvSpPr>
      <xdr:spPr>
        <a:xfrm>
          <a:off x="11687175" y="7067550"/>
          <a:ext cx="4429125" cy="2686051"/>
        </a:xfrm>
        <a:prstGeom prst="rect">
          <a:avLst/>
        </a:prstGeom>
        <a:solidFill>
          <a:srgbClr val="A0D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114299</xdr:colOff>
      <xdr:row>36</xdr:row>
      <xdr:rowOff>123825</xdr:rowOff>
    </xdr:from>
    <xdr:to>
      <xdr:col>22</xdr:col>
      <xdr:colOff>371474</xdr:colOff>
      <xdr:row>51</xdr:row>
      <xdr:rowOff>38100</xdr:rowOff>
    </xdr:to>
    <xdr:graphicFrame macro="">
      <xdr:nvGraphicFramePr>
        <xdr:cNvPr id="32" name="TCbyVA">
          <a:extLst>
            <a:ext uri="{FF2B5EF4-FFF2-40B4-BE49-F238E27FC236}">
              <a16:creationId xmlns:a16="http://schemas.microsoft.com/office/drawing/2014/main" id="{37B9173A-414B-494B-881B-29DD74ADE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676275</xdr:colOff>
      <xdr:row>0</xdr:row>
      <xdr:rowOff>171451</xdr:rowOff>
    </xdr:from>
    <xdr:to>
      <xdr:col>9</xdr:col>
      <xdr:colOff>0</xdr:colOff>
      <xdr:row>24</xdr:row>
      <xdr:rowOff>28575</xdr:rowOff>
    </xdr:to>
    <xdr:sp macro="" textlink="">
      <xdr:nvSpPr>
        <xdr:cNvPr id="2" name="TextBox 1">
          <a:extLst>
            <a:ext uri="{FF2B5EF4-FFF2-40B4-BE49-F238E27FC236}">
              <a16:creationId xmlns:a16="http://schemas.microsoft.com/office/drawing/2014/main" id="{96CD808B-4312-D1D8-5E72-F2C201175C7A}"/>
            </a:ext>
          </a:extLst>
        </xdr:cNvPr>
        <xdr:cNvSpPr txBox="1"/>
      </xdr:nvSpPr>
      <xdr:spPr>
        <a:xfrm>
          <a:off x="676275" y="171451"/>
          <a:ext cx="5495925" cy="4200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Palatino Linotype" panose="02040502050505030304" pitchFamily="18" charset="0"/>
            </a:rPr>
            <a:t>Basic Observations</a:t>
          </a:r>
          <a:r>
            <a:rPr lang="en-US" sz="1400" b="1" baseline="0">
              <a:latin typeface="Palatino Linotype" panose="02040502050505030304" pitchFamily="18" charset="0"/>
            </a:rPr>
            <a:t> </a:t>
          </a:r>
        </a:p>
        <a:p>
          <a:r>
            <a:rPr lang="en-US" sz="1200" b="1" baseline="0">
              <a:latin typeface="Palatino Linotype" panose="02040502050505030304" pitchFamily="18" charset="0"/>
            </a:rPr>
            <a:t>These observations are based off all 1,661 policyholders (all slicers checked).</a:t>
          </a:r>
          <a:endParaRPr lang="en-US" sz="1100" b="1" baseline="0">
            <a:latin typeface="Palatino Linotype" panose="02040502050505030304" pitchFamily="18" charset="0"/>
          </a:endParaRPr>
        </a:p>
        <a:p>
          <a:endParaRPr lang="en-US" sz="1400" b="1" baseline="0">
            <a:latin typeface="Palatino Linotype" panose="02040502050505030304" pitchFamily="18" charset="0"/>
          </a:endParaRPr>
        </a:p>
        <a:p>
          <a:r>
            <a:rPr lang="en-US" sz="1200" b="0" baseline="0">
              <a:latin typeface="Palatino Linotype" panose="02040502050505030304" pitchFamily="18" charset="0"/>
            </a:rPr>
            <a:t>1.  With 1,661 policyholders having claims and 2,092 total claims, we can expect that most policyholders have 1 claim. This is reflected in </a:t>
          </a:r>
          <a:r>
            <a:rPr lang="en-US" sz="1200" b="0" i="1" baseline="0">
              <a:latin typeface="Palatino Linotype" panose="02040502050505030304" pitchFamily="18" charset="0"/>
            </a:rPr>
            <a:t>Freq. Data Visualization</a:t>
          </a:r>
          <a:r>
            <a:rPr lang="en-US" sz="1200" b="0" i="0" baseline="0">
              <a:latin typeface="Palatino Linotype" panose="02040502050505030304" pitchFamily="18" charset="0"/>
            </a:rPr>
            <a:t>-</a:t>
          </a:r>
          <a:r>
            <a:rPr lang="en-US" sz="1200" b="0" i="1" baseline="0">
              <a:latin typeface="Palatino Linotype" panose="02040502050505030304" pitchFamily="18" charset="0"/>
            </a:rPr>
            <a:t>-# of Claims per Policyholder,</a:t>
          </a:r>
          <a:r>
            <a:rPr lang="en-US" sz="1200" b="0" i="0" baseline="0">
              <a:latin typeface="Palatino Linotype" panose="02040502050505030304" pitchFamily="18" charset="0"/>
            </a:rPr>
            <a:t> where ~78% of policyholders have 1 claim.</a:t>
          </a:r>
        </a:p>
        <a:p>
          <a:endParaRPr lang="en-US" sz="1200" b="0" i="0" baseline="0">
            <a:latin typeface="Palatino Linotype" panose="02040502050505030304" pitchFamily="18" charset="0"/>
          </a:endParaRPr>
        </a:p>
        <a:p>
          <a:r>
            <a:rPr lang="en-US" sz="1200" b="0" i="0" baseline="0">
              <a:latin typeface="Palatino Linotype" panose="02040502050505030304" pitchFamily="18" charset="0"/>
            </a:rPr>
            <a:t>2. The dataset was initialized to have 20%, 30%, and 50% probabilities of representation between the Rural, Suburban, and Urban areas to match a real-world population density in these areas. The true proportions are close to their projected values (</a:t>
          </a:r>
          <a:r>
            <a:rPr lang="en-US" sz="1200" b="0" i="1" baseline="0">
              <a:latin typeface="Palatino Linotype" panose="02040502050505030304" pitchFamily="18" charset="0"/>
            </a:rPr>
            <a:t>Freq. Data Visualization--% of Policyholders by Region</a:t>
          </a:r>
          <a:r>
            <a:rPr lang="en-US" sz="1200" b="0" i="0" baseline="0">
              <a:latin typeface="Palatino Linotype" panose="02040502050505030304" pitchFamily="18" charset="0"/>
            </a:rPr>
            <a:t>), despite only taking the sample of policyholders with claims (1,661 out of 5,000).</a:t>
          </a:r>
        </a:p>
        <a:p>
          <a:endParaRPr lang="en-US" sz="1200" b="0" i="0" baseline="0">
            <a:latin typeface="Palatino Linotype" panose="02040502050505030304" pitchFamily="18" charset="0"/>
          </a:endParaRPr>
        </a:p>
        <a:p>
          <a:r>
            <a:rPr lang="en-US" sz="1200" b="0" i="0" baseline="0">
              <a:latin typeface="Palatino Linotype" panose="02040502050505030304" pitchFamily="18" charset="0"/>
            </a:rPr>
            <a:t>3.  The frequency of policyholders increase with longer policy exposure. This feature was modeled to follow a uniform distribution between (0.5, 1), so the mostly steady increase in frequency is unexpected (</a:t>
          </a:r>
          <a:r>
            <a:rPr lang="en-US" sz="1200" b="0" i="1" baseline="0">
              <a:latin typeface="Palatino Linotype" panose="02040502050505030304" pitchFamily="18" charset="0"/>
            </a:rPr>
            <a:t>Freq. Dat Visualization</a:t>
          </a:r>
          <a:r>
            <a:rPr lang="en-US" sz="1200" b="0" i="0" baseline="0">
              <a:latin typeface="Palatino Linotype" panose="02040502050505030304" pitchFamily="18" charset="0"/>
            </a:rPr>
            <a:t>--</a:t>
          </a:r>
          <a:r>
            <a:rPr lang="en-US" sz="1200" b="0" i="1" baseline="0">
              <a:latin typeface="Palatino Linotype" panose="02040502050505030304" pitchFamily="18" charset="0"/>
            </a:rPr>
            <a:t>Exposure Period Frequency</a:t>
          </a:r>
          <a:r>
            <a:rPr lang="en-US" sz="1200" b="0" i="0" baseline="0">
              <a:latin typeface="Palatino Linotype" panose="02040502050505030304" pitchFamily="18" charset="0"/>
            </a:rPr>
            <a:t>).</a:t>
          </a:r>
          <a:endParaRPr lang="en-US" sz="1200" b="1">
            <a:latin typeface="Palatino Linotype" panose="02040502050505030304" pitchFamily="18" charset="0"/>
          </a:endParaRPr>
        </a:p>
      </xdr:txBody>
    </xdr:sp>
    <xdr:clientData/>
  </xdr:twoCellAnchor>
  <xdr:twoCellAnchor>
    <xdr:from>
      <xdr:col>9</xdr:col>
      <xdr:colOff>47625</xdr:colOff>
      <xdr:row>0</xdr:row>
      <xdr:rowOff>171449</xdr:rowOff>
    </xdr:from>
    <xdr:to>
      <xdr:col>17</xdr:col>
      <xdr:colOff>57150</xdr:colOff>
      <xdr:row>24</xdr:row>
      <xdr:rowOff>19050</xdr:rowOff>
    </xdr:to>
    <xdr:sp macro="" textlink="">
      <xdr:nvSpPr>
        <xdr:cNvPr id="3" name="TextBox 2">
          <a:extLst>
            <a:ext uri="{FF2B5EF4-FFF2-40B4-BE49-F238E27FC236}">
              <a16:creationId xmlns:a16="http://schemas.microsoft.com/office/drawing/2014/main" id="{3BA11FC0-7896-4DE8-A2E4-CB4B25337940}"/>
            </a:ext>
          </a:extLst>
        </xdr:cNvPr>
        <xdr:cNvSpPr txBox="1"/>
      </xdr:nvSpPr>
      <xdr:spPr>
        <a:xfrm>
          <a:off x="6219825" y="171449"/>
          <a:ext cx="5495925" cy="4191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Palatino Linotype" panose="02040502050505030304" pitchFamily="18" charset="0"/>
            </a:rPr>
            <a:t>4.</a:t>
          </a:r>
          <a:r>
            <a:rPr lang="en-US" sz="1200" b="0" baseline="0">
              <a:latin typeface="Palatino Linotype" panose="02040502050505030304" pitchFamily="18" charset="0"/>
            </a:rPr>
            <a:t> Claim Amount increases by age and vehicle age when factoring in all 1,661 policyholders (</a:t>
          </a:r>
          <a:r>
            <a:rPr lang="en-US" sz="1200" b="0" i="1" baseline="0">
              <a:latin typeface="Palatino Linotype" panose="02040502050505030304" pitchFamily="18" charset="0"/>
            </a:rPr>
            <a:t>Severity Dashboard -- Claim Amount by Age, Claim Amount by Vehicle Age</a:t>
          </a:r>
          <a:r>
            <a:rPr lang="en-US" sz="1200" b="0" i="0" baseline="0">
              <a:latin typeface="Palatino Linotype" panose="02040502050505030304" pitchFamily="18" charset="0"/>
            </a:rPr>
            <a:t>).</a:t>
          </a:r>
        </a:p>
        <a:p>
          <a:endParaRPr lang="en-US" sz="1200" b="0" i="0" baseline="0">
            <a:latin typeface="Palatino Linotype" panose="02040502050505030304" pitchFamily="18" charset="0"/>
          </a:endParaRPr>
        </a:p>
        <a:p>
          <a:r>
            <a:rPr lang="en-US" sz="1200" b="0" i="0" baseline="0">
              <a:latin typeface="Palatino Linotype" panose="02040502050505030304" pitchFamily="18" charset="0"/>
            </a:rPr>
            <a:t>5. Policyholders with one claim account for roughly 70% of the aggregate claim amount. The respective proportions strictly decrease as the number of claims held per policyholder increases (</a:t>
          </a:r>
          <a:r>
            <a:rPr lang="en-US" sz="1200" b="0" i="1" baseline="0">
              <a:latin typeface="Palatino Linotype" panose="02040502050505030304" pitchFamily="18" charset="0"/>
            </a:rPr>
            <a:t>Severity Dashboard -- % of Claim Amount by Claim Count</a:t>
          </a:r>
          <a:r>
            <a:rPr lang="en-US" sz="1200" b="0" i="0" baseline="0">
              <a:latin typeface="Palatino Linotype" panose="02040502050505030304" pitchFamily="18" charset="0"/>
            </a:rPr>
            <a:t>).</a:t>
          </a:r>
        </a:p>
        <a:p>
          <a:endParaRPr lang="en-US" sz="1200" b="0" i="0" baseline="0">
            <a:latin typeface="Palatino Linotype" panose="02040502050505030304" pitchFamily="18" charset="0"/>
          </a:endParaRPr>
        </a:p>
        <a:p>
          <a:r>
            <a:rPr lang="en-US" sz="1200" b="0" i="0" baseline="0">
              <a:latin typeface="Palatino Linotype" panose="02040502050505030304" pitchFamily="18" charset="0"/>
            </a:rPr>
            <a:t>6. With all 1,661 policyholders, the change in claim amount, when moving to the next exposure band, generally increases. For example, Urban policyholders who are exposed to a policy for 0.6-0.7 yrs. have a claim amount sum that is 125.65% the amount of policyholders exposed to a policy for 0.5-0.6 yrs (</a:t>
          </a:r>
          <a:r>
            <a:rPr lang="en-US" sz="1200" b="0" i="1" baseline="0">
              <a:latin typeface="Palatino Linotype" panose="02040502050505030304" pitchFamily="18" charset="0"/>
            </a:rPr>
            <a:t>Severity Dashboard -- % Claim Amount by Adjacent Exposure Bands</a:t>
          </a:r>
          <a:r>
            <a:rPr lang="en-US" sz="1200" b="0" i="0" baseline="0">
              <a:latin typeface="Palatino Linotype" panose="02040502050505030304" pitchFamily="18" charset="0"/>
            </a:rPr>
            <a:t>).</a:t>
          </a:r>
        </a:p>
        <a:p>
          <a:endParaRPr lang="en-US" sz="1200" b="0" i="0" baseline="0">
            <a:latin typeface="Palatino Linotype" panose="02040502050505030304" pitchFamily="18" charset="0"/>
          </a:endParaRPr>
        </a:p>
        <a:p>
          <a:r>
            <a:rPr lang="en-US" sz="1200" b="0" i="0" baseline="0">
              <a:latin typeface="Palatino Linotype" panose="02040502050505030304" pitchFamily="18" charset="0"/>
            </a:rPr>
            <a:t>7. The majority of claims come from policyholders whose average severity is at most $1,000. Claim counts have an increasing trend over adjacent age bands and are mostly well-distributed over vehicle age bands (</a:t>
          </a:r>
          <a:r>
            <a:rPr lang="en-US" sz="1200" b="0" i="1" baseline="0">
              <a:latin typeface="Palatino Linotype" panose="02040502050505030304" pitchFamily="18" charset="0"/>
            </a:rPr>
            <a:t>Severity Dashboard -- Claim Frequency</a:t>
          </a:r>
          <a:r>
            <a:rPr lang="en-US" sz="1200" b="0" i="0" baseline="0">
              <a:latin typeface="Palatino Linotype" panose="02040502050505030304" pitchFamily="18" charset="0"/>
            </a:rPr>
            <a:t>).</a:t>
          </a:r>
          <a:endParaRPr lang="en-US" sz="1200" b="0">
            <a:latin typeface="Palatino Linotype" panose="0204050205050503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590549</xdr:colOff>
      <xdr:row>7</xdr:row>
      <xdr:rowOff>38100</xdr:rowOff>
    </xdr:from>
    <xdr:to>
      <xdr:col>15</xdr:col>
      <xdr:colOff>38100</xdr:colOff>
      <xdr:row>21</xdr:row>
      <xdr:rowOff>114300</xdr:rowOff>
    </xdr:to>
    <xdr:graphicFrame macro="">
      <xdr:nvGraphicFramePr>
        <xdr:cNvPr id="2" name="Chart 1">
          <a:extLst>
            <a:ext uri="{FF2B5EF4-FFF2-40B4-BE49-F238E27FC236}">
              <a16:creationId xmlns:a16="http://schemas.microsoft.com/office/drawing/2014/main" id="{F7F8FA4A-08DD-5DBC-6330-69491151D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433387</xdr:colOff>
      <xdr:row>21</xdr:row>
      <xdr:rowOff>133350</xdr:rowOff>
    </xdr:from>
    <xdr:to>
      <xdr:col>13</xdr:col>
      <xdr:colOff>433387</xdr:colOff>
      <xdr:row>36</xdr:row>
      <xdr:rowOff>161925</xdr:rowOff>
    </xdr:to>
    <xdr:graphicFrame macro="">
      <xdr:nvGraphicFramePr>
        <xdr:cNvPr id="3" name="ClaimAmtCount">
          <a:extLst>
            <a:ext uri="{FF2B5EF4-FFF2-40B4-BE49-F238E27FC236}">
              <a16:creationId xmlns:a16="http://schemas.microsoft.com/office/drawing/2014/main" id="{96E418F0-A6EA-2060-26CF-8C7F6E5AD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909637</xdr:colOff>
      <xdr:row>37</xdr:row>
      <xdr:rowOff>171450</xdr:rowOff>
    </xdr:from>
    <xdr:to>
      <xdr:col>12</xdr:col>
      <xdr:colOff>457200</xdr:colOff>
      <xdr:row>53</xdr:row>
      <xdr:rowOff>19050</xdr:rowOff>
    </xdr:to>
    <xdr:graphicFrame macro="">
      <xdr:nvGraphicFramePr>
        <xdr:cNvPr id="5" name="VehAgeClaimAmt">
          <a:extLst>
            <a:ext uri="{FF2B5EF4-FFF2-40B4-BE49-F238E27FC236}">
              <a16:creationId xmlns:a16="http://schemas.microsoft.com/office/drawing/2014/main" id="{5A602402-9A0C-C640-A22C-60BA2CDD5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371475</xdr:colOff>
      <xdr:row>15</xdr:row>
      <xdr:rowOff>133351</xdr:rowOff>
    </xdr:from>
    <xdr:to>
      <xdr:col>17</xdr:col>
      <xdr:colOff>695325</xdr:colOff>
      <xdr:row>20</xdr:row>
      <xdr:rowOff>171450</xdr:rowOff>
    </xdr:to>
    <mc:AlternateContent xmlns:mc="http://schemas.openxmlformats.org/markup-compatibility/2006" xmlns:a14="http://schemas.microsoft.com/office/drawing/2010/main">
      <mc:Choice Requires="a14">
        <xdr:graphicFrame macro="">
          <xdr:nvGraphicFramePr>
            <xdr:cNvPr id="6" name="Territory">
              <a:extLst>
                <a:ext uri="{FF2B5EF4-FFF2-40B4-BE49-F238E27FC236}">
                  <a16:creationId xmlns:a16="http://schemas.microsoft.com/office/drawing/2014/main" id="{7157E200-7A77-B078-725A-457C5DF8F008}"/>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3325475" y="2847976"/>
              <a:ext cx="1828800"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14287</xdr:colOff>
      <xdr:row>54</xdr:row>
      <xdr:rowOff>171449</xdr:rowOff>
    </xdr:from>
    <xdr:to>
      <xdr:col>12</xdr:col>
      <xdr:colOff>447675</xdr:colOff>
      <xdr:row>70</xdr:row>
      <xdr:rowOff>161924</xdr:rowOff>
    </xdr:to>
    <xdr:graphicFrame macro="">
      <xdr:nvGraphicFramePr>
        <xdr:cNvPr id="7" name="Chart 6">
          <a:extLst>
            <a:ext uri="{FF2B5EF4-FFF2-40B4-BE49-F238E27FC236}">
              <a16:creationId xmlns:a16="http://schemas.microsoft.com/office/drawing/2014/main" id="{3DDF8E04-0CAD-AAA0-6DD3-0C4369715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428625</xdr:colOff>
      <xdr:row>23</xdr:row>
      <xdr:rowOff>123826</xdr:rowOff>
    </xdr:from>
    <xdr:to>
      <xdr:col>17</xdr:col>
      <xdr:colOff>0</xdr:colOff>
      <xdr:row>34</xdr:row>
      <xdr:rowOff>161925</xdr:rowOff>
    </xdr:to>
    <mc:AlternateContent xmlns:mc="http://schemas.openxmlformats.org/markup-compatibility/2006" xmlns:a14="http://schemas.microsoft.com/office/drawing/2010/main">
      <mc:Choice Requires="a14">
        <xdr:graphicFrame macro="">
          <xdr:nvGraphicFramePr>
            <xdr:cNvPr id="11" name="Age Groups">
              <a:extLst>
                <a:ext uri="{FF2B5EF4-FFF2-40B4-BE49-F238E27FC236}">
                  <a16:creationId xmlns:a16="http://schemas.microsoft.com/office/drawing/2014/main" id="{A63D0E81-1F84-8A15-C873-B64922CE3725}"/>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2696825" y="4286251"/>
              <a:ext cx="1828800" cy="202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847725</xdr:colOff>
      <xdr:row>39</xdr:row>
      <xdr:rowOff>133350</xdr:rowOff>
    </xdr:from>
    <xdr:to>
      <xdr:col>15</xdr:col>
      <xdr:colOff>400050</xdr:colOff>
      <xdr:row>49</xdr:row>
      <xdr:rowOff>161925</xdr:rowOff>
    </xdr:to>
    <mc:AlternateContent xmlns:mc="http://schemas.openxmlformats.org/markup-compatibility/2006" xmlns:a14="http://schemas.microsoft.com/office/drawing/2010/main">
      <mc:Choice Requires="a14">
        <xdr:graphicFrame macro="">
          <xdr:nvGraphicFramePr>
            <xdr:cNvPr id="4" name="Vehicle Age Groups">
              <a:extLst>
                <a:ext uri="{FF2B5EF4-FFF2-40B4-BE49-F238E27FC236}">
                  <a16:creationId xmlns:a16="http://schemas.microsoft.com/office/drawing/2014/main" id="{C46F49D1-4A1C-54B4-D504-B0CC71D922C4}"/>
                </a:ext>
              </a:extLst>
            </xdr:cNvPr>
            <xdr:cNvGraphicFramePr/>
          </xdr:nvGraphicFramePr>
          <xdr:xfrm>
            <a:off x="0" y="0"/>
            <a:ext cx="0" cy="0"/>
          </xdr:xfrm>
          <a:graphic>
            <a:graphicData uri="http://schemas.microsoft.com/office/drawing/2010/slicer">
              <sle:slicer xmlns:sle="http://schemas.microsoft.com/office/drawing/2010/slicer" name="Vehicle Age Groups"/>
            </a:graphicData>
          </a:graphic>
        </xdr:graphicFrame>
      </mc:Choice>
      <mc:Fallback xmlns="">
        <xdr:sp macro="" textlink="">
          <xdr:nvSpPr>
            <xdr:cNvPr id="0" name=""/>
            <xdr:cNvSpPr>
              <a:spLocks noTextEdit="1"/>
            </xdr:cNvSpPr>
          </xdr:nvSpPr>
          <xdr:spPr>
            <a:xfrm>
              <a:off x="10201275" y="7191375"/>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461962</xdr:colOff>
      <xdr:row>76</xdr:row>
      <xdr:rowOff>47625</xdr:rowOff>
    </xdr:from>
    <xdr:to>
      <xdr:col>18</xdr:col>
      <xdr:colOff>547687</xdr:colOff>
      <xdr:row>91</xdr:row>
      <xdr:rowOff>76200</xdr:rowOff>
    </xdr:to>
    <xdr:graphicFrame macro="">
      <xdr:nvGraphicFramePr>
        <xdr:cNvPr id="10" name="Chart 9">
          <a:extLst>
            <a:ext uri="{FF2B5EF4-FFF2-40B4-BE49-F238E27FC236}">
              <a16:creationId xmlns:a16="http://schemas.microsoft.com/office/drawing/2014/main" id="{1A9EF46D-D649-4C2B-7044-8FFF8B06A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228600</xdr:colOff>
      <xdr:row>76</xdr:row>
      <xdr:rowOff>133351</xdr:rowOff>
    </xdr:from>
    <xdr:to>
      <xdr:col>21</xdr:col>
      <xdr:colOff>704850</xdr:colOff>
      <xdr:row>83</xdr:row>
      <xdr:rowOff>142876</xdr:rowOff>
    </xdr:to>
    <mc:AlternateContent xmlns:mc="http://schemas.openxmlformats.org/markup-compatibility/2006" xmlns:a14="http://schemas.microsoft.com/office/drawing/2010/main">
      <mc:Choice Requires="a14">
        <xdr:graphicFrame macro="">
          <xdr:nvGraphicFramePr>
            <xdr:cNvPr id="12" name="Prior Claims">
              <a:extLst>
                <a:ext uri="{FF2B5EF4-FFF2-40B4-BE49-F238E27FC236}">
                  <a16:creationId xmlns:a16="http://schemas.microsoft.com/office/drawing/2014/main" id="{B3B735A5-3FD6-5E70-B2CD-BE94FA6C5433}"/>
                </a:ext>
              </a:extLst>
            </xdr:cNvPr>
            <xdr:cNvGraphicFramePr/>
          </xdr:nvGraphicFramePr>
          <xdr:xfrm>
            <a:off x="0" y="0"/>
            <a:ext cx="0" cy="0"/>
          </xdr:xfrm>
          <a:graphic>
            <a:graphicData uri="http://schemas.microsoft.com/office/drawing/2010/slicer">
              <sle:slicer xmlns:sle="http://schemas.microsoft.com/office/drawing/2010/slicer" name="Prior Claims"/>
            </a:graphicData>
          </a:graphic>
        </xdr:graphicFrame>
      </mc:Choice>
      <mc:Fallback xmlns="">
        <xdr:sp macro="" textlink="">
          <xdr:nvSpPr>
            <xdr:cNvPr id="0" name=""/>
            <xdr:cNvSpPr>
              <a:spLocks noTextEdit="1"/>
            </xdr:cNvSpPr>
          </xdr:nvSpPr>
          <xdr:spPr>
            <a:xfrm>
              <a:off x="14763750" y="13887451"/>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385761</xdr:colOff>
      <xdr:row>91</xdr:row>
      <xdr:rowOff>161925</xdr:rowOff>
    </xdr:from>
    <xdr:to>
      <xdr:col>11</xdr:col>
      <xdr:colOff>485774</xdr:colOff>
      <xdr:row>107</xdr:row>
      <xdr:rowOff>9525</xdr:rowOff>
    </xdr:to>
    <xdr:graphicFrame macro="">
      <xdr:nvGraphicFramePr>
        <xdr:cNvPr id="13" name="RTofClaimsAS">
          <a:extLst>
            <a:ext uri="{FF2B5EF4-FFF2-40B4-BE49-F238E27FC236}">
              <a16:creationId xmlns:a16="http://schemas.microsoft.com/office/drawing/2014/main" id="{9FF131A3-DB93-9B6A-7921-89FFC90AF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133350</xdr:colOff>
      <xdr:row>104</xdr:row>
      <xdr:rowOff>47625</xdr:rowOff>
    </xdr:from>
    <xdr:to>
      <xdr:col>17</xdr:col>
      <xdr:colOff>528637</xdr:colOff>
      <xdr:row>118</xdr:row>
      <xdr:rowOff>38100</xdr:rowOff>
    </xdr:to>
    <xdr:graphicFrame macro="">
      <xdr:nvGraphicFramePr>
        <xdr:cNvPr id="8" name="Chart 7">
          <a:extLst>
            <a:ext uri="{FF2B5EF4-FFF2-40B4-BE49-F238E27FC236}">
              <a16:creationId xmlns:a16="http://schemas.microsoft.com/office/drawing/2014/main" id="{14C31EBC-6183-71B6-4D0D-0A337B116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mer" refreshedDate="46027.832882060182" createdVersion="8" refreshedVersion="8" minRefreshableVersion="3" recordCount="1661" xr:uid="{4611E5F0-B018-48BD-8662-2A8765D43B64}">
  <cacheSource type="worksheet">
    <worksheetSource name="TransformedData"/>
  </cacheSource>
  <cacheFields count="11">
    <cacheField name="Age" numFmtId="1">
      <sharedItems containsSemiMixedTypes="0" containsString="0" containsNumber="1" containsInteger="1" minValue="18" maxValue="90" count="73">
        <n v="75"/>
        <n v="47"/>
        <n v="82"/>
        <n v="86"/>
        <n v="58"/>
        <n v="87"/>
        <n v="59"/>
        <n v="83"/>
        <n v="90"/>
        <n v="65"/>
        <n v="57"/>
        <n v="41"/>
        <n v="35"/>
        <n v="48"/>
        <n v="29"/>
        <n v="28"/>
        <n v="37"/>
        <n v="80"/>
        <n v="50"/>
        <n v="76"/>
        <n v="72"/>
        <n v="69"/>
        <n v="52"/>
        <n v="62"/>
        <n v="36"/>
        <n v="74"/>
        <n v="53"/>
        <n v="84"/>
        <n v="85"/>
        <n v="70"/>
        <n v="60"/>
        <n v="89"/>
        <n v="66"/>
        <n v="71"/>
        <n v="79"/>
        <n v="46"/>
        <n v="54"/>
        <n v="44"/>
        <n v="34"/>
        <n v="81"/>
        <n v="40"/>
        <n v="63"/>
        <n v="68"/>
        <n v="38"/>
        <n v="22"/>
        <n v="49"/>
        <n v="78"/>
        <n v="30"/>
        <n v="56"/>
        <n v="55"/>
        <n v="43"/>
        <n v="23"/>
        <n v="88"/>
        <n v="73"/>
        <n v="77"/>
        <n v="19"/>
        <n v="39"/>
        <n v="64"/>
        <n v="33"/>
        <n v="26"/>
        <n v="42"/>
        <n v="25"/>
        <n v="51"/>
        <n v="24"/>
        <n v="31"/>
        <n v="67"/>
        <n v="27"/>
        <n v="45"/>
        <n v="61"/>
        <n v="20"/>
        <n v="32"/>
        <n v="18"/>
        <n v="21"/>
      </sharedItems>
      <fieldGroup base="0">
        <rangePr startNum="18" endNum="90" groupInterval="9"/>
        <groupItems count="10">
          <s v="&lt;18"/>
          <s v="18-26"/>
          <s v="27-35"/>
          <s v="36-44"/>
          <s v="45-53"/>
          <s v="54-62"/>
          <s v="63-71"/>
          <s v="72-80"/>
          <s v="81-90"/>
          <s v="&gt;90"/>
        </groupItems>
      </fieldGroup>
    </cacheField>
    <cacheField name="Vehicle Age" numFmtId="1">
      <sharedItems containsSemiMixedTypes="0" containsString="0" containsNumber="1" containsInteger="1" minValue="0" maxValue="15" count="16">
        <n v="15"/>
        <n v="11"/>
        <n v="10"/>
        <n v="4"/>
        <n v="12"/>
        <n v="5"/>
        <n v="6"/>
        <n v="13"/>
        <n v="1"/>
        <n v="3"/>
        <n v="8"/>
        <n v="0"/>
        <n v="2"/>
        <n v="9"/>
        <n v="7"/>
        <n v="14"/>
      </sharedItems>
      <fieldGroup base="1">
        <rangePr startNum="0" endNum="15" groupInterval="3"/>
        <groupItems count="7">
          <s v="&lt;0"/>
          <s v="0-2"/>
          <s v="3-5"/>
          <s v="6-8"/>
          <s v="9-11"/>
          <s v="12-15"/>
          <s v="&gt;15"/>
        </groupItems>
      </fieldGroup>
    </cacheField>
    <cacheField name="Territory" numFmtId="0">
      <sharedItems count="3">
        <s v="Urban"/>
        <s v="Rural"/>
        <s v="Suburban"/>
      </sharedItems>
    </cacheField>
    <cacheField name="Prior Claims" numFmtId="1">
      <sharedItems containsSemiMixedTypes="0" containsString="0" containsNumber="1" containsInteger="1" minValue="0" maxValue="5" count="6">
        <n v="0"/>
        <n v="1"/>
        <n v="2"/>
        <n v="3"/>
        <n v="5"/>
        <n v="4"/>
      </sharedItems>
    </cacheField>
    <cacheField name="Exposure" numFmtId="2">
      <sharedItems containsSemiMixedTypes="0" containsString="0" containsNumber="1" minValue="0.500473316409625" maxValue="0.99996223091147796" count="1661">
        <n v="0.65111532679293305"/>
        <n v="0.71687950438354198"/>
        <n v="0.58026045572478302"/>
        <n v="0.91151335567701597"/>
        <n v="0.79452270199544694"/>
        <n v="0.93558991258032598"/>
        <n v="0.55298273055814195"/>
        <n v="0.89764232444576897"/>
        <n v="0.69570920569822203"/>
        <n v="0.59898808773141399"/>
        <n v="0.93099966982845195"/>
        <n v="0.57867345144040905"/>
        <n v="0.85070176713634305"/>
        <n v="0.62027452653273896"/>
        <n v="0.74428722739685305"/>
        <n v="0.99091912899166301"/>
        <n v="0.97911363583989397"/>
        <n v="0.774889929685742"/>
        <n v="0.75714224437251698"/>
        <n v="0.92827308794949204"/>
        <n v="0.99301113595720403"/>
        <n v="0.705553260282613"/>
        <n v="0.67646142921876196"/>
        <n v="0.51503362855874002"/>
        <n v="0.83705900656059395"/>
        <n v="0.65121764701325402"/>
        <n v="0.96968010102864399"/>
        <n v="0.83959366288036097"/>
        <n v="0.88657760852947798"/>
        <n v="0.72061545529868498"/>
        <n v="0.89769467222504296"/>
        <n v="0.61373866908252195"/>
        <n v="0.88598283461760696"/>
        <n v="0.75378692673984904"/>
        <n v="0.80762801493983705"/>
        <n v="0.78558389795944095"/>
        <n v="0.80171568412333705"/>
        <n v="0.538857830921188"/>
        <n v="0.78029774490278203"/>
        <n v="0.79895769385620996"/>
        <n v="0.80853295396082103"/>
        <n v="0.94790463091339905"/>
        <n v="0.93939215433783796"/>
        <n v="0.54574177763424803"/>
        <n v="0.74874647019896701"/>
        <n v="0.629552491474897"/>
        <n v="0.91522858978714805"/>
        <n v="0.99132974492385995"/>
        <n v="0.59704329341184303"/>
        <n v="0.55029511940665499"/>
        <n v="0.77941272454336297"/>
        <n v="0.61551692150533199"/>
        <n v="0.65291596320457801"/>
        <n v="0.87438498274423204"/>
        <n v="0.861051668180153"/>
        <n v="0.90167695004492998"/>
        <n v="0.81084354303311601"/>
        <n v="0.67931016453076198"/>
        <n v="0.75531891034915999"/>
        <n v="0.95315245038364105"/>
        <n v="0.87106551195029203"/>
        <n v="0.92160588654223796"/>
        <n v="0.55578605399932701"/>
        <n v="0.82195019361097399"/>
        <n v="0.82995675585698303"/>
        <n v="0.738948980928399"/>
        <n v="0.57346509536728296"/>
        <n v="0.610677823075093"/>
        <n v="0.84325021773111097"/>
        <n v="0.62520923698320996"/>
        <n v="0.77206845849286798"/>
        <n v="0.99073705403134205"/>
        <n v="0.77853115263860695"/>
        <n v="0.88949898525606796"/>
        <n v="0.50566426967270695"/>
        <n v="0.65758309420198202"/>
        <n v="0.90718335320707399"/>
        <n v="0.75179499795194704"/>
        <n v="0.58848821208812296"/>
        <n v="0.92735348688438501"/>
        <n v="0.80164284550119203"/>
        <n v="0.53679222310893204"/>
        <n v="0.62750854284968205"/>
        <n v="0.50886638660449501"/>
        <n v="0.85632037743926004"/>
        <n v="0.78970194153953299"/>
        <n v="0.82096712815109596"/>
        <n v="0.87630027323029902"/>
        <n v="0.62686660001054395"/>
        <n v="0.84526191710028797"/>
        <n v="0.748309765476733"/>
        <n v="0.75038690085057203"/>
        <n v="0.77344800776336298"/>
        <n v="0.77371832623612102"/>
        <n v="0.90850637131370604"/>
        <n v="0.713988733943552"/>
        <n v="0.58292277448344998"/>
        <n v="0.68377158290240903"/>
        <n v="0.74344746186398003"/>
        <n v="0.85743390710558698"/>
        <n v="0.84257255948614296"/>
        <n v="0.93592614971566901"/>
        <n v="0.67851213854737602"/>
        <n v="0.96857614314649298"/>
        <n v="0.933514052652754"/>
        <n v="0.63217531901318602"/>
        <n v="0.98796362604480203"/>
        <n v="0.81329139834269903"/>
        <n v="0.65541656047571495"/>
        <n v="0.56350178993307098"/>
        <n v="0.50415755610447399"/>
        <n v="0.73212157201487604"/>
        <n v="0.62895711418241296"/>
        <n v="0.61527055187616497"/>
        <n v="0.58432733011432003"/>
        <n v="0.86184959812089801"/>
        <n v="0.77274514350574497"/>
        <n v="0.96210743580013502"/>
        <n v="0.67568333388771895"/>
        <n v="0.91256454016547695"/>
        <n v="0.80612748384010002"/>
        <n v="0.64818763814400904"/>
        <n v="0.79745267296675604"/>
        <n v="0.61685202107764803"/>
        <n v="0.92355879454407797"/>
        <n v="0.65245102508924901"/>
        <n v="0.66866902110632498"/>
        <n v="0.74262389948125895"/>
        <n v="0.86297012551221997"/>
        <n v="0.53335015475750003"/>
        <n v="0.76135787344537698"/>
        <n v="0.61398979229852602"/>
        <n v="0.61591647425666496"/>
        <n v="0.8683701941045"/>
        <n v="0.82857680378947396"/>
        <n v="0.71298241277690999"/>
        <n v="0.90582513343542803"/>
        <n v="0.99702549260109696"/>
        <n v="0.91372956719715104"/>
        <n v="0.820300590596162"/>
        <n v="0.94103759888093896"/>
        <n v="0.92126999795436904"/>
        <n v="0.64206686185207196"/>
        <n v="0.63088685704860803"/>
        <n v="0.91058465791866205"/>
        <n v="0.64968882291577801"/>
        <n v="0.98453369038179495"/>
        <n v="0.78620162676088501"/>
        <n v="0.80121826496906601"/>
        <n v="0.95169593440368805"/>
        <n v="0.71212846157140997"/>
        <n v="0.65929320815485004"/>
        <n v="0.85455438785720605"/>
        <n v="0.84808780078310497"/>
        <n v="0.55675467685796298"/>
        <n v="0.55846472084522203"/>
        <n v="0.81785217439755797"/>
        <n v="0.90058636944741"/>
        <n v="0.66433537681586996"/>
        <n v="0.85424982802942395"/>
        <n v="0.64560385362710804"/>
        <n v="0.68718456476926804"/>
        <n v="0.51063093647826496"/>
        <n v="0.97768985934089903"/>
        <n v="0.51511269283946604"/>
        <n v="0.51482073543593299"/>
        <n v="0.95681243180297304"/>
        <n v="0.94333879579789903"/>
        <n v="0.815796413342468"/>
        <n v="0.73751410108525295"/>
        <n v="0.65740710706450001"/>
        <n v="0.73991507105529297"/>
        <n v="0.74476612103171602"/>
        <n v="0.96767770103178896"/>
        <n v="0.80727581505197998"/>
        <n v="0.67078780545853101"/>
        <n v="0.79682715784292701"/>
        <n v="0.57012449647299901"/>
        <n v="0.97472626483067903"/>
        <n v="0.89031740196514897"/>
        <n v="0.99855707120150305"/>
        <n v="0.72912481392268103"/>
        <n v="0.92772241414058998"/>
        <n v="0.85792603902518705"/>
        <n v="0.90478027227800295"/>
        <n v="0.90890787588432398"/>
        <n v="0.70919784170109801"/>
        <n v="0.633555531734601"/>
        <n v="0.74311877309810404"/>
        <n v="0.73749001149553794"/>
        <n v="0.74192119645886101"/>
        <n v="0.85094006813596901"/>
        <n v="0.847106766072102"/>
        <n v="0.73848077212460295"/>
        <n v="0.885539042763412"/>
        <n v="0.78038117918185901"/>
        <n v="0.86576987069565803"/>
        <n v="0.87003449560143098"/>
        <n v="0.86141785350628197"/>
        <n v="0.61964352428913105"/>
        <n v="0.96846495638601504"/>
        <n v="0.81556152389384795"/>
        <n v="0.76358346920460496"/>
        <n v="0.68242582085076697"/>
        <n v="0.68821542733348895"/>
        <n v="0.61897721525747296"/>
        <n v="0.82476876513101205"/>
        <n v="0.97188827604986705"/>
        <n v="0.91964136075694103"/>
        <n v="0.57366530655417602"/>
        <n v="0.50611407472752001"/>
        <n v="0.83338230685330905"/>
        <n v="0.73342463013250403"/>
        <n v="0.83396960049867597"/>
        <n v="0.97152755991555795"/>
        <n v="0.680070649832487"/>
        <n v="0.66204680595547005"/>
        <n v="0.506494307424873"/>
        <n v="0.89820033614523698"/>
        <n v="0.75783263775520004"/>
        <n v="0.53171092143748"/>
        <n v="0.85326003213413104"/>
        <n v="0.69013189012184695"/>
        <n v="0.82206131238490299"/>
        <n v="0.74894434912130203"/>
        <n v="0.560754496138543"/>
        <n v="0.81326373363845095"/>
        <n v="0.99555077566765204"/>
        <n v="0.61146752617787603"/>
        <n v="0.69095724029466499"/>
        <n v="0.93101462023332704"/>
        <n v="0.74466794705949702"/>
        <n v="0.73506445053499203"/>
        <n v="0.69400230713654298"/>
        <n v="0.84932726447004803"/>
        <n v="0.55320298695005499"/>
        <n v="0.83211291837505996"/>
        <n v="0.75643697252962705"/>
        <n v="0.590903456555679"/>
        <n v="0.95609817537479103"/>
        <n v="0.61562475527171001"/>
        <n v="0.900705178501084"/>
        <n v="0.58233622112311401"/>
        <n v="0.90177742810919903"/>
        <n v="0.87514263333287101"/>
        <n v="0.958052747417241"/>
        <n v="0.56311910715885505"/>
        <n v="0.87595043319743104"/>
        <n v="0.58827902539633203"/>
        <n v="0.97854689368978098"/>
        <n v="0.90105238417163502"/>
        <n v="0.85721059865318205"/>
        <n v="0.63147188420407496"/>
        <n v="0.94074377976357904"/>
        <n v="0.682751546031795"/>
        <n v="0.98299857450183503"/>
        <n v="0.67012139747384902"/>
        <n v="0.90042854216881096"/>
        <n v="0.79420555650722202"/>
        <n v="0.72182037029415402"/>
        <n v="0.66517387959174801"/>
        <n v="0.66191011480987105"/>
        <n v="0.90032590390182998"/>
        <n v="0.71376359765417896"/>
        <n v="0.55276762740686503"/>
        <n v="0.66866893821861595"/>
        <n v="0.90315666724927701"/>
        <n v="0.73037886759266302"/>
        <n v="0.82542558468412597"/>
        <n v="0.96864303783513594"/>
        <n v="0.92982404935173701"/>
        <n v="0.725829866831191"/>
        <n v="0.660553129157051"/>
        <n v="0.95127338706515696"/>
        <n v="0.67336539749521795"/>
        <n v="0.97290964866988405"/>
        <n v="0.89080430183093995"/>
        <n v="0.85499921371229004"/>
        <n v="0.54179734305944305"/>
        <n v="0.84509699698537599"/>
        <n v="0.52431060816161301"/>
        <n v="0.89324470644351095"/>
        <n v="0.71112766733858701"/>
        <n v="0.93285701738204796"/>
        <n v="0.767095420742407"/>
        <n v="0.60497412877157297"/>
        <n v="0.87800442788284305"/>
        <n v="0.87068855192046601"/>
        <n v="0.64985891769174498"/>
        <n v="0.59533206047490195"/>
        <n v="0.80002325156237897"/>
        <n v="0.98284193978179202"/>
        <n v="0.53344591078348502"/>
        <n v="0.50065656797960401"/>
        <n v="0.96473667386453599"/>
        <n v="0.80767214193474501"/>
        <n v="0.60979014297481604"/>
        <n v="0.99059424560982701"/>
        <n v="0.94543461664579798"/>
        <n v="0.959398106439039"/>
        <n v="0.79868855024687901"/>
        <n v="0.969576795119792"/>
        <n v="0.82490353810135297"/>
        <n v="0.77681175712495998"/>
        <n v="0.773537914501503"/>
        <n v="0.64652010344434496"/>
        <n v="0.96491319686174404"/>
        <n v="0.753905533929355"/>
        <n v="0.66445410321466603"/>
        <n v="0.62580901116598397"/>
        <n v="0.68959062697831497"/>
        <n v="0.63079013442620602"/>
        <n v="0.624967026175"/>
        <n v="0.765823000576347"/>
        <n v="0.81568208918906704"/>
        <n v="0.72866292914841302"/>
        <n v="0.52295485557988297"/>
        <n v="0.94283066852949604"/>
        <n v="0.68637077580206096"/>
        <n v="0.562240007566288"/>
        <n v="0.71943037933669995"/>
        <n v="0.85896802879869905"/>
        <n v="0.92669945571105905"/>
        <n v="0.85455970978364304"/>
        <n v="0.85887881403323296"/>
        <n v="0.91833070688881002"/>
        <n v="0.92519396543502797"/>
        <n v="0.68949580728076398"/>
        <n v="0.74126117897685595"/>
        <n v="0.83419571316335395"/>
        <n v="0.899667217745446"/>
        <n v="0.55906617315486096"/>
        <n v="0.93903449806384698"/>
        <n v="0.95751920691691295"/>
        <n v="0.94870169367641199"/>
        <n v="0.88756030518561602"/>
        <n v="0.52971291169524204"/>
        <n v="0.85487370064947799"/>
        <n v="0.84754951845388904"/>
        <n v="0.79429905326105699"/>
        <n v="0.974424632731825"/>
        <n v="0.63732044503558405"/>
        <n v="0.92033507721498597"/>
        <n v="0.9380130127538"/>
        <n v="0.73202575754839905"/>
        <n v="0.92118362709879897"/>
        <n v="0.67373898590449199"/>
        <n v="0.78601917426567502"/>
        <n v="0.73468153027351901"/>
        <n v="0.75864064844790802"/>
        <n v="0.936429638648406"/>
        <n v="0.60621002409607205"/>
        <n v="0.85846519551705602"/>
        <n v="0.82728133606724397"/>
        <n v="0.70233493368141398"/>
        <n v="0.98124487884342704"/>
        <n v="0.95990401471499398"/>
        <n v="0.97997704485896997"/>
        <n v="0.97137334826402399"/>
        <n v="0.79113135812804103"/>
        <n v="0.60729242651723303"/>
        <n v="0.94802406511735204"/>
        <n v="0.81030767783522595"/>
        <n v="0.66585481876973096"/>
        <n v="0.71143784804735299"/>
        <n v="0.51460451632738102"/>
        <n v="0.94549614330753695"/>
        <n v="0.67171278316527605"/>
        <n v="0.94708799268119004"/>
        <n v="0.91268114384729404"/>
        <n v="0.95343400677666101"/>
        <n v="0.703750186017714"/>
        <n v="0.64302865962963596"/>
        <n v="0.51441617857199196"/>
        <n v="0.98563178745098401"/>
        <n v="0.94167032430414099"/>
        <n v="0.87984340067487199"/>
        <n v="0.55092195456381898"/>
        <n v="0.72299527935683705"/>
        <n v="0.673366459319368"/>
        <n v="0.98760859691537906"/>
        <n v="0.93263278820086304"/>
        <n v="0.75394112290814497"/>
        <n v="0.56348737410735295"/>
        <n v="0.87618835398461703"/>
        <n v="0.52910191169939902"/>
        <n v="0.85596904018893805"/>
        <n v="0.93042007461190201"/>
        <n v="0.745744982617907"/>
        <n v="0.82005879899952605"/>
        <n v="0.62494949286337897"/>
        <n v="0.80621414538472902"/>
        <n v="0.5308536964003"/>
        <n v="0.50181493186391901"/>
        <n v="0.61971618514507998"/>
        <n v="0.75353334960527696"/>
        <n v="0.92480938299559101"/>
        <n v="0.56765074911527302"/>
        <n v="0.85369306791108102"/>
        <n v="0.67620065016672004"/>
        <n v="0.87437559408135701"/>
        <n v="0.64180208207108103"/>
        <n v="0.70869262597989302"/>
        <n v="0.75550622446462501"/>
        <n v="0.64897303155157704"/>
        <n v="0.81264651077799499"/>
        <n v="0.78164676204323802"/>
        <n v="0.85519415279850397"/>
        <n v="0.51857815647963401"/>
        <n v="0.88648156239651099"/>
        <n v="0.97339726577047303"/>
        <n v="0.80380609747953702"/>
        <n v="0.75766974908765405"/>
        <n v="0.81254852493293594"/>
        <n v="0.75764075340703096"/>
        <n v="0.97376206016633704"/>
        <n v="0.662434851983562"/>
        <n v="0.586500464822166"/>
        <n v="0.77404580730944905"/>
        <n v="0.80595681373961303"/>
        <n v="0.59278463444206897"/>
        <n v="0.71496351703535799"/>
        <n v="0.61692953389138006"/>
        <n v="0.68612537870649204"/>
        <n v="0.66003978461958501"/>
        <n v="0.83126793499104701"/>
        <n v="0.56582448456902101"/>
        <n v="0.91263434721622605"/>
        <n v="0.91528332978487004"/>
        <n v="0.99030123907141399"/>
        <n v="0.80211120948661097"/>
        <n v="0.91015071317087903"/>
        <n v="0.63569496292620897"/>
        <n v="0.71324184990953698"/>
        <n v="0.766752532683313"/>
        <n v="0.76595023821573704"/>
        <n v="0.88420022372156404"/>
        <n v="0.83808058092836302"/>
        <n v="0.93633205583319101"/>
        <n v="0.85142077843192998"/>
        <n v="0.57075538788922098"/>
        <n v="0.89955461013596505"/>
        <n v="0.58295828558038898"/>
        <n v="0.80423272203188401"/>
        <n v="0.82285347348079096"/>
        <n v="0.56469028606079497"/>
        <n v="0.82363804511260197"/>
        <n v="0.66101376642472998"/>
        <n v="0.82863849645946197"/>
        <n v="0.538164040772244"/>
        <n v="0.90640645974781398"/>
        <n v="0.61818823788780697"/>
        <n v="0.61087950353976295"/>
        <n v="0.87188425997737795"/>
        <n v="0.67362998996395596"/>
        <n v="0.63009102188516397"/>
        <n v="0.90688611776567996"/>
        <n v="0.76921018527355001"/>
        <n v="0.83892356441356197"/>
        <n v="0.933203637134284"/>
        <n v="0.58990891813300494"/>
        <n v="0.90460699913092002"/>
        <n v="0.87667532684281502"/>
        <n v="0.64919622801244303"/>
        <n v="0.704338912037201"/>
        <n v="0.62493163323961198"/>
        <n v="0.97433849307708398"/>
        <n v="0.99514597584493503"/>
        <n v="0.96428100240882497"/>
        <n v="0.77469755220226899"/>
        <n v="0.59603865351527896"/>
        <n v="0.70094088325277004"/>
        <n v="0.635472545283847"/>
        <n v="0.74188613460864905"/>
        <n v="0.96126748877577495"/>
        <n v="0.95470062736421801"/>
        <n v="0.93754826928488899"/>
        <n v="0.656160211074166"/>
        <n v="0.97970277268905204"/>
        <n v="0.96981833968311504"/>
        <n v="0.98440035153180405"/>
        <n v="0.989038202213123"/>
        <n v="0.78987064561806597"/>
        <n v="0.51520399400033101"/>
        <n v="0.53857945220079295"/>
        <n v="0.89685365301556896"/>
        <n v="0.78145583218429204"/>
        <n v="0.83623728924430896"/>
        <n v="0.71866920858155903"/>
        <n v="0.94758694805204902"/>
        <n v="0.87074758578091904"/>
        <n v="0.90005719987675503"/>
        <n v="0.86009165446739599"/>
        <n v="0.65273592236917499"/>
        <n v="0.53972815221641202"/>
        <n v="0.65061226987745602"/>
        <n v="0.88646339101251204"/>
        <n v="0.95082653884310298"/>
        <n v="0.83009200030937802"/>
        <n v="0.86701244825962898"/>
        <n v="0.71148703142534897"/>
        <n v="0.59909384173806801"/>
        <n v="0.95075618627015501"/>
        <n v="0.71394610847346496"/>
        <n v="0.77356994978617899"/>
        <n v="0.754275677143596"/>
        <n v="0.61582106770947598"/>
        <n v="0.82266212557442497"/>
        <n v="0.60021393024362601"/>
        <n v="0.81225285306572903"/>
        <n v="0.70572337787598405"/>
        <n v="0.73596550000365801"/>
        <n v="0.68950293050147604"/>
        <n v="0.85394219972658902"/>
        <n v="0.754392649396323"/>
        <n v="0.51867355045396801"/>
        <n v="0.93654210970271401"/>
        <n v="0.95546470046974696"/>
        <n v="0.77404210064560197"/>
        <n v="0.84691071824636299"/>
        <n v="0.97482960193883605"/>
        <n v="0.98251456546131499"/>
        <n v="0.65604918776080001"/>
        <n v="0.99873096309602305"/>
        <n v="0.50110715033952102"/>
        <n v="0.81268949597142603"/>
        <n v="0.56424665474332902"/>
        <n v="0.83212758973240897"/>
        <n v="0.81226229772437397"/>
        <n v="0.60631663200911101"/>
        <n v="0.65253153385128804"/>
        <n v="0.84729221754241701"/>
        <n v="0.983398282318376"/>
        <n v="0.87796568276826303"/>
        <n v="0.62792470457497995"/>
        <n v="0.536795240826905"/>
        <n v="0.69806282978970602"/>
        <n v="0.60427594720386002"/>
        <n v="0.60352267895359502"/>
        <n v="0.913696410483681"/>
        <n v="0.85493780544493303"/>
        <n v="0.88987030729185801"/>
        <n v="0.72121090942528099"/>
        <n v="0.91083311464171901"/>
        <n v="0.66366738930810198"/>
        <n v="0.55170233349781495"/>
        <n v="0.89311709953471996"/>
        <n v="0.56331544520799104"/>
        <n v="0.98694340407382697"/>
        <n v="0.89432701631449196"/>
        <n v="0.68259208428207796"/>
        <n v="0.79371798085048795"/>
        <n v="0.69248642225284096"/>
        <n v="0.79762731178197999"/>
        <n v="0.56730974756646901"/>
        <n v="0.84832459641620495"/>
        <n v="0.66628121328540102"/>
        <n v="0.84802583127748199"/>
        <n v="0.65467519965022802"/>
        <n v="0.60240988980513099"/>
        <n v="0.60472963913343802"/>
        <n v="0.84582318167667803"/>
        <n v="0.78461261349730205"/>
        <n v="0.74125906883273296"/>
        <n v="0.800547659629956"/>
        <n v="0.92189351818524301"/>
        <n v="0.57850091485306598"/>
        <n v="0.92494104348588702"/>
        <n v="0.72063157928641897"/>
        <n v="0.55529015080537603"/>
        <n v="0.79820652212947596"/>
        <n v="0.87036710092797898"/>
        <n v="0.57616825017612405"/>
        <n v="0.83159870887175202"/>
        <n v="0.58621986396610704"/>
        <n v="0.99233058269601304"/>
        <n v="0.60548681963700801"/>
        <n v="0.84759253985248495"/>
        <n v="0.72004229039885104"/>
        <n v="0.67512548272497996"/>
        <n v="0.64924744877498597"/>
        <n v="0.55894210201222405"/>
        <n v="0.985901037463918"/>
        <n v="0.70512060623150297"/>
        <n v="0.89181316038593605"/>
        <n v="0.72345655981916901"/>
        <n v="0.718877683277242"/>
        <n v="0.66985034279059597"/>
        <n v="0.73753172194119498"/>
        <n v="0.62116601353045597"/>
        <n v="0.77824287756811805"/>
        <n v="0.56393285992089703"/>
        <n v="0.56598872423637703"/>
        <n v="0.66121972189284905"/>
        <n v="0.95492556411773"/>
        <n v="0.73067604447714996"/>
        <n v="0.89275065052788705"/>
        <n v="0.74376538267824799"/>
        <n v="0.92289413791149899"/>
        <n v="0.95583166042342804"/>
        <n v="0.67006433522328701"/>
        <n v="0.54716623330023095"/>
        <n v="0.82759629690554004"/>
        <n v="0.815465341322124"/>
        <n v="0.87263911811169204"/>
        <n v="0.74249413923826102"/>
        <n v="0.84899338509421796"/>
        <n v="0.73685505089815695"/>
        <n v="0.81292075046803802"/>
        <n v="0.74571757158264496"/>
        <n v="0.76632364012766596"/>
        <n v="0.63567927770782295"/>
        <n v="0.89470142254140195"/>
        <n v="0.63204610056709498"/>
        <n v="0.84175170806702204"/>
        <n v="0.99753465794492502"/>
        <n v="0.53434404742438302"/>
        <n v="0.86586113297380496"/>
        <n v="0.67817063303664304"/>
        <n v="0.80833118944428906"/>
        <n v="0.52590274065733"/>
        <n v="0.86960281885694701"/>
        <n v="0.73073483444750298"/>
        <n v="0.57792526390403498"/>
        <n v="0.99678791244514298"/>
        <n v="0.824953875504434"/>
        <n v="0.50266091024968795"/>
        <n v="0.518591019208543"/>
        <n v="0.61901424499228597"/>
        <n v="0.859604717697948"/>
        <n v="0.70969328132923704"/>
        <n v="0.74005009292159196"/>
        <n v="0.84876440279185805"/>
        <n v="0.55352936638519201"/>
        <n v="0.81015520566143095"/>
        <n v="0.674118396709673"/>
        <n v="0.97507046000100706"/>
        <n v="0.71746647648979001"/>
        <n v="0.61576839559711505"/>
        <n v="0.81067816272843596"/>
        <n v="0.66414676152635399"/>
        <n v="0.97521880839485697"/>
        <n v="0.98718544479925197"/>
        <n v="0.60231337964069098"/>
        <n v="0.74586129258386802"/>
        <n v="0.96273159957490895"/>
        <n v="0.91751395678147696"/>
        <n v="0.67710189160425205"/>
        <n v="0.51321451307740096"/>
        <n v="0.85620517935603901"/>
        <n v="0.84022331447340504"/>
        <n v="0.97907157381996501"/>
        <n v="0.96073978440836105"/>
        <n v="0.74269036576151803"/>
        <n v="0.71293750521726895"/>
        <n v="0.92651184916030604"/>
        <n v="0.94493287289515104"/>
        <n v="0.85179086669813797"/>
        <n v="0.62751578434836097"/>
        <n v="0.61485204880591504"/>
        <n v="0.76973697054199897"/>
        <n v="0.53088223538361501"/>
        <n v="0.84309817710891399"/>
        <n v="0.52276450023055099"/>
        <n v="0.77472344785928704"/>
        <n v="0.63476737856399301"/>
        <n v="0.67406265658792097"/>
        <n v="0.94390624831430603"/>
        <n v="0.99811593291815404"/>
        <n v="0.778947863727808"/>
        <n v="0.95652192528359603"/>
        <n v="0.88636837073136099"/>
        <n v="0.85453342564869705"/>
        <n v="0.58303569338750105"/>
        <n v="0.94434590393211704"/>
        <n v="0.79621625749860003"/>
        <n v="0.82018630357924804"/>
        <n v="0.68868315941654101"/>
        <n v="0.57813589065335702"/>
        <n v="0.95000493840780098"/>
        <n v="0.84924676525406495"/>
        <n v="0.63757330761291098"/>
        <n v="0.82997944136150203"/>
        <n v="0.73178073531016696"/>
        <n v="0.86382466636132405"/>
        <n v="0.77942702313885104"/>
        <n v="0.86562970315571897"/>
        <n v="0.82265632390044596"/>
        <n v="0.91999819152988505"/>
        <n v="0.89258453971706297"/>
        <n v="0.81644057645462498"/>
        <n v="0.74118465499486796"/>
        <n v="0.93814816256053701"/>
        <n v="0.84040417219512198"/>
        <n v="0.66726498061325401"/>
        <n v="0.86234287382103503"/>
        <n v="0.68429743743035898"/>
        <n v="0.87154011230450101"/>
        <n v="0.69693764299154304"/>
        <n v="0.633861144771799"/>
        <n v="0.61649590858724002"/>
        <n v="0.93895121337845899"/>
        <n v="0.92566993378568396"/>
        <n v="0.79294506914448004"/>
        <n v="0.55916379787959203"/>
        <n v="0.96043940226081803"/>
        <n v="0.800255512818694"/>
        <n v="0.58318893960677098"/>
        <n v="0.77334148553200099"/>
        <n v="0.52005169214680802"/>
        <n v="0.72549048147629902"/>
        <n v="0.90720567258540497"/>
        <n v="0.86203029169700995"/>
        <n v="0.84739648166578296"/>
        <n v="0.53448214067611799"/>
        <n v="0.73483569780364599"/>
        <n v="0.75774757598992404"/>
        <n v="0.65765231521800205"/>
        <n v="0.66056882892735302"/>
        <n v="0.58424934162758302"/>
        <n v="0.95150800771080002"/>
        <n v="0.93203798600006804"/>
        <n v="0.58267091121524595"/>
        <n v="0.81787674466613702"/>
        <n v="0.58903060993179701"/>
        <n v="0.85014087019953899"/>
        <n v="0.65815559367183596"/>
        <n v="0.64536535146180496"/>
        <n v="0.55097168392967399"/>
        <n v="0.51237311027944099"/>
        <n v="0.65933418227359697"/>
        <n v="0.59501177712809294"/>
        <n v="0.71288690902292695"/>
        <n v="0.75242228363640595"/>
        <n v="0.81039060372859195"/>
        <n v="0.84552466834429696"/>
        <n v="0.69213622866664104"/>
        <n v="0.60763388115447003"/>
        <n v="0.69715018034912601"/>
        <n v="0.95274996373336795"/>
        <n v="0.93837962322868396"/>
        <n v="0.69329811993520696"/>
        <n v="0.63694290886633098"/>
        <n v="0.92545810167211995"/>
        <n v="0.82705294585321099"/>
        <n v="0.63332129316404495"/>
        <n v="0.91502315923571598"/>
        <n v="0.88189692690502897"/>
        <n v="0.66581180202774704"/>
        <n v="0.66144119808450297"/>
        <n v="0.84755996835883696"/>
        <n v="0.51575032982509605"/>
        <n v="0.799144350108691"/>
        <n v="0.73630494775716204"/>
        <n v="0.92820258589927096"/>
        <n v="0.90254893084056698"/>
        <n v="0.66148253635037702"/>
        <n v="0.74931039905641195"/>
        <n v="0.94332485075574402"/>
        <n v="0.72453158174175802"/>
        <n v="0.57919338543433696"/>
        <n v="0.970555781270377"/>
        <n v="0.98417958663776495"/>
        <n v="0.79069774306844898"/>
        <n v="0.68522970273625095"/>
        <n v="0.91236021299846504"/>
        <n v="0.66411252226680495"/>
        <n v="0.565980134764686"/>
        <n v="0.57276088756043497"/>
        <n v="0.550662796129473"/>
        <n v="0.59334161109290995"/>
        <n v="0.72445985197555296"/>
        <n v="0.609470777329989"/>
        <n v="0.80837752087973103"/>
        <n v="0.90192388102877896"/>
        <n v="0.88778847036883202"/>
        <n v="0.79218625451903801"/>
        <n v="0.53332227421924505"/>
        <n v="0.96783707593567703"/>
        <n v="0.97138972103130095"/>
        <n v="0.91985255316831205"/>
        <n v="0.59398309700190999"/>
        <n v="0.96144324040506002"/>
        <n v="0.66229033644776802"/>
        <n v="0.89418518263846603"/>
        <n v="0.80313922383356795"/>
        <n v="0.94934045954141799"/>
        <n v="0.89181332266889501"/>
        <n v="0.750161876785569"/>
        <n v="0.805532513302751"/>
        <n v="0.513081971905194"/>
        <n v="0.62590499327052396"/>
        <n v="0.721118947374634"/>
        <n v="0.97173591528553505"/>
        <n v="0.940726830041967"/>
        <n v="0.60258039645850703"/>
        <n v="0.94542695698328305"/>
        <n v="0.75800961896311503"/>
        <n v="0.712400167365558"/>
        <n v="0.94522193388547704"/>
        <n v="0.82155644113663595"/>
        <n v="0.55025406391359899"/>
        <n v="0.89391619956586499"/>
        <n v="0.95863281015772395"/>
        <n v="0.73542747413739595"/>
        <n v="0.587745082215406"/>
        <n v="0.89571661490481302"/>
        <n v="0.76375467434991196"/>
        <n v="0.88745104544796005"/>
        <n v="0.84417521522846095"/>
        <n v="0.82945711584761705"/>
        <n v="0.55956807348411497"/>
        <n v="0.77014116395730503"/>
        <n v="0.89342433447018299"/>
        <n v="0.75520851474720996"/>
        <n v="0.895143141620792"/>
        <n v="0.68670442537404597"/>
        <n v="0.86073911725543395"/>
        <n v="0.51834667485673003"/>
        <n v="0.90872166515328001"/>
        <n v="0.76430282497312896"/>
        <n v="0.61812993045896303"/>
        <n v="0.87925050337798905"/>
        <n v="0.66100829653441895"/>
        <n v="0.91794432071037602"/>
        <n v="0.65883865451905899"/>
        <n v="0.97005756781436503"/>
        <n v="0.863127285032533"/>
        <n v="0.93874907528515905"/>
        <n v="0.65522548451553997"/>
        <n v="0.65052104403730504"/>
        <n v="0.829425074509345"/>
        <n v="0.81341686949599501"/>
        <n v="0.788426266866736"/>
        <n v="0.88362957851495605"/>
        <n v="0.61028226779308203"/>
        <n v="0.95697905158158403"/>
        <n v="0.95756926178000901"/>
        <n v="0.69842167850583803"/>
        <n v="0.77263582218438398"/>
        <n v="0.88112003949936502"/>
        <n v="0.75833217543549802"/>
        <n v="0.86189648474100999"/>
        <n v="0.89179164427332602"/>
        <n v="0.70230278733652096"/>
        <n v="0.64087976329028595"/>
        <n v="0.60991541831754104"/>
        <n v="0.90106647380161997"/>
        <n v="0.58638500259257897"/>
        <n v="0.76673546293750405"/>
        <n v="0.68087813642341599"/>
        <n v="0.92019794601947102"/>
        <n v="0.67655492038466003"/>
        <n v="0.93541462474968295"/>
        <n v="0.96071999135892805"/>
        <n v="0.97779618692584302"/>
        <n v="0.90296080254484001"/>
        <n v="0.75454366486519597"/>
        <n v="0.93312148028053299"/>
        <n v="0.81244728388264797"/>
        <n v="0.84173218056093901"/>
        <n v="0.96603443473577499"/>
        <n v="0.97428708767984096"/>
        <n v="0.91531921760179102"/>
        <n v="0.66511063266079895"/>
        <n v="0.84346409642603204"/>
        <n v="0.81783559324685495"/>
        <n v="0.70970065623987499"/>
        <n v="0.73103138338774398"/>
        <n v="0.676881426246837"/>
        <n v="0.89597985788714096"/>
        <n v="0.70327626448124603"/>
        <n v="0.52919135754928004"/>
        <n v="0.97467810066882499"/>
        <n v="0.91628269467037204"/>
        <n v="0.95921724173240397"/>
        <n v="0.61802320822607704"/>
        <n v="0.63967542955651902"/>
        <n v="0.86609306314494505"/>
        <n v="0.87794961361214496"/>
        <n v="0.57169121364131603"/>
        <n v="0.62813752400688805"/>
        <n v="0.98435579403303597"/>
        <n v="0.89866146026179206"/>
        <n v="0.92184973484836497"/>
        <n v="0.95233836304396402"/>
        <n v="0.72348834120202798"/>
        <n v="0.93110943760257203"/>
        <n v="0.59343260549940202"/>
        <n v="0.72694587579462699"/>
        <n v="0.89459017431363497"/>
        <n v="0.89586857741232995"/>
        <n v="0.56466349784750502"/>
        <n v="0.82554310350678906"/>
        <n v="0.97405930468812596"/>
        <n v="0.64332013181410697"/>
        <n v="0.66126772563438896"/>
        <n v="0.64225941291078903"/>
        <n v="0.95369726675562605"/>
        <n v="0.81160840624943398"/>
        <n v="0.90244289464317295"/>
        <n v="0.72633698815479897"/>
        <n v="0.95537232689093798"/>
        <n v="0.86986043571960203"/>
        <n v="0.89479774807114199"/>
        <n v="0.679452449316159"/>
        <n v="0.76860484341159496"/>
        <n v="0.93176545109599795"/>
        <n v="0.86703487031627402"/>
        <n v="0.88129950291477099"/>
        <n v="0.68444709200412002"/>
        <n v="0.68718659435398899"/>
        <n v="0.86879900051280901"/>
        <n v="0.71324977581389204"/>
        <n v="0.82716621807776403"/>
        <n v="0.61333056143484999"/>
        <n v="0.58738034009002105"/>
        <n v="0.64801700611133095"/>
        <n v="0.98314303031656902"/>
        <n v="0.99760546500328895"/>
        <n v="0.81930246273986995"/>
        <n v="0.736238594632596"/>
        <n v="0.76464115153066803"/>
        <n v="0.680867501767352"/>
        <n v="0.63416714896448001"/>
        <n v="0.87910018011461899"/>
        <n v="0.81249547179322701"/>
        <n v="0.71969775808975101"/>
        <n v="0.68344675167463698"/>
        <n v="0.92746134288608995"/>
        <n v="0.865896779694594"/>
        <n v="0.64247973461169705"/>
        <n v="0.65508583583868996"/>
        <n v="0.98080961382947895"/>
        <n v="0.515099690062925"/>
        <n v="0.68701285263523504"/>
        <n v="0.572347829234786"/>
        <n v="0.788202683790587"/>
        <n v="0.93104005162604198"/>
        <n v="0.67430539941415202"/>
        <n v="0.97609423799440298"/>
        <n v="0.93923021375667304"/>
        <n v="0.50205538119189397"/>
        <n v="0.78299323935061704"/>
        <n v="0.52103377913590498"/>
        <n v="0.89161447691731199"/>
        <n v="0.93497272278182197"/>
        <n v="0.63454422587528803"/>
        <n v="0.74496597785037"/>
        <n v="0.81121733679901797"/>
        <n v="0.68882862664759203"/>
        <n v="0.69210163154639304"/>
        <n v="0.65887785190716397"/>
        <n v="0.91504742146935303"/>
        <n v="0.95180643966887102"/>
        <n v="0.89635515271220401"/>
        <n v="0.75997743068728596"/>
        <n v="0.80537032522261098"/>
        <n v="0.81130074057728097"/>
        <n v="0.84674836078193005"/>
        <n v="0.61239619727712102"/>
        <n v="0.52369672711938597"/>
        <n v="0.98734171839896601"/>
        <n v="0.87280574324540805"/>
        <n v="0.73444822465535298"/>
        <n v="0.90966336929705005"/>
        <n v="0.699034341610968"/>
        <n v="0.72733613452874102"/>
        <n v="0.92139464092906598"/>
        <n v="0.88138949067797501"/>
        <n v="0.96988116065040197"/>
        <n v="0.65998734417371496"/>
        <n v="0.74099240917712506"/>
        <n v="0.52823797182645604"/>
        <n v="0.81290500191971704"/>
        <n v="0.85097532428335398"/>
        <n v="0.67560485261492398"/>
        <n v="0.92671613069251202"/>
        <n v="0.734749037306756"/>
        <n v="0.631405298714526"/>
        <n v="0.91143117600586299"/>
        <n v="0.90701587824150898"/>
        <n v="0.905082333600149"/>
        <n v="0.72251398733351402"/>
        <n v="0.93260834575630702"/>
        <n v="0.98042614106088899"/>
        <n v="0.64307507104240402"/>
        <n v="0.58210455684456996"/>
        <n v="0.753862212179229"/>
        <n v="0.83889652171637896"/>
        <n v="0.61109112517442599"/>
        <n v="0.62161002913489904"/>
        <n v="0.90333917655516405"/>
        <n v="0.568467786768451"/>
        <n v="0.94081077713053696"/>
        <n v="0.69447466125711799"/>
        <n v="0.81142291275318701"/>
        <n v="0.88744877057615701"/>
        <n v="0.53557309380266804"/>
        <n v="0.83709076838567897"/>
        <n v="0.51956753863487404"/>
        <n v="0.77200287149753399"/>
        <n v="0.92416396376211196"/>
        <n v="0.70539556641597301"/>
        <n v="0.63816080417018395"/>
        <n v="0.51263780239969503"/>
        <n v="0.61734835221432105"/>
        <n v="0.67913794599007804"/>
        <n v="0.85968229314312306"/>
        <n v="0.63353673601522997"/>
        <n v="0.60452628543134801"/>
        <n v="0.90581891743931897"/>
        <n v="0.89923410676419702"/>
        <n v="0.96083094982896"/>
        <n v="0.88581765536218904"/>
        <n v="0.536241582827643"/>
        <n v="0.91836533253081098"/>
        <n v="0.54255704896058898"/>
        <n v="0.59582372673321504"/>
        <n v="0.96659031603485301"/>
        <n v="0.56267244135960903"/>
        <n v="0.87833793018944595"/>
        <n v="0.86712707043625403"/>
        <n v="0.50293717265594795"/>
        <n v="0.55416512116789796"/>
        <n v="0.80468935321550805"/>
        <n v="0.84115615801420096"/>
        <n v="0.68104883434716601"/>
        <n v="0.63315416395198598"/>
        <n v="0.83833493350539401"/>
        <n v="0.75557772698812198"/>
        <n v="0.93561259924899798"/>
        <n v="0.62736692465841803"/>
        <n v="0.55239322292618498"/>
        <n v="0.72805207956116602"/>
        <n v="0.86896196438465301"/>
        <n v="0.84166619996540204"/>
        <n v="0.99808621418196697"/>
        <n v="0.85936766455415603"/>
        <n v="0.94209037465043399"/>
        <n v="0.540276138926856"/>
        <n v="0.84483332023955904"/>
        <n v="0.85190975561272397"/>
        <n v="0.95166764047462504"/>
        <n v="0.75716377119533695"/>
        <n v="0.78570665582083199"/>
        <n v="0.93189432402141403"/>
        <n v="0.93640584859531395"/>
        <n v="0.94004401308484398"/>
        <n v="0.70915698574390296"/>
        <n v="0.87283783324528497"/>
        <n v="0.87251022213604301"/>
        <n v="0.93637312622740898"/>
        <n v="0.82825949089601603"/>
        <n v="0.54081531893461898"/>
        <n v="0.99273176002316199"/>
        <n v="0.94690343469847005"/>
        <n v="0.69131437502801396"/>
        <n v="0.63725204160436999"/>
        <n v="0.70572628709487595"/>
        <n v="0.96703707240521897"/>
        <n v="0.905383233097382"/>
        <n v="0.92647195956669703"/>
        <n v="0.78859587013721499"/>
        <n v="0.83792318508494601"/>
        <n v="0.79101375315804001"/>
        <n v="0.79745735053438704"/>
        <n v="0.93750226811971504"/>
        <n v="0.51304346241522603"/>
        <n v="0.97145200590603098"/>
        <n v="0.73544713784940496"/>
        <n v="0.94291808060370397"/>
        <n v="0.96764550532680005"/>
        <n v="0.98935474141035196"/>
        <n v="0.83763763750903297"/>
        <n v="0.58663146418985002"/>
        <n v="0.53187736112158701"/>
        <n v="0.96172474906779803"/>
        <n v="0.56832000566646501"/>
        <n v="0.74811806005891401"/>
        <n v="0.89641289389692203"/>
        <n v="0.81308572774287302"/>
        <n v="0.71431251382455196"/>
        <n v="0.83706753863953098"/>
        <n v="0.90564397792331897"/>
        <n v="0.91811574238818106"/>
        <n v="0.544346934533678"/>
        <n v="0.90572862036060497"/>
        <n v="0.83150116819888398"/>
        <n v="0.93989961722399995"/>
        <n v="0.80133201053831704"/>
        <n v="0.60938592650927603"/>
        <n v="0.73463143594562996"/>
        <n v="0.670278143836185"/>
        <n v="0.75359077181201395"/>
        <n v="0.67586700420361001"/>
        <n v="0.64176800625864405"/>
        <n v="0.77570830401964497"/>
        <n v="0.99665662460029103"/>
        <n v="0.55700554675422598"/>
        <n v="0.60860166605562005"/>
        <n v="0.91353501845151197"/>
        <n v="0.63086336187552705"/>
        <n v="0.94084697996731803"/>
        <n v="0.96490335662383597"/>
        <n v="0.87476906797383003"/>
        <n v="0.52987619803752795"/>
        <n v="0.92098927346523896"/>
        <n v="0.72400687157642096"/>
        <n v="0.82027888414450001"/>
        <n v="0.64493874844629295"/>
        <n v="0.57557538407854703"/>
        <n v="0.70911454793531403"/>
        <n v="0.90820193279068895"/>
        <n v="0.93351094529498402"/>
        <n v="0.80453844519797701"/>
        <n v="0.75835395499598202"/>
        <n v="0.58537253679241996"/>
        <n v="0.68703832849860202"/>
        <n v="0.75976665085181605"/>
        <n v="0.88418709521647498"/>
        <n v="0.65925504185725003"/>
        <n v="0.97856587241403803"/>
        <n v="0.709942066227086"/>
        <n v="0.68430156121030405"/>
        <n v="0.87943097308743701"/>
        <n v="0.95498356351163205"/>
        <n v="0.68771928793284998"/>
        <n v="0.57309556531254202"/>
        <n v="0.61919013038277604"/>
        <n v="0.97462703683413598"/>
        <n v="0.54577306413557403"/>
        <n v="0.81165638077072799"/>
        <n v="0.63123828312382102"/>
        <n v="0.68417898821644496"/>
        <n v="0.70153981947805699"/>
        <n v="0.59365064906887699"/>
        <n v="0.54900431435089603"/>
        <n v="0.72929177503101505"/>
        <n v="0.85736293473746605"/>
        <n v="0.82856722141150396"/>
        <n v="0.57162133476231203"/>
        <n v="0.65193675784394101"/>
        <n v="0.90387799695599802"/>
        <n v="0.63002751034218796"/>
        <n v="0.89657703426200897"/>
        <n v="0.62937931483611498"/>
        <n v="0.86971386603545398"/>
        <n v="0.74614242371171702"/>
        <n v="0.87052667501848202"/>
        <n v="0.58309492538683105"/>
        <n v="0.96116729592904404"/>
        <n v="0.73227028467226796"/>
        <n v="0.827608364052139"/>
        <n v="0.85438956366851904"/>
        <n v="0.54837735835462798"/>
        <n v="0.65098224685061701"/>
        <n v="0.85004574328195304"/>
        <n v="0.65778904524631798"/>
        <n v="0.66811132151633501"/>
        <n v="0.71548561565577995"/>
        <n v="0.98388365376740705"/>
        <n v="0.86363007244654"/>
        <n v="0.82066292199306201"/>
        <n v="0.86708912043832198"/>
        <n v="0.653454201063141"/>
        <n v="0.52587914105970401"/>
        <n v="0.86961394746322196"/>
        <n v="0.88625617686193403"/>
        <n v="0.96543445764109503"/>
        <n v="0.52974320028442901"/>
        <n v="0.94579655805136997"/>
        <n v="0.90600851119961601"/>
        <n v="0.59175623336341199"/>
        <n v="0.70734751829877496"/>
        <n v="0.80717108631506596"/>
        <n v="0.53786032763309799"/>
        <n v="0.64429524226579804"/>
        <n v="0.68046534154564098"/>
        <n v="0.89806265837978605"/>
        <n v="0.82963139610365"/>
        <n v="0.92697420052718404"/>
        <n v="0.72188464039936695"/>
        <n v="0.67135272931773204"/>
        <n v="0.95802335196640298"/>
        <n v="0.77537576260510799"/>
        <n v="0.93644397379830502"/>
        <n v="0.750390516361222"/>
        <n v="0.88145298545714501"/>
        <n v="0.89401520544197399"/>
        <n v="0.52461687906179599"/>
        <n v="0.93429559795185901"/>
        <n v="0.82010885758791097"/>
        <n v="0.97588424861896805"/>
        <n v="0.82367678650189202"/>
        <n v="0.77549240109510698"/>
        <n v="0.83245853078551602"/>
        <n v="0.50799395819194604"/>
        <n v="0.84292031638324305"/>
        <n v="0.91519718186464205"/>
        <n v="0.69000136235263199"/>
        <n v="0.56876808474771701"/>
        <n v="0.96850869350600999"/>
        <n v="0.745795220253058"/>
        <n v="0.94430208776611801"/>
        <n v="0.68802133074495897"/>
        <n v="0.88723058660980303"/>
        <n v="0.98530477017629903"/>
        <n v="0.601917764986865"/>
        <n v="0.96704818203579601"/>
        <n v="0.90845079347491298"/>
        <n v="0.56963757739868004"/>
        <n v="0.94101003371179104"/>
        <n v="0.95888915564864896"/>
        <n v="0.68500239693094001"/>
        <n v="0.66009089292492695"/>
        <n v="0.91088323213625699"/>
        <n v="0.90940842695999902"/>
        <n v="0.99509968853090003"/>
        <n v="0.90566625364590403"/>
        <n v="0.62007977638859302"/>
        <n v="0.96011107612866897"/>
        <n v="0.51004268985707302"/>
        <n v="0.51301605615299195"/>
        <n v="0.92860522796399902"/>
        <n v="0.91087570798117701"/>
        <n v="0.95123962324578304"/>
        <n v="0.824450458516367"/>
        <n v="0.95557323272805705"/>
        <n v="0.87789330841042101"/>
        <n v="0.73132178070955001"/>
        <n v="0.849292827188037"/>
        <n v="0.88574163988232602"/>
        <n v="0.58652317314408697"/>
        <n v="0.99721940734889403"/>
        <n v="0.84950979985296704"/>
        <n v="0.85591703781392403"/>
        <n v="0.794004873838276"/>
        <n v="0.94556217780336704"/>
        <n v="0.72189162136055496"/>
        <n v="0.94990894140210003"/>
        <n v="0.888637402676977"/>
        <n v="0.54806399578228604"/>
        <n v="0.88293899584095903"/>
        <n v="0.828561020200141"/>
        <n v="0.58963155373930898"/>
        <n v="0.97799324197694704"/>
        <n v="0.559919867897406"/>
        <n v="0.96340488002169899"/>
        <n v="0.81836130050942302"/>
        <n v="0.877123287995346"/>
        <n v="0.50639723858330399"/>
        <n v="0.882965675788"/>
        <n v="0.61028147954493805"/>
        <n v="0.72037052363157295"/>
        <n v="0.97223501349799302"/>
        <n v="0.63996456575114302"/>
        <n v="0.90695428929757305"/>
        <n v="0.86294457572512295"/>
        <n v="0.952948465244845"/>
        <n v="0.984261610428803"/>
        <n v="0.60640485340263695"/>
        <n v="0.96747040271293405"/>
        <n v="0.89177279046270996"/>
        <n v="0.72864496160764203"/>
        <n v="0.90708024136256404"/>
        <n v="0.89486246055457697"/>
        <n v="0.66091505892109104"/>
        <n v="0.77886024606414095"/>
        <n v="0.67213492176961198"/>
        <n v="0.53294620034284901"/>
        <n v="0.84718898776918605"/>
        <n v="0.65723480680026103"/>
        <n v="0.59309511340688903"/>
        <n v="0.78938522259704802"/>
        <n v="0.85001389065291699"/>
        <n v="0.98192361858673405"/>
        <n v="0.86085823795292504"/>
        <n v="0.72552234621252898"/>
        <n v="0.96422269160393603"/>
        <n v="0.98641320155002199"/>
        <n v="0.65066239482257504"/>
        <n v="0.562571526970714"/>
        <n v="0.68416777579113797"/>
        <n v="0.76479837903752901"/>
        <n v="0.67148744931910198"/>
        <n v="0.97363099677022502"/>
        <n v="0.57861357810907099"/>
        <n v="0.93796258303336799"/>
        <n v="0.50048247200902596"/>
        <n v="0.95850810036063205"/>
        <n v="0.69808870332781203"/>
        <n v="0.99996223091147796"/>
        <n v="0.77979176025837704"/>
        <n v="0.57656115840654798"/>
        <n v="0.52878398145548999"/>
        <n v="0.79449210921302404"/>
        <n v="0.80243360914755602"/>
        <n v="0.544849010300823"/>
        <n v="0.91305750852916401"/>
        <n v="0.802527838619426"/>
        <n v="0.91376401041634403"/>
        <n v="0.87001046387013004"/>
        <n v="0.79257064498961005"/>
        <n v="0.76997886050958197"/>
        <n v="0.66382627142593298"/>
        <n v="0.69827423151582502"/>
        <n v="0.70256541913840898"/>
        <n v="0.78415802691597503"/>
        <n v="0.79739160602912296"/>
        <n v="0.91723386442754395"/>
        <n v="0.95906199177261398"/>
        <n v="0.52348911564331502"/>
        <n v="0.81162007979582995"/>
        <n v="0.81355779303703502"/>
        <n v="0.95610220171511195"/>
        <n v="0.85580451064743102"/>
        <n v="0.86934452899731696"/>
        <n v="0.95321029797196399"/>
        <n v="0.82462776522152104"/>
        <n v="0.95989836659282401"/>
        <n v="0.96522183308843501"/>
        <n v="0.95932610752060998"/>
        <n v="0.84398540470283501"/>
        <n v="0.73963969841133803"/>
        <n v="0.805961316335015"/>
        <n v="0.627922523184679"/>
        <n v="0.76278659212402999"/>
        <n v="0.83331679971888695"/>
        <n v="0.792898638406768"/>
        <n v="0.85257747268769901"/>
        <n v="0.91589870175812405"/>
        <n v="0.85353478149045303"/>
        <n v="0.95910073420964204"/>
        <n v="0.81422838207799897"/>
        <n v="0.77468329737894204"/>
        <n v="0.677112589590251"/>
        <n v="0.97625268076080796"/>
        <n v="0.75906941667199102"/>
        <n v="0.72420861118007496"/>
        <n v="0.73775904765352596"/>
        <n v="0.80306803039275099"/>
        <n v="0.86009266448672905"/>
        <n v="0.51334022753872"/>
        <n v="0.51551127783022799"/>
        <n v="0.93274365540128201"/>
        <n v="0.71914840058889196"/>
        <n v="0.85041003173682805"/>
        <n v="0.82951990643050499"/>
        <n v="0.86918557994067702"/>
        <n v="0.57117137126624595"/>
        <n v="0.54303659033030305"/>
        <n v="0.94842770951800004"/>
        <n v="0.98962485860101901"/>
        <n v="0.538230462931097"/>
        <n v="0.93664481968153301"/>
        <n v="0.96340916235931195"/>
        <n v="0.54860866710078005"/>
        <n v="0.72022247663699102"/>
        <n v="0.66389414272271097"/>
        <n v="0.93926261411979795"/>
        <n v="0.67151694395579398"/>
        <n v="0.50877916195895501"/>
        <n v="0.64042238949332397"/>
        <n v="0.79984339093789503"/>
        <n v="0.60384468897245802"/>
        <n v="0.70333289343398098"/>
        <n v="0.984817120945081"/>
        <n v="0.95104398252442501"/>
        <n v="0.57685755391139504"/>
        <n v="0.75635284895542998"/>
        <n v="0.92002004629466705"/>
        <n v="0.66382228990551095"/>
        <n v="0.54930352035444197"/>
        <n v="0.64042079029604804"/>
        <n v="0.91558557120151796"/>
        <n v="0.83914611791260496"/>
        <n v="0.70249809208325997"/>
        <n v="0.87551219516899403"/>
        <n v="0.58425691502634403"/>
        <n v="0.80111935478635099"/>
        <n v="0.63106457074172795"/>
        <n v="0.65270910016260997"/>
        <n v="0.85153752239420999"/>
        <n v="0.74171811412088595"/>
        <n v="0.96637725154869303"/>
        <n v="0.89917220768984396"/>
        <n v="0.78879072470590506"/>
        <n v="0.65284612891264304"/>
        <n v="0.61638999322895005"/>
        <n v="0.88396240305155505"/>
        <n v="0.63126941793598201"/>
        <n v="0.51853532984387096"/>
        <n v="0.71234956732951105"/>
        <n v="0.83125959429889895"/>
        <n v="0.80842638621106699"/>
        <n v="0.88355129642877706"/>
        <n v="0.89492879365570799"/>
        <n v="0.78475199104286697"/>
        <n v="0.79215213586576305"/>
        <n v="0.54304429958574496"/>
        <n v="0.83107013476546898"/>
        <n v="0.85649616795126304"/>
        <n v="0.70229252579156298"/>
        <n v="0.81525162700563703"/>
        <n v="0.97321924462448806"/>
        <n v="0.51431919133756299"/>
        <n v="0.74780894583091095"/>
        <n v="0.94122221833094999"/>
        <n v="0.54568920051679004"/>
        <n v="0.77794474258553203"/>
        <n v="0.92211999441496995"/>
        <n v="0.91610855888575304"/>
        <n v="0.91814607009291604"/>
        <n v="0.535844565485604"/>
        <n v="0.52121205383446101"/>
        <n v="0.53333027905318897"/>
        <n v="0.94662134093232497"/>
        <n v="0.82405564759392302"/>
        <n v="0.845100387348793"/>
        <n v="0.97643180657178197"/>
        <n v="0.662620042799972"/>
        <n v="0.78990993497427597"/>
        <n v="0.66582243458833501"/>
        <n v="0.87748467992059898"/>
        <n v="0.70316384348552696"/>
        <n v="0.57084966928232495"/>
        <n v="0.70249636122025505"/>
        <n v="0.67895761178806402"/>
        <n v="0.80742320779245302"/>
        <n v="0.57149248837958999"/>
        <n v="0.80353848857339505"/>
        <n v="0.603973313351162"/>
        <n v="0.99096571642439801"/>
        <n v="0.78993955824989803"/>
        <n v="0.95236716710496705"/>
        <n v="0.86589006753638398"/>
        <n v="0.60313230799511097"/>
        <n v="0.94535719708073895"/>
        <n v="0.648756310692988"/>
        <n v="0.64465821615885899"/>
        <n v="0.92275993083603702"/>
        <n v="0.73680376238189604"/>
        <n v="0.95420046069193598"/>
        <n v="0.84826234565116498"/>
        <n v="0.80337867117486905"/>
        <n v="0.86048030050005797"/>
        <n v="0.79430417495313999"/>
        <n v="0.68418983300216496"/>
        <n v="0.71755005815066397"/>
        <n v="0.54054103977978196"/>
        <n v="0.99448324774857599"/>
        <n v="0.67676542582921695"/>
        <n v="0.96650560072157499"/>
        <n v="0.74065135954879202"/>
        <n v="0.88177588069811497"/>
        <n v="0.61127283587120496"/>
        <n v="0.92892500420566604"/>
        <n v="0.84370218508411199"/>
        <n v="0.96711019286885902"/>
        <n v="0.93854768120218102"/>
        <n v="0.82926467293873396"/>
        <n v="0.708173536229879"/>
        <n v="0.92641281813848797"/>
        <n v="0.93173803563695401"/>
        <n v="0.75733129249419995"/>
        <n v="0.56417708401568201"/>
        <n v="0.66501127625815604"/>
        <n v="0.70909124717581995"/>
        <n v="0.91384383745025799"/>
        <n v="0.97244976798538096"/>
        <n v="0.86103360145352803"/>
        <n v="0.62392392079345904"/>
        <n v="0.98930901975836605"/>
        <n v="0.92723346792627104"/>
        <n v="0.85410587978549302"/>
        <n v="0.81076916295569401"/>
        <n v="0.53174051095265895"/>
        <n v="0.63305345433764204"/>
        <n v="0.66360210988204904"/>
        <n v="0.71194561931770295"/>
        <n v="0.67687444447074097"/>
        <n v="0.98951301479246501"/>
        <n v="0.64195877150632397"/>
        <n v="0.92309838696382895"/>
        <n v="0.56936759781092405"/>
        <n v="0.94741150643676497"/>
        <n v="0.95665970805566802"/>
        <n v="0.80767150351312"/>
        <n v="0.960295171709731"/>
        <n v="0.64299133408348996"/>
        <n v="0.81412425218149997"/>
        <n v="0.76965308748185601"/>
        <n v="0.75621516513638198"/>
        <n v="0.62395234359428298"/>
        <n v="0.87790453829802595"/>
        <n v="0.66946056101005502"/>
        <n v="0.67018015822395705"/>
        <n v="0.77253457321785401"/>
        <n v="0.72389577794820104"/>
        <n v="0.70288237871136505"/>
        <n v="0.74859553005080703"/>
        <n v="0.80961816816125098"/>
        <n v="0.500473316409625"/>
        <n v="0.90752912242896899"/>
        <n v="0.93815402791369695"/>
        <n v="0.939117950969376"/>
        <n v="0.60580768610816405"/>
        <n v="0.81813663197681297"/>
        <n v="0.78863944939803299"/>
        <n v="0.80775058828294299"/>
        <n v="0.90333406592253596"/>
        <n v="0.54613639542367298"/>
        <n v="0.64996456517837897"/>
        <n v="0.830271165817976"/>
        <n v="0.98617228504735999"/>
        <n v="0.50490531395189497"/>
        <n v="0.63994010770693399"/>
        <n v="0.995057167485356"/>
        <n v="0.97520057123620096"/>
        <n v="0.75684249482583299"/>
        <n v="0.53734756074845802"/>
        <n v="0.78662509366404298"/>
        <n v="0.80164680932648502"/>
        <n v="0.50389213406015199"/>
        <n v="0.63379247637931302"/>
        <n v="0.62800417875405401"/>
        <n v="0.63403113628737595"/>
        <n v="0.86516094650141895"/>
        <n v="0.59587222861591704"/>
        <n v="0.57006137911230303"/>
        <n v="0.74445990240201398"/>
        <n v="0.75180839363019902"/>
        <n v="0.85355184297077402"/>
        <n v="0.66814014036208402"/>
        <n v="0.60509786312468306"/>
        <n v="0.970087257213891"/>
        <n v="0.70612925896421097"/>
        <n v="0.97723450302146397"/>
        <n v="0.94920860906131599"/>
        <n v="0.93442723457701504"/>
        <n v="0.54911684338003397"/>
        <n v="0.95509848056826696"/>
        <n v="0.88772944500669804"/>
        <n v="0.553685340331867"/>
        <n v="0.55019339383579802"/>
        <n v="0.96560776373371504"/>
        <n v="0.97118644963484302"/>
        <n v="0.82106259989086505"/>
        <n v="0.83615059638395905"/>
        <n v="0.750788535457104"/>
        <n v="0.83640336466487497"/>
        <n v="0.92362566944211699"/>
        <n v="0.66332254908047605"/>
        <n v="0.85339088691398501"/>
        <n v="0.80787501868326195"/>
        <n v="0.79854545067064497"/>
        <n v="0.54608348372857995"/>
        <n v="0.55499760597012904"/>
        <n v="0.85842333640903201"/>
        <n v="0.89610927237663396"/>
        <n v="0.762499905307777"/>
        <n v="0.71059073053765998"/>
        <n v="0.66559680539649002"/>
        <n v="0.66373936471063599"/>
        <n v="0.85322701069526397"/>
        <n v="0.53867989790160198"/>
        <n v="0.57698656315915298"/>
        <n v="0.97836825565900698"/>
        <n v="0.673424443579279"/>
        <n v="0.813265352975577"/>
        <n v="0.96266923297662299"/>
        <n v="0.54884801106527403"/>
        <n v="0.98681785480584905"/>
        <n v="0.56997989560477402"/>
        <n v="0.81756507523823496"/>
        <n v="0.91544290084857505"/>
        <n v="0.64111110207159105"/>
        <n v="0.67065460840240099"/>
        <n v="0.64263519982341699"/>
        <n v="0.55146735289599702"/>
        <n v="0.99120365397539001"/>
        <n v="0.69291622610762704"/>
        <n v="0.84405791293829702"/>
        <n v="0.89052851533051602"/>
        <n v="0.56853733432944897"/>
        <n v="0.87868200719822198"/>
        <n v="0.85669950139708795"/>
        <n v="0.61461366072762802"/>
        <n v="0.55517961399164095"/>
        <n v="0.604518532170914"/>
        <n v="0.64523233892396104"/>
        <n v="0.57553682511206705"/>
        <n v="0.91587135917507101"/>
        <n v="0.740211784956045"/>
        <n v="0.52750450442545105"/>
        <n v="0.62935600895434596"/>
        <n v="0.86132355534937199"/>
        <n v="0.67819932999554999"/>
        <n v="0.51123238401487503"/>
        <n v="0.94903426559176296"/>
        <n v="0.92377462412696298"/>
        <n v="0.80309462046716396"/>
        <n v="0.70792751410044696"/>
        <n v="0.76700902194716003"/>
        <n v="0.92337043571751598"/>
        <n v="0.82572906964924198"/>
        <n v="0.67280593793839205"/>
        <n v="0.86666353477630798"/>
        <n v="0.73469461966306004"/>
        <n v="0.67800825904123496"/>
        <n v="0.54110008000861898"/>
        <n v="0.87982628005556796"/>
        <n v="0.79195121675729796"/>
        <n v="0.71040240477304895"/>
        <n v="0.93651158700231496"/>
        <n v="0.68629247811622895"/>
        <n v="0.97193144401535403"/>
        <n v="0.79461380885914001"/>
        <n v="0.77033005049452197"/>
        <n v="0.89265732292551503"/>
        <n v="0.77163365774322301"/>
        <n v="0.82353356794919796"/>
        <n v="0.59203807415906295"/>
        <n v="0.87336212198715701"/>
        <n v="0.92428073205519501"/>
        <n v="0.90030630270484802"/>
        <n v="0.88732696138322398"/>
        <n v="0.61800496000796601"/>
        <n v="0.71474727417808004"/>
        <n v="0.77530615252908297"/>
        <n v="0.69760887487791501"/>
        <n v="0.78997570101637404"/>
        <n v="0.72673107427544903"/>
        <n v="0.92488657590001799"/>
        <n v="0.68981961207464304"/>
        <n v="0.69823118369095005"/>
        <n v="0.56021299061831098"/>
        <n v="0.515861816704273"/>
        <n v="0.87725719320587803"/>
        <n v="0.72934509720653296"/>
        <n v="0.58369865966960799"/>
        <n v="0.85113477322738595"/>
        <n v="0.97050299844704602"/>
        <n v="0.56230463308747902"/>
        <n v="0.75536902796011396"/>
        <n v="0.90845684253144998"/>
        <n v="0.81403365265577998"/>
        <n v="0.969304436934181"/>
        <n v="0.51148998166900095"/>
        <n v="0.58334870927501503"/>
        <n v="0.86988729424774602"/>
        <n v="0.82893549266736999"/>
        <n v="0.72435244696680501"/>
        <n v="0.99863746168557599"/>
        <n v="0.55988148064352605"/>
        <n v="0.793018359225243"/>
        <n v="0.99568398168776195"/>
        <n v="0.50172620161902204"/>
        <n v="0.988982441602275"/>
        <n v="0.99596280383411795"/>
      </sharedItems>
      <fieldGroup base="4">
        <rangePr autoStart="0" autoEnd="0" startNum="0.5" endNum="1" groupInterval="0.1"/>
        <groupItems count="7">
          <s v="&lt;0.5"/>
          <s v="0.5-0.6"/>
          <s v="0.6-0.7"/>
          <s v="0.7-0.8"/>
          <s v="0.8-0.9"/>
          <s v="0.9-1"/>
          <s v="&gt;1"/>
        </groupItems>
      </fieldGroup>
    </cacheField>
    <cacheField name="Claim Count" numFmtId="1">
      <sharedItems containsSemiMixedTypes="0" containsString="0" containsNumber="1" containsInteger="1" minValue="1" maxValue="4" count="4">
        <n v="1"/>
        <n v="2"/>
        <n v="3"/>
        <n v="4"/>
      </sharedItems>
    </cacheField>
    <cacheField name="Severity" numFmtId="164">
      <sharedItems containsSemiMixedTypes="0" containsString="0" containsNumber="1" minValue="104.59" maxValue="13053.95"/>
    </cacheField>
    <cacheField name="Average Severity" numFmtId="164">
      <sharedItems containsSemiMixedTypes="0" containsString="0" containsNumber="1" minValue="104.59" maxValue="7352.02" count="1653">
        <n v="1084.94"/>
        <n v="450.06"/>
        <n v="4349.0200000000004"/>
        <n v="1337.58"/>
        <n v="1378.33"/>
        <n v="1676.22"/>
        <n v="700.99"/>
        <n v="697.57"/>
        <n v="3385.84"/>
        <n v="1814.6"/>
        <n v="433.44"/>
        <n v="654.41"/>
        <n v="986.28"/>
        <n v="292.75"/>
        <n v="493.28"/>
        <n v="499.44"/>
        <n v="590.61"/>
        <n v="283.77"/>
        <n v="720.87"/>
        <n v="721.97"/>
        <n v="1920.17"/>
        <n v="793.13"/>
        <n v="1285.47"/>
        <n v="647.41"/>
        <n v="1532.38"/>
        <n v="261.55"/>
        <n v="174.47"/>
        <n v="1896.82"/>
        <n v="368.66"/>
        <n v="1086.01"/>
        <n v="1352.6"/>
        <n v="859.41"/>
        <n v="490.52"/>
        <n v="942.71"/>
        <n v="2350.19"/>
        <n v="336.8"/>
        <n v="395.99"/>
        <n v="1240.01"/>
        <n v="5106.88"/>
        <n v="206.49"/>
        <n v="919.09"/>
        <n v="609.6"/>
        <n v="1066.1099999999999"/>
        <n v="1502.58"/>
        <n v="707.95"/>
        <n v="1435.91"/>
        <n v="928.79"/>
        <n v="344.72"/>
        <n v="4363.21"/>
        <n v="1881.91"/>
        <n v="721.29"/>
        <n v="775.44"/>
        <n v="1195.55"/>
        <n v="587.02"/>
        <n v="903.56"/>
        <n v="2960.05"/>
        <n v="1091.02"/>
        <n v="259.06"/>
        <n v="979.79"/>
        <n v="828.54"/>
        <n v="439.5"/>
        <n v="914.3"/>
        <n v="4752.6400000000003"/>
        <n v="793.88"/>
        <n v="1512.6"/>
        <n v="881.94"/>
        <n v="680.52"/>
        <n v="504.27"/>
        <n v="957.86"/>
        <n v="1030.23"/>
        <n v="221.75"/>
        <n v="325.17"/>
        <n v="386.2"/>
        <n v="535.07000000000005"/>
        <n v="1704.94"/>
        <n v="747.73"/>
        <n v="428.89"/>
        <n v="1199.8399999999999"/>
        <n v="770.66"/>
        <n v="637.95000000000005"/>
        <n v="464.64"/>
        <n v="1856.09"/>
        <n v="2632.67"/>
        <n v="243.15"/>
        <n v="654.86"/>
        <n v="782.24"/>
        <n v="653.37"/>
        <n v="804.56"/>
        <n v="226.99"/>
        <n v="588.41"/>
        <n v="323.69"/>
        <n v="1363.95"/>
        <n v="2159.7199999999998"/>
        <n v="661.77"/>
        <n v="1045.96"/>
        <n v="530.65"/>
        <n v="596.03"/>
        <n v="914.72"/>
        <n v="1089.1199999999999"/>
        <n v="756.67"/>
        <n v="1084.92"/>
        <n v="321.33"/>
        <n v="1486.49"/>
        <n v="355.21"/>
        <n v="381.06"/>
        <n v="852.9"/>
        <n v="2597.35"/>
        <n v="235.54"/>
        <n v="3383.57"/>
        <n v="1311.56"/>
        <n v="698.56"/>
        <n v="1065.54"/>
        <n v="3120.19"/>
        <n v="239.82"/>
        <n v="2093.35"/>
        <n v="363.07"/>
        <n v="749.69"/>
        <n v="735"/>
        <n v="1555.35"/>
        <n v="475.99"/>
        <n v="1242.24"/>
        <n v="287.29000000000002"/>
        <n v="324.37"/>
        <n v="1404.76"/>
        <n v="2784.53"/>
        <n v="400.84"/>
        <n v="1440.76"/>
        <n v="263.20999999999998"/>
        <n v="208.38"/>
        <n v="1037.8900000000001"/>
        <n v="586.02"/>
        <n v="2942.73"/>
        <n v="826.56"/>
        <n v="938.25"/>
        <n v="817.42"/>
        <n v="891.91"/>
        <n v="606.07000000000005"/>
        <n v="485.97"/>
        <n v="190.02"/>
        <n v="985.35"/>
        <n v="424.78"/>
        <n v="845.83"/>
        <n v="1209.6400000000001"/>
        <n v="2188.87"/>
        <n v="907.36"/>
        <n v="601.91999999999996"/>
        <n v="574.03"/>
        <n v="387.86"/>
        <n v="230.55"/>
        <n v="612.59"/>
        <n v="2328.21"/>
        <n v="599.41"/>
        <n v="1545.69"/>
        <n v="1214.78"/>
        <n v="656.91"/>
        <n v="268.64999999999998"/>
        <n v="527.57000000000005"/>
        <n v="1611.29"/>
        <n v="2172.44"/>
        <n v="1237.8"/>
        <n v="468.28"/>
        <n v="1470.32"/>
        <n v="434.62"/>
        <n v="293.5"/>
        <n v="1579.16"/>
        <n v="786.4"/>
        <n v="5102.46"/>
        <n v="1449.8"/>
        <n v="2221.91"/>
        <n v="891.15"/>
        <n v="999.54"/>
        <n v="644.27"/>
        <n v="251.16"/>
        <n v="390.85"/>
        <n v="1328.27"/>
        <n v="548.77"/>
        <n v="2393.17"/>
        <n v="807.66"/>
        <n v="223.53"/>
        <n v="833.93"/>
        <n v="891.81"/>
        <n v="478.54"/>
        <n v="720.6"/>
        <n v="2269.6999999999998"/>
        <n v="530.32000000000005"/>
        <n v="700.44"/>
        <n v="1629.48"/>
        <n v="634.14"/>
        <n v="437.15"/>
        <n v="184.73"/>
        <n v="273.42"/>
        <n v="287.35000000000002"/>
        <n v="679.13"/>
        <n v="513.34"/>
        <n v="2285.27"/>
        <n v="398.32"/>
        <n v="1420.76"/>
        <n v="892.41"/>
        <n v="752.94"/>
        <n v="1380.61"/>
        <n v="3394.92"/>
        <n v="1079.57"/>
        <n v="794.13"/>
        <n v="602.53"/>
        <n v="1577.54"/>
        <n v="210.31"/>
        <n v="1813.7"/>
        <n v="826.45"/>
        <n v="276.37"/>
        <n v="1338.57"/>
        <n v="446.65"/>
        <n v="458.78"/>
        <n v="934.44"/>
        <n v="324.33"/>
        <n v="2714.31"/>
        <n v="1565.95"/>
        <n v="1340.08"/>
        <n v="181.89"/>
        <n v="163.52000000000001"/>
        <n v="1127.6500000000001"/>
        <n v="1034.44"/>
        <n v="418.36"/>
        <n v="821.6"/>
        <n v="945.68"/>
        <n v="1033.42"/>
        <n v="517.30999999999995"/>
        <n v="736.01"/>
        <n v="1991.49"/>
        <n v="1105.05"/>
        <n v="1834.15"/>
        <n v="195.36"/>
        <n v="957.67"/>
        <n v="493.79"/>
        <n v="1610.45"/>
        <n v="1655.02"/>
        <n v="1327.25"/>
        <n v="304.43"/>
        <n v="316.25"/>
        <n v="661.01"/>
        <n v="311.13"/>
        <n v="557.11"/>
        <n v="402.87"/>
        <n v="979.51"/>
        <n v="601.27"/>
        <n v="2858.06"/>
        <n v="730.84"/>
        <n v="1789.59"/>
        <n v="674.2"/>
        <n v="701.38"/>
        <n v="977.82"/>
        <n v="320.06"/>
        <n v="347.91"/>
        <n v="307.44"/>
        <n v="1074.71"/>
        <n v="565.92999999999995"/>
        <n v="992.29"/>
        <n v="577.6"/>
        <n v="1745.17"/>
        <n v="987.17"/>
        <n v="2287.6"/>
        <n v="1257.9000000000001"/>
        <n v="279.93"/>
        <n v="1121.77"/>
        <n v="968.19"/>
        <n v="535.44000000000005"/>
        <n v="751.87"/>
        <n v="334.11"/>
        <n v="197.17"/>
        <n v="1846.87"/>
        <n v="622.20000000000005"/>
        <n v="803.55"/>
        <n v="711.16"/>
        <n v="675"/>
        <n v="270.5"/>
        <n v="371.15"/>
        <n v="6045.91"/>
        <n v="549.04"/>
        <n v="230.66"/>
        <n v="364.22"/>
        <n v="378.2"/>
        <n v="698.64"/>
        <n v="246.59"/>
        <n v="731.9"/>
        <n v="1530.95"/>
        <n v="3526.4"/>
        <n v="459.09"/>
        <n v="592.67999999999995"/>
        <n v="1111.08"/>
        <n v="452.76"/>
        <n v="594.38"/>
        <n v="1002.54"/>
        <n v="1410.07"/>
        <n v="503.09"/>
        <n v="1414.95"/>
        <n v="933.62"/>
        <n v="256.25"/>
        <n v="583.54999999999995"/>
        <n v="1353.75"/>
        <n v="993.98"/>
        <n v="628.62"/>
        <n v="1384.85"/>
        <n v="306.04000000000002"/>
        <n v="431.37"/>
        <n v="978.41"/>
        <n v="1880.36"/>
        <n v="1064.99"/>
        <n v="343.74"/>
        <n v="1221.83"/>
        <n v="1174.8399999999999"/>
        <n v="1692.99"/>
        <n v="462.23"/>
        <n v="1279.92"/>
        <n v="302.13"/>
        <n v="3963.76"/>
        <n v="293.85000000000002"/>
        <n v="339.12"/>
        <n v="285.83"/>
        <n v="1541.31"/>
        <n v="903.51"/>
        <n v="861.05"/>
        <n v="1044.8900000000001"/>
        <n v="510.71"/>
        <n v="1191.77"/>
        <n v="449.24"/>
        <n v="1424.84"/>
        <n v="1783.71"/>
        <n v="1305.8"/>
        <n v="1073.02"/>
        <n v="978.74"/>
        <n v="3292.66"/>
        <n v="442.39"/>
        <n v="2220.3200000000002"/>
        <n v="454.77"/>
        <n v="4025.55"/>
        <n v="871.3"/>
        <n v="725.57"/>
        <n v="935.4"/>
        <n v="914.6"/>
        <n v="507.83"/>
        <n v="355.19"/>
        <n v="673.5"/>
        <n v="1002.52"/>
        <n v="3402.86"/>
        <n v="1301.8399999999999"/>
        <n v="2766.73"/>
        <n v="1212.6199999999999"/>
        <n v="422.81"/>
        <n v="395.16"/>
        <n v="429.47"/>
        <n v="254.11"/>
        <n v="963.56"/>
        <n v="712.7"/>
        <n v="961.75"/>
        <n v="931.31"/>
        <n v="814.83"/>
        <n v="1457.21"/>
        <n v="621.27"/>
        <n v="908.17"/>
        <n v="2751.93"/>
        <n v="790.69"/>
        <n v="1033.03"/>
        <n v="922.79"/>
        <n v="229.12"/>
        <n v="262.63"/>
        <n v="1048.58"/>
        <n v="863.8"/>
        <n v="1365.4"/>
        <n v="1284.3"/>
        <n v="234.11"/>
        <n v="989.15"/>
        <n v="238.3"/>
        <n v="456.74"/>
        <n v="493"/>
        <n v="1525.57"/>
        <n v="509.21"/>
        <n v="3265.81"/>
        <n v="407.48"/>
        <n v="688.29"/>
        <n v="523.41"/>
        <n v="1317.61"/>
        <n v="2838.13"/>
        <n v="1108.4000000000001"/>
        <n v="809.44"/>
        <n v="754.43"/>
        <n v="443.45"/>
        <n v="429.88"/>
        <n v="256.35000000000002"/>
        <n v="711.46"/>
        <n v="1309.3599999999999"/>
        <n v="623.55999999999995"/>
        <n v="481.92"/>
        <n v="301.23"/>
        <n v="597.61"/>
        <n v="550.13"/>
        <n v="2526.7600000000002"/>
        <n v="1921.49"/>
        <n v="572.89"/>
        <n v="1715.15"/>
        <n v="137.52000000000001"/>
        <n v="500.32"/>
        <n v="866.73"/>
        <n v="3101.46"/>
        <n v="1340.62"/>
        <n v="191.81"/>
        <n v="735.73"/>
        <n v="217.93"/>
        <n v="3212.7"/>
        <n v="375.43"/>
        <n v="612.07000000000005"/>
        <n v="1104.76"/>
        <n v="427.34"/>
        <n v="332.88"/>
        <n v="2845.72"/>
        <n v="490.77"/>
        <n v="966.72"/>
        <n v="411.71"/>
        <n v="1086.3399999999999"/>
        <n v="1332.79"/>
        <n v="908.45"/>
        <n v="188.79"/>
        <n v="169.52"/>
        <n v="326.16000000000003"/>
        <n v="1429.02"/>
        <n v="720"/>
        <n v="317.32"/>
        <n v="252.88"/>
        <n v="609.01"/>
        <n v="614.1"/>
        <n v="1529.23"/>
        <n v="533.71"/>
        <n v="355.86"/>
        <n v="140.65"/>
        <n v="1584.15"/>
        <n v="1734.47"/>
        <n v="410.75"/>
        <n v="653.91999999999996"/>
        <n v="104.59"/>
        <n v="2101.4699999999998"/>
        <n v="142.16999999999999"/>
        <n v="1072.02"/>
        <n v="1557.41"/>
        <n v="353.42"/>
        <n v="364.33"/>
        <n v="626.74"/>
        <n v="439.62"/>
        <n v="512.21"/>
        <n v="794.37"/>
        <n v="580.49"/>
        <n v="599.16999999999996"/>
        <n v="557.63"/>
        <n v="609.32000000000005"/>
        <n v="897.86"/>
        <n v="355.94"/>
        <n v="499.61"/>
        <n v="791.36"/>
        <n v="577.86"/>
        <n v="766.99"/>
        <n v="739.12"/>
        <n v="2552.6999999999998"/>
        <n v="603.82000000000005"/>
        <n v="540.02"/>
        <n v="406.3"/>
        <n v="555.38"/>
        <n v="777.61"/>
        <n v="1987.44"/>
        <n v="187.14"/>
        <n v="383.49"/>
        <n v="1020.09"/>
        <n v="2808.23"/>
        <n v="1302.43"/>
        <n v="2467.2600000000002"/>
        <n v="505.26"/>
        <n v="520.65"/>
        <n v="532.12"/>
        <n v="757.07"/>
        <n v="948.24"/>
        <n v="221.35"/>
        <n v="877.91"/>
        <n v="968.11"/>
        <n v="592.98"/>
        <n v="469.33"/>
        <n v="929.52"/>
        <n v="737.69"/>
        <n v="518.41"/>
        <n v="398.44"/>
        <n v="913.25"/>
        <n v="834.82"/>
        <n v="2301.62"/>
        <n v="1936.59"/>
        <n v="1740.9"/>
        <n v="487.55"/>
        <n v="1493.31"/>
        <n v="507.56"/>
        <n v="839.48"/>
        <n v="2172.85"/>
        <n v="1936.32"/>
        <n v="465.1"/>
        <n v="471.38"/>
        <n v="708"/>
        <n v="1382.02"/>
        <n v="794.97"/>
        <n v="2190.92"/>
        <n v="864.63"/>
        <n v="1460.78"/>
        <n v="1506.83"/>
        <n v="262.92"/>
        <n v="1247.75"/>
        <n v="2925.64"/>
        <n v="2188.5500000000002"/>
        <n v="948.62"/>
        <n v="371.48"/>
        <n v="315.81"/>
        <n v="542.41999999999996"/>
        <n v="285.35000000000002"/>
        <n v="963.19"/>
        <n v="1141.77"/>
        <n v="2782.64"/>
        <n v="808.1"/>
        <n v="982.67"/>
        <n v="485.82"/>
        <n v="1313.57"/>
        <n v="345.5"/>
        <n v="891.77"/>
        <n v="536.95000000000005"/>
        <n v="466.77"/>
        <n v="1006.96"/>
        <n v="492.35"/>
        <n v="468.3"/>
        <n v="3321.29"/>
        <n v="2482.15"/>
        <n v="927.48"/>
        <n v="820.31"/>
        <n v="182.57"/>
        <n v="354.6"/>
        <n v="1837.16"/>
        <n v="299.08999999999997"/>
        <n v="1103.9100000000001"/>
        <n v="922.83"/>
        <n v="1392.99"/>
        <n v="1582.89"/>
        <n v="450.62"/>
        <n v="1145.03"/>
        <n v="616.16999999999996"/>
        <n v="995.19"/>
        <n v="1665.93"/>
        <n v="276.7"/>
        <n v="376.9"/>
        <n v="1662.37"/>
        <n v="649.99"/>
        <n v="219.58"/>
        <n v="487.65"/>
        <n v="5386.65"/>
        <n v="503.33"/>
        <n v="1801.37"/>
        <n v="838.07"/>
        <n v="851.92"/>
        <n v="1601.73"/>
        <n v="307.39999999999998"/>
        <n v="1574.05"/>
        <n v="515.5"/>
        <n v="656.43"/>
        <n v="626.62"/>
        <n v="2913.67"/>
        <n v="1321.36"/>
        <n v="949.27"/>
        <n v="1231.24"/>
        <n v="1712.42"/>
        <n v="940.89"/>
        <n v="991.75"/>
        <n v="1056.78"/>
        <n v="2500.9"/>
        <n v="530.45000000000005"/>
        <n v="1196.18"/>
        <n v="958.01"/>
        <n v="842.84"/>
        <n v="1916.42"/>
        <n v="2264.4"/>
        <n v="640.20000000000005"/>
        <n v="503.76"/>
        <n v="519.82000000000005"/>
        <n v="4245.28"/>
        <n v="1701.33"/>
        <n v="911.9"/>
        <n v="589.58000000000004"/>
        <n v="856.42"/>
        <n v="982.33"/>
        <n v="904.26"/>
        <n v="679.09"/>
        <n v="809.32"/>
        <n v="1167.83"/>
        <n v="532.14"/>
        <n v="1446.32"/>
        <n v="450.84"/>
        <n v="627.63"/>
        <n v="567.32000000000005"/>
        <n v="1299.7"/>
        <n v="524.95000000000005"/>
        <n v="282.02999999999997"/>
        <n v="535.75"/>
        <n v="967.85"/>
        <n v="2134.9699999999998"/>
        <n v="612.51"/>
        <n v="615.98"/>
        <n v="1862.39"/>
        <n v="2379.79"/>
        <n v="475.89"/>
        <n v="771.21"/>
        <n v="495.42"/>
        <n v="612.32000000000005"/>
        <n v="738.5"/>
        <n v="1501.41"/>
        <n v="708.47"/>
        <n v="328.34"/>
        <n v="534.04"/>
        <n v="940.48"/>
        <n v="308.31"/>
        <n v="3346.02"/>
        <n v="269.89"/>
        <n v="4407.58"/>
        <n v="1852.55"/>
        <n v="1240.54"/>
        <n v="657.75"/>
        <n v="4596.47"/>
        <n v="702.21"/>
        <n v="2036.01"/>
        <n v="689.44"/>
        <n v="514.54999999999995"/>
        <n v="861.6"/>
        <n v="1681.62"/>
        <n v="1146.55"/>
        <n v="1290.44"/>
        <n v="316.13"/>
        <n v="817.1"/>
        <n v="897.83"/>
        <n v="3300.7"/>
        <n v="1126.21"/>
        <n v="325.37"/>
        <n v="1742.42"/>
        <n v="2073.87"/>
        <n v="868.41"/>
        <n v="1522.91"/>
        <n v="634.66999999999996"/>
        <n v="532.77"/>
        <n v="1013.33"/>
        <n v="688.8"/>
        <n v="213.32"/>
        <n v="821"/>
        <n v="538.16999999999996"/>
        <n v="1191.58"/>
        <n v="1404.94"/>
        <n v="377.23"/>
        <n v="1165.32"/>
        <n v="322.33"/>
        <n v="509.85"/>
        <n v="454.63"/>
        <n v="428.11"/>
        <n v="894.83"/>
        <n v="337.79"/>
        <n v="192.82"/>
        <n v="367.43"/>
        <n v="1703.3"/>
        <n v="219.96"/>
        <n v="496.01"/>
        <n v="350.1"/>
        <n v="1045.6199999999999"/>
        <n v="2480.11"/>
        <n v="796.23"/>
        <n v="623.49"/>
        <n v="736.87"/>
        <n v="3790.12"/>
        <n v="633.91"/>
        <n v="459.72"/>
        <n v="1023.11"/>
        <n v="1211.08"/>
        <n v="726.61"/>
        <n v="447.85"/>
        <n v="817.24"/>
        <n v="854.6"/>
        <n v="1756.88"/>
        <n v="767.21"/>
        <n v="464.24"/>
        <n v="2058.84"/>
        <n v="209.26"/>
        <n v="2486.06"/>
        <n v="1090.1300000000001"/>
        <n v="806.4"/>
        <n v="1333.48"/>
        <n v="844.72"/>
        <n v="743.41"/>
        <n v="448.6"/>
        <n v="2429.41"/>
        <n v="675.52"/>
        <n v="770.46"/>
        <n v="654.03"/>
        <n v="400.97"/>
        <n v="549.53"/>
        <n v="1686.74"/>
        <n v="419.19"/>
        <n v="495.21"/>
        <n v="881.96"/>
        <n v="394.82"/>
        <n v="769.86"/>
        <n v="429.77"/>
        <n v="422.01"/>
        <n v="1099.06"/>
        <n v="363.54"/>
        <n v="444.23"/>
        <n v="1128.6199999999999"/>
        <n v="799.34"/>
        <n v="1586.23"/>
        <n v="581.52"/>
        <n v="735.82"/>
        <n v="2010.75"/>
        <n v="1156.98"/>
        <n v="1432.73"/>
        <n v="974.32"/>
        <n v="447.55"/>
        <n v="260.52"/>
        <n v="361.69"/>
        <n v="1524.38"/>
        <n v="644.66"/>
        <n v="1223.46"/>
        <n v="2096.8200000000002"/>
        <n v="422.84"/>
        <n v="503.42"/>
        <n v="1982.55"/>
        <n v="764.42"/>
        <n v="810.33"/>
        <n v="158.19999999999999"/>
        <n v="648.66999999999996"/>
        <n v="539.36"/>
        <n v="3089.22"/>
        <n v="1121.96"/>
        <n v="1344.36"/>
        <n v="610.07000000000005"/>
        <n v="1928.7"/>
        <n v="1136.8800000000001"/>
        <n v="1458.98"/>
        <n v="1063.01"/>
        <n v="937.2"/>
        <n v="4064.33"/>
        <n v="243.59"/>
        <n v="1395.78"/>
        <n v="199.62"/>
        <n v="663.17"/>
        <n v="491.27"/>
        <n v="1908.09"/>
        <n v="2225.7800000000002"/>
        <n v="812.79"/>
        <n v="1076.3800000000001"/>
        <n v="1191.18"/>
        <n v="385.13"/>
        <n v="1200.55"/>
        <n v="912.86"/>
        <n v="288.5"/>
        <n v="410.48"/>
        <n v="720.84"/>
        <n v="2518.85"/>
        <n v="434.42"/>
        <n v="1285.6300000000001"/>
        <n v="421.34"/>
        <n v="2316.81"/>
        <n v="1194.78"/>
        <n v="434.22"/>
        <n v="2378.38"/>
        <n v="2255.96"/>
        <n v="387.64"/>
        <n v="451.28"/>
        <n v="1506.04"/>
        <n v="544.91999999999996"/>
        <n v="3698.69"/>
        <n v="1631.47"/>
        <n v="866.6"/>
        <n v="352.18"/>
        <n v="1375.39"/>
        <n v="959.83"/>
        <n v="3276.39"/>
        <n v="991.82"/>
        <n v="356.15"/>
        <n v="2459.67"/>
        <n v="1794.96"/>
        <n v="4239.53"/>
        <n v="544.79999999999995"/>
        <n v="1262.67"/>
        <n v="1193.57"/>
        <n v="279.54000000000002"/>
        <n v="1717.78"/>
        <n v="1625.84"/>
        <n v="1004.45"/>
        <n v="482.5"/>
        <n v="744.75"/>
        <n v="632.07000000000005"/>
        <n v="404.24"/>
        <n v="2264.0100000000002"/>
        <n v="2282.0700000000002"/>
        <n v="783.13"/>
        <n v="702.29"/>
        <n v="365.03"/>
        <n v="545.78"/>
        <n v="919.88"/>
        <n v="1141.97"/>
        <n v="1146.6199999999999"/>
        <n v="2433.15"/>
        <n v="948.04"/>
        <n v="1355.81"/>
        <n v="1035.22"/>
        <n v="1275.92"/>
        <n v="1666.7"/>
        <n v="1329.88"/>
        <n v="791.89"/>
        <n v="535.24"/>
        <n v="932.28"/>
        <n v="1030.99"/>
        <n v="1809.89"/>
        <n v="769.8"/>
        <n v="553.73"/>
        <n v="1863.58"/>
        <n v="609.24"/>
        <n v="1080.3399999999999"/>
        <n v="1825.31"/>
        <n v="436.03"/>
        <n v="330.28"/>
        <n v="594.62"/>
        <n v="1189.04"/>
        <n v="1326.37"/>
        <n v="1241.24"/>
        <n v="1066.99"/>
        <n v="1307.26"/>
        <n v="1132.1400000000001"/>
        <n v="796.17"/>
        <n v="1449.74"/>
        <n v="358.69"/>
        <n v="1332.58"/>
        <n v="530.57000000000005"/>
        <n v="828.65"/>
        <n v="1509.06"/>
        <n v="1027.18"/>
        <n v="473.94"/>
        <n v="208.97"/>
        <n v="710.54"/>
        <n v="426.23"/>
        <n v="621.82000000000005"/>
        <n v="1074.1600000000001"/>
        <n v="3916.44"/>
        <n v="949.6"/>
        <n v="675.17"/>
        <n v="2598.33"/>
        <n v="647.75"/>
        <n v="871.18"/>
        <n v="782.06"/>
        <n v="459.48"/>
        <n v="459.37"/>
        <n v="935.33"/>
        <n v="1342.17"/>
        <n v="1544.71"/>
        <n v="1405.7"/>
        <n v="1188.83"/>
        <n v="583.66"/>
        <n v="795.67"/>
        <n v="501.07"/>
        <n v="1292.8399999999999"/>
        <n v="1098.5"/>
        <n v="550.73"/>
        <n v="1110"/>
        <n v="630.89"/>
        <n v="350.46"/>
        <n v="676.99"/>
        <n v="3042.28"/>
        <n v="845.13"/>
        <n v="756.63"/>
        <n v="861.47"/>
        <n v="203.3"/>
        <n v="320.89"/>
        <n v="337.12"/>
        <n v="3491.56"/>
        <n v="430.41"/>
        <n v="747.05"/>
        <n v="283.64999999999998"/>
        <n v="1224.1400000000001"/>
        <n v="475.71"/>
        <n v="1177.6500000000001"/>
        <n v="459.05"/>
        <n v="730.21"/>
        <n v="3286.98"/>
        <n v="696.54"/>
        <n v="1368.31"/>
        <n v="810.05"/>
        <n v="640.75"/>
        <n v="1264.1500000000001"/>
        <n v="1776.04"/>
        <n v="572.71"/>
        <n v="1042.43"/>
        <n v="301.2"/>
        <n v="2633.2"/>
        <n v="673.58"/>
        <n v="590.28"/>
        <n v="261.06"/>
        <n v="2231.96"/>
        <n v="2331.54"/>
        <n v="1546.08"/>
        <n v="711.81"/>
        <n v="683.76"/>
        <n v="300.05"/>
        <n v="1426.07"/>
        <n v="1408.81"/>
        <n v="384.24"/>
        <n v="653.6"/>
        <n v="1454.12"/>
        <n v="1867.36"/>
        <n v="1096.95"/>
        <n v="1924.48"/>
        <n v="995.28"/>
        <n v="1036.83"/>
        <n v="382.05"/>
        <n v="193.54"/>
        <n v="752.15"/>
        <n v="4155.99"/>
        <n v="277.32"/>
        <n v="2340.54"/>
        <n v="2075.54"/>
        <n v="841.01"/>
        <n v="396.28"/>
        <n v="416.42"/>
        <n v="748.64"/>
        <n v="1223.76"/>
        <n v="372.66"/>
        <n v="1602.66"/>
        <n v="678.98"/>
        <n v="1178.19"/>
        <n v="669.04"/>
        <n v="510.84"/>
        <n v="438.5"/>
        <n v="765.04"/>
        <n v="365.75"/>
        <n v="833.76"/>
        <n v="682.05"/>
        <n v="1885.89"/>
        <n v="347.44"/>
        <n v="656.41"/>
        <n v="356.49"/>
        <n v="802.84"/>
        <n v="727.68"/>
        <n v="3421.64"/>
        <n v="702.35"/>
        <n v="335.33"/>
        <n v="170.38"/>
        <n v="471.48"/>
        <n v="778.48"/>
        <n v="1316.85"/>
        <n v="357.67"/>
        <n v="1590.47"/>
        <n v="423.75"/>
        <n v="639.42999999999995"/>
        <n v="836.55"/>
        <n v="655.25"/>
        <n v="1102.8499999999999"/>
        <n v="360.16"/>
        <n v="1247.8399999999999"/>
        <n v="2539.64"/>
        <n v="590.32000000000005"/>
        <n v="1257.46"/>
        <n v="1554.9"/>
        <n v="421.5"/>
        <n v="1098.99"/>
        <n v="536.42999999999995"/>
        <n v="1118.04"/>
        <n v="1004.15"/>
        <n v="673.63"/>
        <n v="442.46"/>
        <n v="777.56"/>
        <n v="618.44000000000005"/>
        <n v="1425.03"/>
        <n v="887.25"/>
        <n v="1112.72"/>
        <n v="2111.31"/>
        <n v="1584.26"/>
        <n v="915.82"/>
        <n v="1188.29"/>
        <n v="502.73"/>
        <n v="307.77"/>
        <n v="662.14"/>
        <n v="1811.7"/>
        <n v="1201.52"/>
        <n v="1632.44"/>
        <n v="517.47"/>
        <n v="392.05"/>
        <n v="426.86"/>
        <n v="1097.6199999999999"/>
        <n v="1768.96"/>
        <n v="802.37"/>
        <n v="947.76"/>
        <n v="664.91"/>
        <n v="429.14"/>
        <n v="723.11"/>
        <n v="1496.78"/>
        <n v="580.73"/>
        <n v="404.59"/>
        <n v="1314.08"/>
        <n v="165.49"/>
        <n v="702.02"/>
        <n v="4375.9399999999996"/>
        <n v="580.12"/>
        <n v="571.84"/>
        <n v="1199.31"/>
        <n v="918.05"/>
        <n v="7352.02"/>
        <n v="1995.51"/>
        <n v="1576.55"/>
        <n v="1699.32"/>
        <n v="808.81"/>
        <n v="280.64999999999998"/>
        <n v="1347.42"/>
        <n v="1315.87"/>
        <n v="1070.08"/>
        <n v="272.45"/>
        <n v="712.74"/>
        <n v="434.18"/>
        <n v="728.65"/>
        <n v="560.66"/>
        <n v="1601.4"/>
        <n v="1017.48"/>
        <n v="1904.37"/>
        <n v="1469.41"/>
        <n v="267.7"/>
        <n v="2088.9"/>
        <n v="601.79"/>
        <n v="533.67999999999995"/>
        <n v="1374.98"/>
        <n v="430.83"/>
        <n v="1803.37"/>
        <n v="308.83"/>
        <n v="912.07"/>
        <n v="1228.17"/>
        <n v="872.52"/>
        <n v="650.07000000000005"/>
        <n v="740.52"/>
        <n v="1037.92"/>
        <n v="506.93"/>
        <n v="1461.07"/>
        <n v="7103.03"/>
        <n v="677.98"/>
        <n v="816.09"/>
        <n v="750.78"/>
        <n v="228.98"/>
        <n v="2215.0300000000002"/>
        <n v="1977"/>
        <n v="836.13"/>
        <n v="497.4"/>
        <n v="301.12"/>
        <n v="565.41"/>
        <n v="1825.94"/>
        <n v="2929.64"/>
        <n v="838.1"/>
        <n v="448.44"/>
        <n v="940.98"/>
        <n v="606.37"/>
        <n v="2219.59"/>
        <n v="2277.19"/>
        <n v="979.05"/>
        <n v="571.83000000000004"/>
        <n v="544.64"/>
        <n v="432.02"/>
        <n v="392.68"/>
        <n v="748.57"/>
        <n v="1232.0999999999999"/>
        <n v="2998.08"/>
        <n v="1015.09"/>
        <n v="875.28"/>
        <n v="454.89"/>
        <n v="518"/>
        <n v="912.37"/>
        <n v="261.07"/>
        <n v="281.02"/>
        <n v="1110.56"/>
        <n v="390.1"/>
        <n v="255.6"/>
        <n v="1132.06"/>
        <n v="5560"/>
        <n v="732.7"/>
        <n v="843.56"/>
        <n v="650.9"/>
        <n v="565.35"/>
        <n v="810.87"/>
        <n v="637.41"/>
        <n v="4383.8100000000004"/>
        <n v="1306.3699999999999"/>
        <n v="1134.94"/>
        <n v="228.68"/>
        <n v="1198.01"/>
        <n v="869.25"/>
        <n v="614.62"/>
        <n v="547.29999999999995"/>
        <n v="521.46"/>
        <n v="666.21"/>
        <n v="1386.1"/>
        <n v="839.78"/>
        <n v="765.85"/>
        <n v="2688.86"/>
        <n v="167.91"/>
        <n v="360.95"/>
        <n v="516.49"/>
        <n v="1264.72"/>
        <n v="343.81"/>
        <n v="300.25"/>
        <n v="1380.51"/>
        <n v="1337.19"/>
        <n v="687.83"/>
        <n v="432.51"/>
        <n v="1460.46"/>
        <n v="443.57"/>
        <n v="984.31"/>
        <n v="592.33000000000004"/>
        <n v="958.34"/>
        <n v="888.39"/>
        <n v="1005.68"/>
        <n v="409.16"/>
        <n v="148.63999999999999"/>
        <n v="1782.19"/>
        <n v="821.01"/>
        <n v="565.71"/>
        <n v="1596.78"/>
        <n v="336.73"/>
        <n v="1120.94"/>
        <n v="1212.18"/>
        <n v="805.58"/>
        <n v="327.58999999999997"/>
        <n v="196.19"/>
        <n v="2501.19"/>
        <n v="162.76"/>
        <n v="1273.3499999999999"/>
        <n v="837.57"/>
        <n v="1337.17"/>
        <n v="851.8"/>
        <n v="707.77"/>
        <n v="1000.7"/>
        <n v="1502.87"/>
        <n v="1482.9"/>
        <n v="3583.48"/>
        <n v="497.23"/>
        <n v="515.73"/>
        <n v="395.76"/>
        <n v="2273.64"/>
        <n v="710.76"/>
        <n v="140.82"/>
        <n v="1071.19"/>
        <n v="887.02"/>
        <n v="1489.46"/>
        <n v="743.54"/>
        <n v="594.69000000000005"/>
        <n v="971.49"/>
        <n v="394.27"/>
        <n v="916.72"/>
        <n v="1271.68"/>
        <n v="405.4"/>
        <n v="718.95"/>
        <n v="878.64"/>
        <n v="622.30999999999995"/>
        <n v="656.73"/>
        <n v="830.66"/>
        <n v="376.09"/>
        <n v="1104.28"/>
        <n v="303.27"/>
        <n v="126.93"/>
        <n v="1296.73"/>
        <n v="1808.04"/>
        <n v="1316.67"/>
        <n v="932.91"/>
        <n v="3433.15"/>
        <n v="1639.95"/>
        <n v="786.41"/>
        <n v="486.96"/>
        <n v="731.57"/>
        <n v="492.4"/>
        <n v="678.97"/>
        <n v="666.39"/>
        <n v="2860.11"/>
        <n v="1066.6600000000001"/>
        <n v="1319.5"/>
        <n v="1097.1500000000001"/>
        <n v="362.83"/>
        <n v="1433.95"/>
        <n v="1662.3"/>
        <n v="1263.5899999999999"/>
        <n v="677.52"/>
        <n v="1037.54"/>
        <n v="3586.57"/>
        <n v="1709.35"/>
        <n v="646.11"/>
        <n v="1807.88"/>
        <n v="429.4"/>
        <n v="799.07"/>
        <n v="1495.89"/>
        <n v="1337.16"/>
        <n v="508.38"/>
        <n v="580.57000000000005"/>
        <n v="432.78"/>
        <n v="905.37"/>
        <n v="1551.13"/>
        <n v="2916.36"/>
        <n v="472.63"/>
        <n v="719.9"/>
        <n v="141.46"/>
        <n v="891.05"/>
        <n v="592.94000000000005"/>
        <n v="707.1"/>
        <n v="2330.6"/>
        <n v="3165.95"/>
        <n v="269.39999999999998"/>
        <n v="1819.55"/>
        <n v="326.35000000000002"/>
        <n v="762.84"/>
        <n v="354.43"/>
        <n v="407.83"/>
        <n v="1491.15"/>
        <n v="960.77"/>
        <n v="825.6"/>
        <n v="605.64"/>
        <n v="1183.82"/>
        <n v="499.09"/>
        <n v="954.28"/>
        <n v="1071.5899999999999"/>
        <n v="861.51"/>
        <n v="323.22000000000003"/>
        <n v="195.19"/>
        <n v="1437.12"/>
        <n v="423.58"/>
        <n v="351.3"/>
        <n v="354.71"/>
        <n v="751.19"/>
        <n v="442.1"/>
        <n v="4514.71"/>
        <n v="931.74"/>
        <n v="1872.18"/>
        <n v="321.35000000000002"/>
        <n v="509.37"/>
        <n v="272.31"/>
        <n v="1495.02"/>
        <n v="2652.5"/>
        <n v="901.9"/>
        <n v="806.22"/>
        <n v="1451.04"/>
        <n v="1424.33"/>
        <n v="356.23"/>
        <n v="638.79999999999995"/>
        <n v="273.04000000000002"/>
        <n v="718.68"/>
        <n v="266.05"/>
        <n v="264.07"/>
        <n v="250.39"/>
        <n v="244.42"/>
        <n v="1603.58"/>
        <n v="1941.85"/>
        <n v="798.03"/>
        <n v="1034.21"/>
        <n v="1203.1400000000001"/>
        <n v="574.83000000000004"/>
        <n v="3165.63"/>
        <n v="2458.9299999999998"/>
        <n v="447.53"/>
        <n v="812.77"/>
        <n v="1301.8499999999999"/>
        <n v="2141.2800000000002"/>
        <n v="1920.55"/>
        <n v="256.97000000000003"/>
        <n v="1095.22"/>
        <n v="320.67"/>
        <n v="238.52"/>
        <n v="930.01"/>
        <n v="1798.58"/>
        <n v="652.49"/>
        <n v="782.65"/>
        <n v="1195.77"/>
        <n v="2417.9499999999998"/>
        <n v="505.14"/>
        <n v="1652.41"/>
        <n v="937.48"/>
        <n v="564.52"/>
        <n v="368.51"/>
        <n v="315.92"/>
        <n v="338.79"/>
        <n v="2335.8000000000002"/>
        <n v="1671.32"/>
        <n v="549.38"/>
        <n v="2523.29"/>
        <n v="1109.03"/>
        <n v="1904.54"/>
        <n v="388.55"/>
        <n v="637.26"/>
        <n v="618.66"/>
        <n v="1014.69"/>
        <n v="480.74"/>
        <n v="662.44"/>
        <n v="777.41"/>
        <n v="1184.71"/>
        <n v="432.45"/>
        <n v="1484.67"/>
        <n v="163.91"/>
        <n v="2410.09"/>
        <n v="227.36"/>
        <n v="977.39"/>
        <n v="2860.13"/>
        <n v="344.43"/>
        <n v="1593.31"/>
        <n v="1299.27"/>
        <n v="524.30999999999995"/>
        <n v="2110.75"/>
        <n v="596.59"/>
        <n v="609.04"/>
        <n v="352.09"/>
        <n v="917.52"/>
        <n v="795.6"/>
        <n v="1636.15"/>
        <n v="1240.5899999999999"/>
        <n v="417.53"/>
        <n v="467.08"/>
        <n v="2278.9499999999998"/>
        <n v="111.92"/>
        <n v="1147.2"/>
        <n v="1012.46"/>
        <n v="443.24"/>
        <n v="2272.04"/>
        <n v="1319.36"/>
        <n v="3146.19"/>
        <n v="3034.17"/>
        <n v="2326.7399999999998"/>
        <n v="716.63"/>
        <n v="464.74"/>
        <n v="3607.15"/>
        <n v="3344.49"/>
        <n v="205.7"/>
        <n v="1136.03"/>
        <n v="391.89"/>
        <n v="2671.03"/>
        <n v="1577.12"/>
        <n v="4350.49"/>
        <n v="938.52"/>
        <n v="710.17"/>
        <n v="1012.96"/>
        <n v="2136.96"/>
        <n v="2751.4"/>
        <n v="1034.49"/>
        <n v="1284.79"/>
        <n v="545.87"/>
        <n v="306.68"/>
        <n v="676.94"/>
        <n v="710.6"/>
        <n v="193.49"/>
        <n v="774.27"/>
        <n v="1140.71"/>
        <n v="192.95"/>
        <n v="3747"/>
        <n v="1878.71"/>
        <n v="2234.4699999999998"/>
        <n v="1500.2"/>
        <n v="6526.98"/>
        <n v="1349.12"/>
        <n v="507.48"/>
        <n v="761.65"/>
        <n v="920.04"/>
        <n v="1557.43"/>
        <n v="1684.27"/>
        <n v="2845.61"/>
        <n v="1246.67"/>
        <n v="145.47999999999999"/>
        <n v="1079.55"/>
        <n v="1114.71"/>
        <n v="635.73"/>
        <n v="1216.6199999999999"/>
        <n v="1510.7"/>
        <n v="282.64999999999998"/>
        <n v="1228.29"/>
        <n v="1516.76"/>
        <n v="737.14"/>
        <n v="318.56"/>
        <n v="669.7"/>
        <n v="381.17"/>
        <n v="2195.96"/>
        <n v="464.13"/>
        <n v="178.8"/>
        <n v="222.53"/>
        <n v="183.86"/>
        <n v="1324.99"/>
        <n v="1970.21"/>
        <n v="322.82"/>
        <n v="903.27"/>
        <n v="1895.71"/>
        <n v="1180.1199999999999"/>
        <n v="2227.12"/>
        <n v="360.18"/>
        <n v="449.63"/>
        <n v="5852.48"/>
        <n v="1875.36"/>
        <n v="702.37"/>
        <n v="3559.37"/>
        <n v="448.14"/>
        <n v="1161.92"/>
        <n v="553.82000000000005"/>
        <n v="333.67"/>
        <n v="198.85"/>
        <n v="845.55"/>
        <n v="444.98"/>
        <n v="1930.39"/>
        <n v="629.5"/>
        <n v="509.95"/>
        <n v="878.75"/>
        <n v="524.23"/>
        <n v="504.15"/>
        <n v="137.84"/>
        <n v="830.34"/>
        <n v="1554.61"/>
        <n v="339.82"/>
        <n v="466.78"/>
        <n v="1080.73"/>
        <n v="513.97"/>
        <n v="1034.4100000000001"/>
        <n v="453.04"/>
        <n v="1505.02"/>
        <n v="588.27"/>
        <n v="556.39"/>
        <n v="1676.74"/>
        <n v="1188.5899999999999"/>
        <n v="2738.6"/>
        <n v="2664.2"/>
        <n v="1876.05"/>
        <n v="779.11"/>
        <n v="325.16000000000003"/>
        <n v="1636.93"/>
        <n v="2296.88"/>
        <n v="524.52"/>
        <n v="1427.83"/>
        <n v="397.84"/>
        <n v="1221.68"/>
        <n v="301.45999999999998"/>
        <n v="713.45"/>
        <n v="1829.85"/>
        <n v="1850.74"/>
        <n v="1202.06"/>
        <n v="1631.44"/>
        <n v="1266.3399999999999"/>
        <n v="855.1"/>
        <n v="504.72"/>
        <n v="1146.1500000000001"/>
        <n v="273.69"/>
        <n v="821.82"/>
        <n v="192.45"/>
        <n v="623.6"/>
        <n v="378.03"/>
        <n v="834.17"/>
        <n v="1046.44"/>
        <n v="1673.3"/>
        <n v="405.9"/>
        <n v="823.19"/>
        <n v="2150.6799999999998"/>
        <n v="942.01"/>
        <n v="1193.49"/>
        <n v="3169.61"/>
        <n v="469.91"/>
        <n v="393.52"/>
        <n v="313.76"/>
        <n v="820.41"/>
        <n v="1170.8"/>
        <n v="1723.57"/>
        <n v="1225.6199999999999"/>
        <n v="195.85"/>
        <n v="1494.6"/>
        <n v="1422.71"/>
        <n v="705.74"/>
        <n v="557.66999999999996"/>
        <n v="483.05"/>
        <n v="1396.4"/>
        <n v="862.24"/>
        <n v="1172.6400000000001"/>
        <n v="2832.17"/>
        <n v="620.16"/>
        <n v="2647.62"/>
        <n v="2310.1799999999998"/>
        <n v="645.83000000000004"/>
        <n v="802.81"/>
        <n v="1112.3599999999999"/>
        <n v="1502.54"/>
        <n v="1121.25"/>
        <n v="840.74"/>
        <n v="207.73"/>
        <n v="1021.77"/>
        <n v="815.45"/>
        <n v="855.06"/>
        <n v="301.58"/>
        <n v="303.99"/>
        <n v="1605.1"/>
        <n v="433.68"/>
        <n v="826.03"/>
        <n v="997.97"/>
        <n v="427.09"/>
        <n v="393.75"/>
        <n v="1491.3"/>
        <n v="787.44"/>
        <n v="350.07"/>
        <n v="836.87"/>
        <n v="1838.53"/>
        <n v="2015.27"/>
        <n v="319.98"/>
        <n v="246.53"/>
        <n v="410.13"/>
        <n v="855.49"/>
        <n v="890.86"/>
        <n v="1108.47"/>
        <n v="442.38"/>
        <n v="579.79999999999995"/>
        <n v="1004.79"/>
        <n v="1259.7"/>
        <n v="1656.11"/>
        <n v="1975.44"/>
        <n v="254.36"/>
        <n v="868.04"/>
        <n v="509.33"/>
        <n v="1782.21"/>
        <n v="363.37"/>
        <n v="1282.47"/>
        <n v="584.46"/>
        <n v="672.67"/>
        <n v="346.55"/>
        <n v="2756"/>
        <n v="1558.03"/>
        <n v="323.05"/>
        <n v="932.3"/>
        <n v="1557.9"/>
        <n v="1182.82"/>
        <n v="1152"/>
        <n v="948.49"/>
        <n v="794.23"/>
        <n v="1866.11"/>
        <n v="350.84"/>
        <n v="3235.86"/>
        <n v="494.56"/>
        <n v="440.01"/>
        <n v="936.62"/>
        <n v="1092.74"/>
        <n v="852.91"/>
        <n v="3340.33"/>
        <n v="1773.96"/>
        <n v="1077.8699999999999"/>
        <n v="733.1"/>
        <n v="3019.3"/>
        <n v="435.98"/>
        <n v="1157.04"/>
        <n v="311.95"/>
        <n v="558.75"/>
        <n v="221.43"/>
        <n v="731.6"/>
        <n v="1579.44"/>
        <n v="1259.51"/>
        <n v="279.02999999999997"/>
        <n v="882.25"/>
        <n v="907.25"/>
        <n v="686.11"/>
        <n v="572.74"/>
        <n v="280.95999999999998"/>
        <n v="2557.9699999999998"/>
        <n v="151.26"/>
        <n v="1815.2"/>
        <n v="1829.96"/>
        <n v="773.15"/>
        <n v="756.7"/>
        <n v="301.51"/>
        <n v="1335.12"/>
        <n v="1144.92"/>
        <n v="1659.34"/>
        <n v="2300.75"/>
        <n v="794.74"/>
        <n v="920.57"/>
        <n v="4747.8900000000003"/>
        <n v="1103.07"/>
        <n v="668.82"/>
        <n v="999.92"/>
        <n v="594.11"/>
        <n v="367.89"/>
        <n v="1061.9100000000001"/>
        <n v="231.19"/>
        <n v="770.93"/>
        <n v="1955.01"/>
        <n v="969.4"/>
        <n v="2330.8000000000002"/>
        <n v="1490.14"/>
        <n v="1048.4100000000001"/>
        <n v="2038.34"/>
        <n v="706.64"/>
        <n v="1329.81"/>
        <n v="365.98"/>
        <n v="464.9"/>
        <n v="257"/>
        <n v="250.14"/>
        <n v="404.21"/>
        <n v="1817.69"/>
        <n v="732.13"/>
        <n v="2147.62"/>
        <n v="615.89"/>
        <n v="448.71"/>
        <n v="779.59"/>
        <n v="615.25"/>
        <n v="709.04"/>
        <n v="221.23"/>
        <n v="461.69"/>
        <n v="911.11"/>
        <n v="438.6"/>
        <n v="554.04"/>
        <n v="1566.79"/>
        <n v="1388.77"/>
        <n v="1798.07"/>
        <n v="429.32"/>
        <n v="483.36"/>
        <n v="361.62"/>
        <n v="600.65"/>
        <n v="1701"/>
        <n v="2068.77"/>
        <n v="177.26"/>
        <n v="199.13"/>
        <n v="977.85"/>
        <n v="748.09"/>
        <n v="280.18"/>
        <n v="661.54"/>
        <n v="1044.95"/>
        <n v="143.74"/>
        <n v="506.67"/>
        <n v="233.87"/>
        <n v="468.9"/>
        <n v="569.4"/>
        <n v="212.37"/>
        <n v="324.27999999999997"/>
        <n v="1493.09"/>
        <n v="420.05"/>
        <n v="642.53"/>
        <n v="626.09"/>
        <n v="940.25"/>
        <n v="1413.52"/>
        <n v="499.33"/>
        <n v="399.53"/>
        <n v="566.73"/>
        <n v="496.27"/>
        <n v="360.02"/>
        <n v="880.04"/>
        <n v="1176.7"/>
        <n v="742.48"/>
        <n v="341.84"/>
        <n v="1197.32"/>
        <n v="542.11"/>
        <n v="533.26"/>
        <n v="585.05999999999995"/>
        <n v="1757.15"/>
        <n v="441.72"/>
        <n v="521.91"/>
        <n v="2101.1"/>
        <n v="697.37"/>
        <n v="1125.95"/>
      </sharedItems>
      <fieldGroup base="7">
        <rangePr autoStart="0" autoEnd="0" startNum="0" endNum="8000" groupInterval="1000"/>
        <groupItems count="10">
          <s v="&lt;0"/>
          <s v="0-1000"/>
          <s v="1000-2000"/>
          <s v="2000-3000"/>
          <s v="3000-4000"/>
          <s v="4000-5000"/>
          <s v="5000-6000"/>
          <s v="6000-7000"/>
          <s v="7000-8000"/>
          <s v="&gt;8000"/>
        </groupItems>
      </fieldGroup>
    </cacheField>
    <cacheField name="Claim Amount" numFmtId="164">
      <sharedItems containsSemiMixedTypes="0" containsString="0" containsNumber="1" minValue="104.59" maxValue="13053.95" count="1655">
        <n v="1084.94"/>
        <n v="900.12"/>
        <n v="4349.0200000000004"/>
        <n v="1337.58"/>
        <n v="1378.33"/>
        <n v="1676.22"/>
        <n v="1401.97"/>
        <n v="1395.13"/>
        <n v="3385.84"/>
        <n v="3629.2"/>
        <n v="1300.32"/>
        <n v="654.41"/>
        <n v="986.28"/>
        <n v="292.75"/>
        <n v="493.28"/>
        <n v="499.44"/>
        <n v="590.61"/>
        <n v="567.54999999999995"/>
        <n v="720.87"/>
        <n v="721.97"/>
        <n v="1920.17"/>
        <n v="793.13"/>
        <n v="1285.47"/>
        <n v="647.41"/>
        <n v="1532.38"/>
        <n v="784.64"/>
        <n v="174.47"/>
        <n v="1896.82"/>
        <n v="368.66"/>
        <n v="1086.01"/>
        <n v="1352.6"/>
        <n v="859.41"/>
        <n v="490.52"/>
        <n v="1885.42"/>
        <n v="2350.19"/>
        <n v="336.8"/>
        <n v="791.99"/>
        <n v="1240.01"/>
        <n v="5106.88"/>
        <n v="619.47"/>
        <n v="919.09"/>
        <n v="1828.81"/>
        <n v="1066.1099999999999"/>
        <n v="1502.58"/>
        <n v="707.95"/>
        <n v="2871.82"/>
        <n v="928.79"/>
        <n v="344.72"/>
        <n v="4363.21"/>
        <n v="1881.91"/>
        <n v="721.29"/>
        <n v="775.44"/>
        <n v="1195.55"/>
        <n v="587.02"/>
        <n v="903.56"/>
        <n v="2960.05"/>
        <n v="1091.02"/>
        <n v="518.12"/>
        <n v="979.79"/>
        <n v="828.54"/>
        <n v="439.5"/>
        <n v="1828.6"/>
        <n v="4752.6400000000003"/>
        <n v="793.88"/>
        <n v="1512.6"/>
        <n v="881.94"/>
        <n v="1361.05"/>
        <n v="504.27"/>
        <n v="1915.72"/>
        <n v="1030.23"/>
        <n v="221.75"/>
        <n v="325.17"/>
        <n v="386.2"/>
        <n v="1070.1400000000001"/>
        <n v="1704.94"/>
        <n v="747.73"/>
        <n v="857.79"/>
        <n v="1199.8399999999999"/>
        <n v="770.66"/>
        <n v="1275.9000000000001"/>
        <n v="464.64"/>
        <n v="1856.09"/>
        <n v="7898.01"/>
        <n v="243.15"/>
        <n v="654.86"/>
        <n v="782.24"/>
        <n v="653.37"/>
        <n v="1609.11"/>
        <n v="453.99"/>
        <n v="588.41"/>
        <n v="323.69"/>
        <n v="1363.95"/>
        <n v="2159.7199999999998"/>
        <n v="661.77"/>
        <n v="1045.96"/>
        <n v="1061.3"/>
        <n v="596.03"/>
        <n v="914.72"/>
        <n v="1089.1199999999999"/>
        <n v="1513.35"/>
        <n v="1084.92"/>
        <n v="321.33"/>
        <n v="1486.49"/>
        <n v="355.21"/>
        <n v="381.06"/>
        <n v="852.9"/>
        <n v="2597.35"/>
        <n v="235.54"/>
        <n v="3383.57"/>
        <n v="2623.13"/>
        <n v="698.56"/>
        <n v="1065.54"/>
        <n v="3120.19"/>
        <n v="239.82"/>
        <n v="2093.35"/>
        <n v="363.07"/>
        <n v="749.69"/>
        <n v="735"/>
        <n v="3110.7"/>
        <n v="475.99"/>
        <n v="1242.24"/>
        <n v="287.29000000000002"/>
        <n v="324.37"/>
        <n v="1404.76"/>
        <n v="2784.53"/>
        <n v="400.84"/>
        <n v="1440.76"/>
        <n v="263.20999999999998"/>
        <n v="416.75"/>
        <n v="1037.8900000000001"/>
        <n v="586.02"/>
        <n v="2942.73"/>
        <n v="826.56"/>
        <n v="938.25"/>
        <n v="817.42"/>
        <n v="891.91"/>
        <n v="606.07000000000005"/>
        <n v="485.97"/>
        <n v="570.07000000000005"/>
        <n v="985.35"/>
        <n v="424.78"/>
        <n v="845.83"/>
        <n v="1209.6400000000001"/>
        <n v="2188.87"/>
        <n v="907.36"/>
        <n v="601.91999999999996"/>
        <n v="574.03"/>
        <n v="775.72"/>
        <n v="461.1"/>
        <n v="1837.78"/>
        <n v="2328.21"/>
        <n v="1198.81"/>
        <n v="1545.69"/>
        <n v="1214.78"/>
        <n v="656.91"/>
        <n v="268.64999999999998"/>
        <n v="527.57000000000005"/>
        <n v="1611.29"/>
        <n v="2172.44"/>
        <n v="1237.8"/>
        <n v="1873.1"/>
        <n v="1470.32"/>
        <n v="434.62"/>
        <n v="293.5"/>
        <n v="1579.16"/>
        <n v="786.4"/>
        <n v="5102.46"/>
        <n v="1449.8"/>
        <n v="4443.83"/>
        <n v="891.15"/>
        <n v="1999.09"/>
        <n v="1288.55"/>
        <n v="251.16"/>
        <n v="781.69"/>
        <n v="3984.81"/>
        <n v="548.77"/>
        <n v="2393.17"/>
        <n v="807.66"/>
        <n v="223.53"/>
        <n v="2501.79"/>
        <n v="891.81"/>
        <n v="478.54"/>
        <n v="720.6"/>
        <n v="2269.6999999999998"/>
        <n v="1060.6500000000001"/>
        <n v="700.44"/>
        <n v="1629.48"/>
        <n v="1268.28"/>
        <n v="874.3"/>
        <n v="184.73"/>
        <n v="273.42"/>
        <n v="287.35000000000002"/>
        <n v="679.13"/>
        <n v="2053.36"/>
        <n v="2285.27"/>
        <n v="398.32"/>
        <n v="1420.76"/>
        <n v="892.41"/>
        <n v="1505.89"/>
        <n v="1380.61"/>
        <n v="3394.92"/>
        <n v="1079.57"/>
        <n v="794.13"/>
        <n v="602.53"/>
        <n v="3155.07"/>
        <n v="420.61"/>
        <n v="1813.7"/>
        <n v="1652.9"/>
        <n v="276.37"/>
        <n v="1338.57"/>
        <n v="446.65"/>
        <n v="458.78"/>
        <n v="934.44"/>
        <n v="324.33"/>
        <n v="2714.31"/>
        <n v="1565.95"/>
        <n v="1340.08"/>
        <n v="181.89"/>
        <n v="327.02999999999997"/>
        <n v="1127.6500000000001"/>
        <n v="1034.44"/>
        <n v="836.73"/>
        <n v="1643.19"/>
        <n v="945.68"/>
        <n v="1033.42"/>
        <n v="517.30999999999995"/>
        <n v="736.01"/>
        <n v="1991.49"/>
        <n v="1105.05"/>
        <n v="1834.15"/>
        <n v="195.36"/>
        <n v="957.67"/>
        <n v="1481.37"/>
        <n v="1610.45"/>
        <n v="1655.02"/>
        <n v="1327.25"/>
        <n v="304.43"/>
        <n v="632.5"/>
        <n v="661.01"/>
        <n v="311.13"/>
        <n v="1114.21"/>
        <n v="402.87"/>
        <n v="979.51"/>
        <n v="601.27"/>
        <n v="2858.06"/>
        <n v="730.84"/>
        <n v="1789.59"/>
        <n v="674.2"/>
        <n v="701.38"/>
        <n v="977.82"/>
        <n v="320.06"/>
        <n v="347.91"/>
        <n v="307.44"/>
        <n v="1074.71"/>
        <n v="565.92999999999995"/>
        <n v="992.29"/>
        <n v="1155.2"/>
        <n v="1745.17"/>
        <n v="987.17"/>
        <n v="2287.6"/>
        <n v="1257.9000000000001"/>
        <n v="279.93"/>
        <n v="1121.77"/>
        <n v="968.19"/>
        <n v="1070.8699999999999"/>
        <n v="751.87"/>
        <n v="334.11"/>
        <n v="197.17"/>
        <n v="1846.87"/>
        <n v="1244.3900000000001"/>
        <n v="1607.09"/>
        <n v="711.16"/>
        <n v="675"/>
        <n v="541"/>
        <n v="371.15"/>
        <n v="6045.91"/>
        <n v="549.04"/>
        <n v="461.33"/>
        <n v="728.44"/>
        <n v="756.4"/>
        <n v="698.64"/>
        <n v="739.77"/>
        <n v="731.9"/>
        <n v="1530.95"/>
        <n v="3526.4"/>
        <n v="459.09"/>
        <n v="592.67999999999995"/>
        <n v="1111.08"/>
        <n v="452.76"/>
        <n v="594.38"/>
        <n v="2005.07"/>
        <n v="2820.14"/>
        <n v="503.09"/>
        <n v="1414.95"/>
        <n v="1867.24"/>
        <n v="256.25"/>
        <n v="583.54999999999995"/>
        <n v="1353.75"/>
        <n v="1987.96"/>
        <n v="628.62"/>
        <n v="1384.85"/>
        <n v="306.04000000000002"/>
        <n v="431.37"/>
        <n v="978.41"/>
        <n v="3760.72"/>
        <n v="1064.99"/>
        <n v="343.74"/>
        <n v="1221.83"/>
        <n v="1174.8399999999999"/>
        <n v="1692.99"/>
        <n v="462.23"/>
        <n v="1279.92"/>
        <n v="604.25"/>
        <n v="3963.76"/>
        <n v="293.85000000000002"/>
        <n v="339.12"/>
        <n v="285.83"/>
        <n v="3082.63"/>
        <n v="903.51"/>
        <n v="861.05"/>
        <n v="2089.7800000000002"/>
        <n v="510.71"/>
        <n v="1191.77"/>
        <n v="898.48"/>
        <n v="1424.84"/>
        <n v="3567.43"/>
        <n v="1305.8"/>
        <n v="1073.02"/>
        <n v="978.74"/>
        <n v="3292.66"/>
        <n v="442.39"/>
        <n v="2220.3200000000002"/>
        <n v="454.77"/>
        <n v="4025.55"/>
        <n v="871.3"/>
        <n v="725.57"/>
        <n v="935.4"/>
        <n v="1829.2"/>
        <n v="507.83"/>
        <n v="710.38"/>
        <n v="673.5"/>
        <n v="1002.52"/>
        <n v="3402.86"/>
        <n v="1301.8399999999999"/>
        <n v="2766.73"/>
        <n v="1212.6199999999999"/>
        <n v="845.63"/>
        <n v="790.31"/>
        <n v="429.47"/>
        <n v="508.22"/>
        <n v="963.56"/>
        <n v="1425.39"/>
        <n v="961.75"/>
        <n v="931.31"/>
        <n v="814.83"/>
        <n v="1457.21"/>
        <n v="621.27"/>
        <n v="908.17"/>
        <n v="2751.93"/>
        <n v="790.69"/>
        <n v="1033.03"/>
        <n v="922.79"/>
        <n v="458.23"/>
        <n v="262.63"/>
        <n v="1048.58"/>
        <n v="863.8"/>
        <n v="1365.4"/>
        <n v="1284.3"/>
        <n v="468.21"/>
        <n v="989.15"/>
        <n v="238.3"/>
        <n v="456.74"/>
        <n v="493"/>
        <n v="1525.57"/>
        <n v="509.21"/>
        <n v="3265.81"/>
        <n v="1222.43"/>
        <n v="688.29"/>
        <n v="523.41"/>
        <n v="1317.61"/>
        <n v="2838.13"/>
        <n v="1108.4000000000001"/>
        <n v="809.44"/>
        <n v="754.43"/>
        <n v="443.45"/>
        <n v="429.88"/>
        <n v="512.70000000000005"/>
        <n v="711.46"/>
        <n v="1309.3599999999999"/>
        <n v="623.55999999999995"/>
        <n v="963.84"/>
        <n v="301.23"/>
        <n v="597.61"/>
        <n v="550.13"/>
        <n v="2526.7600000000002"/>
        <n v="1921.49"/>
        <n v="572.89"/>
        <n v="1715.15"/>
        <n v="275.04000000000002"/>
        <n v="500.32"/>
        <n v="866.73"/>
        <n v="6202.92"/>
        <n v="1340.62"/>
        <n v="191.81"/>
        <n v="735.73"/>
        <n v="217.93"/>
        <n v="3212.7"/>
        <n v="1126.29"/>
        <n v="1224.1400000000001"/>
        <n v="1104.76"/>
        <n v="854.68"/>
        <n v="332.88"/>
        <n v="2845.72"/>
        <n v="490.77"/>
        <n v="966.72"/>
        <n v="823.42"/>
        <n v="1086.3399999999999"/>
        <n v="1332.79"/>
        <n v="908.45"/>
        <n v="377.59"/>
        <n v="169.52"/>
        <n v="326.16000000000003"/>
        <n v="1429.02"/>
        <n v="720"/>
        <n v="317.32"/>
        <n v="758.63"/>
        <n v="609.01"/>
        <n v="1228.19"/>
        <n v="1529.23"/>
        <n v="533.71"/>
        <n v="711.72"/>
        <n v="140.65"/>
        <n v="3168.3"/>
        <n v="1734.47"/>
        <n v="410.75"/>
        <n v="653.91999999999996"/>
        <n v="104.59"/>
        <n v="6304.42"/>
        <n v="284.33"/>
        <n v="1072.02"/>
        <n v="1557.41"/>
        <n v="353.42"/>
        <n v="364.33"/>
        <n v="626.74"/>
        <n v="879.23"/>
        <n v="512.21"/>
        <n v="1588.74"/>
        <n v="580.49"/>
        <n v="599.16999999999996"/>
        <n v="557.63"/>
        <n v="609.32000000000005"/>
        <n v="897.86"/>
        <n v="355.94"/>
        <n v="499.61"/>
        <n v="791.36"/>
        <n v="577.86"/>
        <n v="766.99"/>
        <n v="739.12"/>
        <n v="2552.6999999999998"/>
        <n v="603.82000000000005"/>
        <n v="1080.04"/>
        <n v="812.6"/>
        <n v="555.38"/>
        <n v="777.61"/>
        <n v="1987.44"/>
        <n v="561.42999999999995"/>
        <n v="383.49"/>
        <n v="1020.09"/>
        <n v="2808.23"/>
        <n v="1302.43"/>
        <n v="2467.2600000000002"/>
        <n v="1010.51"/>
        <n v="520.65"/>
        <n v="532.12"/>
        <n v="757.07"/>
        <n v="948.24"/>
        <n v="442.69"/>
        <n v="877.91"/>
        <n v="968.11"/>
        <n v="592.98"/>
        <n v="469.33"/>
        <n v="1859.04"/>
        <n v="737.69"/>
        <n v="518.41"/>
        <n v="796.89"/>
        <n v="913.25"/>
        <n v="834.82"/>
        <n v="2301.62"/>
        <n v="3873.18"/>
        <n v="1740.9"/>
        <n v="487.55"/>
        <n v="1493.31"/>
        <n v="507.56"/>
        <n v="839.48"/>
        <n v="2172.85"/>
        <n v="1936.32"/>
        <n v="1395.29"/>
        <n v="942.76"/>
        <n v="2123.9899999999998"/>
        <n v="2764.03"/>
        <n v="794.97"/>
        <n v="2190.92"/>
        <n v="864.63"/>
        <n v="1460.78"/>
        <n v="1506.83"/>
        <n v="525.84"/>
        <n v="1247.75"/>
        <n v="2925.64"/>
        <n v="2188.5500000000002"/>
        <n v="948.62"/>
        <n v="371.48"/>
        <n v="631.62"/>
        <n v="542.41999999999996"/>
        <n v="570.71"/>
        <n v="963.19"/>
        <n v="1141.77"/>
        <n v="2782.64"/>
        <n v="808.1"/>
        <n v="1965.33"/>
        <n v="971.65"/>
        <n v="1313.57"/>
        <n v="1381.99"/>
        <n v="891.77"/>
        <n v="536.95000000000005"/>
        <n v="466.77"/>
        <n v="2013.93"/>
        <n v="492.35"/>
        <n v="468.3"/>
        <n v="3321.29"/>
        <n v="2482.15"/>
        <n v="927.48"/>
        <n v="820.31"/>
        <n v="547.72"/>
        <n v="709.2"/>
        <n v="1837.16"/>
        <n v="598.17999999999995"/>
        <n v="1103.9100000000001"/>
        <n v="922.83"/>
        <n v="1392.99"/>
        <n v="1582.89"/>
        <n v="450.62"/>
        <n v="1145.03"/>
        <n v="616.16999999999996"/>
        <n v="1990.37"/>
        <n v="1665.93"/>
        <n v="276.7"/>
        <n v="376.9"/>
        <n v="1662.37"/>
        <n v="649.99"/>
        <n v="439.15"/>
        <n v="487.65"/>
        <n v="5386.65"/>
        <n v="503.33"/>
        <n v="5404.11"/>
        <n v="838.07"/>
        <n v="851.92"/>
        <n v="3203.46"/>
        <n v="307.39999999999998"/>
        <n v="1574.05"/>
        <n v="515.5"/>
        <n v="656.43"/>
        <n v="1253.24"/>
        <n v="2913.67"/>
        <n v="1321.36"/>
        <n v="949.27"/>
        <n v="2462.48"/>
        <n v="1712.42"/>
        <n v="940.89"/>
        <n v="991.75"/>
        <n v="1056.78"/>
        <n v="5001.8"/>
        <n v="530.45000000000005"/>
        <n v="1196.18"/>
        <n v="958.01"/>
        <n v="842.84"/>
        <n v="1916.42"/>
        <n v="2264.4"/>
        <n v="640.20000000000005"/>
        <n v="1007.52"/>
        <n v="519.82000000000005"/>
        <n v="4245.28"/>
        <n v="1701.33"/>
        <n v="911.9"/>
        <n v="1179.1600000000001"/>
        <n v="856.42"/>
        <n v="1964.67"/>
        <n v="904.26"/>
        <n v="679.09"/>
        <n v="809.32"/>
        <n v="1167.83"/>
        <n v="532.14"/>
        <n v="1446.32"/>
        <n v="450.84"/>
        <n v="627.63"/>
        <n v="567.32000000000005"/>
        <n v="1299.7"/>
        <n v="1049.9000000000001"/>
        <n v="282.02999999999997"/>
        <n v="1607.26"/>
        <n v="967.85"/>
        <n v="4269.95"/>
        <n v="612.51"/>
        <n v="615.98"/>
        <n v="1862.39"/>
        <n v="2379.79"/>
        <n v="951.77"/>
        <n v="771.21"/>
        <n v="495.42"/>
        <n v="612.32000000000005"/>
        <n v="1477"/>
        <n v="1501.41"/>
        <n v="708.47"/>
        <n v="328.34"/>
        <n v="1068.07"/>
        <n v="940.48"/>
        <n v="924.92"/>
        <n v="3346.02"/>
        <n v="539.78"/>
        <n v="4407.58"/>
        <n v="1852.55"/>
        <n v="2481.0700000000002"/>
        <n v="657.75"/>
        <n v="4596.47"/>
        <n v="702.21"/>
        <n v="2036.01"/>
        <n v="689.44"/>
        <n v="514.54999999999995"/>
        <n v="861.6"/>
        <n v="1681.62"/>
        <n v="1146.55"/>
        <n v="1290.44"/>
        <n v="316.13"/>
        <n v="817.1"/>
        <n v="897.83"/>
        <n v="3300.7"/>
        <n v="1126.21"/>
        <n v="650.73"/>
        <n v="1742.42"/>
        <n v="2073.87"/>
        <n v="1736.82"/>
        <n v="1522.91"/>
        <n v="634.66999999999996"/>
        <n v="532.77"/>
        <n v="2026.67"/>
        <n v="688.8"/>
        <n v="426.64"/>
        <n v="821"/>
        <n v="1076.33"/>
        <n v="1191.58"/>
        <n v="1404.94"/>
        <n v="377.23"/>
        <n v="1165.32"/>
        <n v="322.33"/>
        <n v="509.85"/>
        <n v="909.25"/>
        <n v="428.11"/>
        <n v="894.83"/>
        <n v="337.79"/>
        <n v="192.82"/>
        <n v="367.43"/>
        <n v="1703.3"/>
        <n v="219.96"/>
        <n v="496.01"/>
        <n v="350.1"/>
        <n v="1045.6199999999999"/>
        <n v="2480.11"/>
        <n v="1592.47"/>
        <n v="623.49"/>
        <n v="736.87"/>
        <n v="3790.12"/>
        <n v="1901.74"/>
        <n v="459.72"/>
        <n v="2046.23"/>
        <n v="2422.15"/>
        <n v="726.61"/>
        <n v="447.85"/>
        <n v="817.24"/>
        <n v="854.6"/>
        <n v="1756.88"/>
        <n v="767.21"/>
        <n v="464.24"/>
        <n v="2058.84"/>
        <n v="209.26"/>
        <n v="2486.06"/>
        <n v="1090.1300000000001"/>
        <n v="806.4"/>
        <n v="1333.48"/>
        <n v="844.72"/>
        <n v="743.41"/>
        <n v="897.19"/>
        <n v="2429.41"/>
        <n v="1351.03"/>
        <n v="770.46"/>
        <n v="654.03"/>
        <n v="400.97"/>
        <n v="549.53"/>
        <n v="1686.74"/>
        <n v="838.39"/>
        <n v="495.21"/>
        <n v="881.96"/>
        <n v="394.82"/>
        <n v="1539.72"/>
        <n v="859.53"/>
        <n v="422.01"/>
        <n v="1099.06"/>
        <n v="727.08"/>
        <n v="444.23"/>
        <n v="1128.6199999999999"/>
        <n v="799.34"/>
        <n v="1586.23"/>
        <n v="1163.03"/>
        <n v="735.82"/>
        <n v="4021.5"/>
        <n v="1156.98"/>
        <n v="1432.73"/>
        <n v="974.32"/>
        <n v="447.55"/>
        <n v="521.04"/>
        <n v="361.69"/>
        <n v="1524.38"/>
        <n v="1933.99"/>
        <n v="1223.46"/>
        <n v="2096.8200000000002"/>
        <n v="422.84"/>
        <n v="503.42"/>
        <n v="1982.55"/>
        <n v="764.42"/>
        <n v="1620.67"/>
        <n v="316.41000000000003"/>
        <n v="1946.01"/>
        <n v="539.36"/>
        <n v="6178.44"/>
        <n v="1121.96"/>
        <n v="1344.36"/>
        <n v="610.07000000000005"/>
        <n v="1928.7"/>
        <n v="1136.8800000000001"/>
        <n v="1458.98"/>
        <n v="1063.01"/>
        <n v="1874.39"/>
        <n v="4064.33"/>
        <n v="487.19"/>
        <n v="1395.78"/>
        <n v="199.62"/>
        <n v="1326.35"/>
        <n v="491.27"/>
        <n v="1908.09"/>
        <n v="2225.7800000000002"/>
        <n v="812.79"/>
        <n v="1076.3800000000001"/>
        <n v="1191.18"/>
        <n v="385.13"/>
        <n v="2401.11"/>
        <n v="912.86"/>
        <n v="577"/>
        <n v="820.95"/>
        <n v="720.84"/>
        <n v="2518.85"/>
        <n v="1303.25"/>
        <n v="1285.6300000000001"/>
        <n v="421.34"/>
        <n v="2316.81"/>
        <n v="2389.56"/>
        <n v="868.45"/>
        <n v="2378.38"/>
        <n v="2255.96"/>
        <n v="1162.92"/>
        <n v="902.57"/>
        <n v="1506.04"/>
        <n v="544.91999999999996"/>
        <n v="3698.69"/>
        <n v="1631.47"/>
        <n v="866.6"/>
        <n v="704.36"/>
        <n v="1375.39"/>
        <n v="1919.66"/>
        <n v="3276.39"/>
        <n v="991.82"/>
        <n v="712.29"/>
        <n v="2459.67"/>
        <n v="1794.96"/>
        <n v="8479.07"/>
        <n v="544.79999999999995"/>
        <n v="1262.67"/>
        <n v="1193.57"/>
        <n v="279.54000000000002"/>
        <n v="1717.78"/>
        <n v="3251.69"/>
        <n v="2008.9"/>
        <n v="965"/>
        <n v="744.75"/>
        <n v="1264.1500000000001"/>
        <n v="404.24"/>
        <n v="2264.0100000000002"/>
        <n v="2282.0700000000002"/>
        <n v="1566.26"/>
        <n v="702.29"/>
        <n v="730.06"/>
        <n v="1091.57"/>
        <n v="919.88"/>
        <n v="1141.97"/>
        <n v="1146.6199999999999"/>
        <n v="2433.15"/>
        <n v="948.04"/>
        <n v="1355.81"/>
        <n v="1035.22"/>
        <n v="1275.92"/>
        <n v="1666.7"/>
        <n v="1329.88"/>
        <n v="791.89"/>
        <n v="1070.49"/>
        <n v="932.28"/>
        <n v="1030.99"/>
        <n v="1809.89"/>
        <n v="769.8"/>
        <n v="553.73"/>
        <n v="1863.58"/>
        <n v="609.24"/>
        <n v="1080.3399999999999"/>
        <n v="1825.31"/>
        <n v="872.05"/>
        <n v="330.28"/>
        <n v="594.62"/>
        <n v="1189.04"/>
        <n v="1326.37"/>
        <n v="1241.24"/>
        <n v="1066.99"/>
        <n v="1307.26"/>
        <n v="1132.1400000000001"/>
        <n v="796.17"/>
        <n v="1449.74"/>
        <n v="358.69"/>
        <n v="1332.58"/>
        <n v="530.57000000000005"/>
        <n v="828.65"/>
        <n v="1509.06"/>
        <n v="1027.18"/>
        <n v="473.94"/>
        <n v="417.95"/>
        <n v="710.54"/>
        <n v="852.46"/>
        <n v="621.82000000000005"/>
        <n v="1074.1600000000001"/>
        <n v="3916.44"/>
        <n v="949.6"/>
        <n v="675.17"/>
        <n v="2598.33"/>
        <n v="647.75"/>
        <n v="1742.36"/>
        <n v="782.06"/>
        <n v="918.96"/>
        <n v="459.37"/>
        <n v="935.33"/>
        <n v="1342.17"/>
        <n v="1544.71"/>
        <n v="1405.7"/>
        <n v="1188.83"/>
        <n v="583.66"/>
        <n v="795.67"/>
        <n v="501.07"/>
        <n v="1292.8399999999999"/>
        <n v="1098.5"/>
        <n v="550.73"/>
        <n v="1110"/>
        <n v="630.89"/>
        <n v="350.46"/>
        <n v="676.99"/>
        <n v="3042.28"/>
        <n v="845.13"/>
        <n v="1513.25"/>
        <n v="861.47"/>
        <n v="406.6"/>
        <n v="320.89"/>
        <n v="337.12"/>
        <n v="3491.56"/>
        <n v="430.41"/>
        <n v="747.05"/>
        <n v="567.29999999999995"/>
        <n v="951.43"/>
        <n v="2355.3000000000002"/>
        <n v="459.05"/>
        <n v="730.21"/>
        <n v="3286.98"/>
        <n v="696.54"/>
        <n v="1368.31"/>
        <n v="810.05"/>
        <n v="640.75"/>
        <n v="2528.3000000000002"/>
        <n v="3552.08"/>
        <n v="572.71"/>
        <n v="1042.43"/>
        <n v="602.4"/>
        <n v="2633.2"/>
        <n v="673.58"/>
        <n v="590.28"/>
        <n v="261.06"/>
        <n v="2231.96"/>
        <n v="2331.54"/>
        <n v="1546.08"/>
        <n v="1423.63"/>
        <n v="683.76"/>
        <n v="300.05"/>
        <n v="1426.07"/>
        <n v="2817.62"/>
        <n v="384.24"/>
        <n v="653.6"/>
        <n v="1454.12"/>
        <n v="1867.36"/>
        <n v="1096.95"/>
        <n v="1924.48"/>
        <n v="995.28"/>
        <n v="2073.65"/>
        <n v="382.05"/>
        <n v="387.08"/>
        <n v="752.15"/>
        <n v="4155.99"/>
        <n v="554.65"/>
        <n v="2340.54"/>
        <n v="2075.54"/>
        <n v="841.01"/>
        <n v="792.57"/>
        <n v="416.42"/>
        <n v="748.64"/>
        <n v="1223.76"/>
        <n v="745.32"/>
        <n v="1602.66"/>
        <n v="678.98"/>
        <n v="1178.19"/>
        <n v="669.04"/>
        <n v="510.84"/>
        <n v="877.01"/>
        <n v="765.04"/>
        <n v="731.5"/>
        <n v="833.76"/>
        <n v="682.05"/>
        <n v="1885.89"/>
        <n v="347.44"/>
        <n v="656.41"/>
        <n v="356.49"/>
        <n v="802.84"/>
        <n v="1455.37"/>
        <n v="3421.64"/>
        <n v="1404.7"/>
        <n v="335.33"/>
        <n v="170.38"/>
        <n v="471.48"/>
        <n v="778.48"/>
        <n v="1316.85"/>
        <n v="715.34"/>
        <n v="1590.47"/>
        <n v="847.51"/>
        <n v="639.42999999999995"/>
        <n v="1673.11"/>
        <n v="655.25"/>
        <n v="1102.8499999999999"/>
        <n v="720.32"/>
        <n v="1247.8399999999999"/>
        <n v="2539.64"/>
        <n v="1180.6300000000001"/>
        <n v="1257.46"/>
        <n v="1554.9"/>
        <n v="2537.5"/>
        <n v="421.5"/>
        <n v="1098.99"/>
        <n v="536.42999999999995"/>
        <n v="1118.04"/>
        <n v="1004.15"/>
        <n v="1347.25"/>
        <n v="442.46"/>
        <n v="777.56"/>
        <n v="618.44000000000005"/>
        <n v="2850.06"/>
        <n v="887.25"/>
        <n v="1112.72"/>
        <n v="2111.31"/>
        <n v="1584.26"/>
        <n v="1831.63"/>
        <n v="1188.29"/>
        <n v="502.73"/>
        <n v="615.54"/>
        <n v="1324.27"/>
        <n v="1811.7"/>
        <n v="2403.04"/>
        <n v="3264.89"/>
        <n v="517.47"/>
        <n v="392.05"/>
        <n v="426.86"/>
        <n v="2195.25"/>
        <n v="1768.96"/>
        <n v="802.37"/>
        <n v="947.76"/>
        <n v="664.91"/>
        <n v="429.14"/>
        <n v="723.11"/>
        <n v="1496.78"/>
        <n v="580.73"/>
        <n v="1213.78"/>
        <n v="1314.08"/>
        <n v="165.49"/>
        <n v="1404.05"/>
        <n v="4375.9399999999996"/>
        <n v="1160.25"/>
        <n v="571.84"/>
        <n v="1199.31"/>
        <n v="918.05"/>
        <n v="7352.02"/>
        <n v="1995.51"/>
        <n v="1576.55"/>
        <n v="1699.32"/>
        <n v="1617.62"/>
        <n v="280.64999999999998"/>
        <n v="1347.42"/>
        <n v="1315.87"/>
        <n v="3210.23"/>
        <n v="817.35"/>
        <n v="712.74"/>
        <n v="868.37"/>
        <n v="728.65"/>
        <n v="560.66"/>
        <n v="1601.4"/>
        <n v="1017.48"/>
        <n v="1904.37"/>
        <n v="1469.41"/>
        <n v="803.1"/>
        <n v="4177.8100000000004"/>
        <n v="601.79"/>
        <n v="533.67999999999995"/>
        <n v="1374.98"/>
        <n v="430.83"/>
        <n v="1803.37"/>
        <n v="1669.65"/>
        <n v="308.83"/>
        <n v="912.07"/>
        <n v="1228.17"/>
        <n v="872.52"/>
        <n v="650.07000000000005"/>
        <n v="740.52"/>
        <n v="1037.92"/>
        <n v="506.93"/>
        <n v="1461.07"/>
        <n v="7103.03"/>
        <n v="677.98"/>
        <n v="816.09"/>
        <n v="750.78"/>
        <n v="228.98"/>
        <n v="2215.0300000000002"/>
        <n v="1977"/>
        <n v="836.13"/>
        <n v="497.4"/>
        <n v="903.35"/>
        <n v="1696.24"/>
        <n v="1825.94"/>
        <n v="2929.64"/>
        <n v="838.1"/>
        <n v="448.44"/>
        <n v="940.98"/>
        <n v="1819.11"/>
        <n v="2219.59"/>
        <n v="2277.19"/>
        <n v="979.05"/>
        <n v="1715.49"/>
        <n v="1089.28"/>
        <n v="864.03"/>
        <n v="785.36"/>
        <n v="748.57"/>
        <n v="2464.21"/>
        <n v="2998.08"/>
        <n v="1015.09"/>
        <n v="875.28"/>
        <n v="454.89"/>
        <n v="1036"/>
        <n v="912.37"/>
        <n v="522.14"/>
        <n v="281.02"/>
        <n v="1110.56"/>
        <n v="1170.29"/>
        <n v="511.2"/>
        <n v="1132.06"/>
        <n v="553.41"/>
        <n v="5560"/>
        <n v="732.7"/>
        <n v="843.56"/>
        <n v="650.9"/>
        <n v="1130.7"/>
        <n v="810.87"/>
        <n v="1274.83"/>
        <n v="4383.8100000000004"/>
        <n v="1306.3699999999999"/>
        <n v="1134.94"/>
        <n v="228.68"/>
        <n v="1198.01"/>
        <n v="869.25"/>
        <n v="614.62"/>
        <n v="1094.5999999999999"/>
        <n v="521.46"/>
        <n v="666.21"/>
        <n v="2772.2"/>
        <n v="1679.56"/>
        <n v="765.85"/>
        <n v="2688.86"/>
        <n v="335.82"/>
        <n v="360.95"/>
        <n v="516.49"/>
        <n v="1264.72"/>
        <n v="343.81"/>
        <n v="300.25"/>
        <n v="1380.51"/>
        <n v="2674.39"/>
        <n v="687.83"/>
        <n v="432.51"/>
        <n v="1460.46"/>
        <n v="887.15"/>
        <n v="984.31"/>
        <n v="1184.6500000000001"/>
        <n v="958.34"/>
        <n v="888.39"/>
        <n v="2011.36"/>
        <n v="818.32"/>
        <n v="297.29000000000002"/>
        <n v="1782.19"/>
        <n v="1642.02"/>
        <n v="565.71"/>
        <n v="1596.78"/>
        <n v="673.45"/>
        <n v="1120.94"/>
        <n v="1212.18"/>
        <n v="805.58"/>
        <n v="327.58999999999997"/>
        <n v="196.19"/>
        <n v="2501.19"/>
        <n v="325.52"/>
        <n v="1273.3499999999999"/>
        <n v="837.57"/>
        <n v="1337.17"/>
        <n v="851.8"/>
        <n v="707.77"/>
        <n v="1000.7"/>
        <n v="1502.87"/>
        <n v="1482.9"/>
        <n v="3583.48"/>
        <n v="1491.7"/>
        <n v="515.73"/>
        <n v="395.76"/>
        <n v="2273.64"/>
        <n v="710.76"/>
        <n v="281.64"/>
        <n v="1071.19"/>
        <n v="887.02"/>
        <n v="1489.46"/>
        <n v="743.54"/>
        <n v="1189.3699999999999"/>
        <n v="971.49"/>
        <n v="788.54"/>
        <n v="916.72"/>
        <n v="2543.35"/>
        <n v="810.8"/>
        <n v="718.95"/>
        <n v="878.64"/>
        <n v="622.30999999999995"/>
        <n v="1313.46"/>
        <n v="1661.32"/>
        <n v="376.09"/>
        <n v="1104.28"/>
        <n v="303.27"/>
        <n v="253.87"/>
        <n v="2593.46"/>
        <n v="1808.04"/>
        <n v="1316.67"/>
        <n v="932.91"/>
        <n v="3433.15"/>
        <n v="1639.95"/>
        <n v="786.41"/>
        <n v="973.92"/>
        <n v="731.57"/>
        <n v="492.4"/>
        <n v="678.97"/>
        <n v="666.39"/>
        <n v="2860.11"/>
        <n v="1066.6600000000001"/>
        <n v="1319.5"/>
        <n v="1097.1500000000001"/>
        <n v="362.83"/>
        <n v="1433.95"/>
        <n v="1662.3"/>
        <n v="2527.17"/>
        <n v="677.52"/>
        <n v="1037.54"/>
        <n v="3586.57"/>
        <n v="1709.35"/>
        <n v="1292.21"/>
        <n v="1807.88"/>
        <n v="429.4"/>
        <n v="799.07"/>
        <n v="1495.89"/>
        <n v="1337.16"/>
        <n v="508.38"/>
        <n v="580.57000000000005"/>
        <n v="432.78"/>
        <n v="905.37"/>
        <n v="1551.13"/>
        <n v="5832.72"/>
        <n v="945.26"/>
        <n v="719.9"/>
        <n v="282.92"/>
        <n v="891.05"/>
        <n v="592.94000000000005"/>
        <n v="707.1"/>
        <n v="2330.6"/>
        <n v="3165.95"/>
        <n v="269.39999999999998"/>
        <n v="1819.55"/>
        <n v="326.35000000000002"/>
        <n v="762.84"/>
        <n v="1063.3"/>
        <n v="407.83"/>
        <n v="1491.15"/>
        <n v="960.77"/>
        <n v="1651.19"/>
        <n v="605.64"/>
        <n v="1183.82"/>
        <n v="1497.28"/>
        <n v="954.28"/>
        <n v="1071.5899999999999"/>
        <n v="1723.02"/>
        <n v="969.65"/>
        <n v="585.55999999999995"/>
        <n v="1437.12"/>
        <n v="423.58"/>
        <n v="351.3"/>
        <n v="354.71"/>
        <n v="751.19"/>
        <n v="442.1"/>
        <n v="4514.71"/>
        <n v="931.74"/>
        <n v="1872.18"/>
        <n v="321.35000000000002"/>
        <n v="509.37"/>
        <n v="544.62"/>
        <n v="1495.02"/>
        <n v="2652.5"/>
        <n v="901.9"/>
        <n v="806.22"/>
        <n v="1451.04"/>
        <n v="1424.33"/>
        <n v="1068.68"/>
        <n v="1277.5999999999999"/>
        <n v="273.04000000000002"/>
        <n v="718.68"/>
        <n v="532.11"/>
        <n v="264.07"/>
        <n v="751.18"/>
        <n v="733.26"/>
        <n v="1603.58"/>
        <n v="1941.85"/>
        <n v="798.03"/>
        <n v="2068.41"/>
        <n v="2406.2800000000002"/>
        <n v="574.83000000000004"/>
        <n v="3165.63"/>
        <n v="2458.9299999999998"/>
        <n v="447.53"/>
        <n v="1625.55"/>
        <n v="1301.8499999999999"/>
        <n v="2141.2800000000002"/>
        <n v="1920.55"/>
        <n v="513.92999999999995"/>
        <n v="2190.44"/>
        <n v="641.33000000000004"/>
        <n v="238.52"/>
        <n v="930.01"/>
        <n v="3597.16"/>
        <n v="652.49"/>
        <n v="782.65"/>
        <n v="1195.77"/>
        <n v="2417.9499999999998"/>
        <n v="2020.54"/>
        <n v="1652.41"/>
        <n v="937.48"/>
        <n v="564.52"/>
        <n v="368.51"/>
        <n v="631.83000000000004"/>
        <n v="1016.36"/>
        <n v="2335.8000000000002"/>
        <n v="1671.32"/>
        <n v="549.38"/>
        <n v="2523.29"/>
        <n v="1109.03"/>
        <n v="1904.54"/>
        <n v="388.55"/>
        <n v="1274.53"/>
        <n v="618.66"/>
        <n v="1014.69"/>
        <n v="480.74"/>
        <n v="662.44"/>
        <n v="777.41"/>
        <n v="1184.71"/>
        <n v="432.45"/>
        <n v="4454"/>
        <n v="491.73"/>
        <n v="2410.09"/>
        <n v="227.36"/>
        <n v="977.39"/>
        <n v="2860.13"/>
        <n v="344.43"/>
        <n v="1593.31"/>
        <n v="1299.27"/>
        <n v="524.30999999999995"/>
        <n v="4221.49"/>
        <n v="596.59"/>
        <n v="609.04"/>
        <n v="352.09"/>
        <n v="917.52"/>
        <n v="795.6"/>
        <n v="1636.15"/>
        <n v="1240.5899999999999"/>
        <n v="417.53"/>
        <n v="934.17"/>
        <n v="2278.9499999999998"/>
        <n v="223.84"/>
        <n v="1147.2"/>
        <n v="1012.46"/>
        <n v="443.24"/>
        <n v="2272.04"/>
        <n v="1319.36"/>
        <n v="3146.19"/>
        <n v="3034.17"/>
        <n v="2326.7399999999998"/>
        <n v="716.63"/>
        <n v="464.74"/>
        <n v="3607.15"/>
        <n v="3344.49"/>
        <n v="411.4"/>
        <n v="1136.03"/>
        <n v="783.78"/>
        <n v="2671.03"/>
        <n v="1577.12"/>
        <n v="4350.49"/>
        <n v="938.52"/>
        <n v="710.17"/>
        <n v="1012.96"/>
        <n v="2136.96"/>
        <n v="2751.4"/>
        <n v="1034.49"/>
        <n v="1284.79"/>
        <n v="545.87"/>
        <n v="613.36"/>
        <n v="676.94"/>
        <n v="710.6"/>
        <n v="193.49"/>
        <n v="1548.53"/>
        <n v="1140.71"/>
        <n v="385.9"/>
        <n v="3747"/>
        <n v="1878.71"/>
        <n v="2234.4699999999998"/>
        <n v="1500.2"/>
        <n v="13053.95"/>
        <n v="1349.12"/>
        <n v="507.48"/>
        <n v="761.65"/>
        <n v="920.04"/>
        <n v="1557.43"/>
        <n v="1684.27"/>
        <n v="2845.61"/>
        <n v="1246.67"/>
        <n v="145.47999999999999"/>
        <n v="1079.55"/>
        <n v="1114.71"/>
        <n v="635.73"/>
        <n v="1216.6199999999999"/>
        <n v="1510.7"/>
        <n v="282.64999999999998"/>
        <n v="1228.29"/>
        <n v="1516.76"/>
        <n v="737.14"/>
        <n v="318.56"/>
        <n v="669.7"/>
        <n v="381.17"/>
        <n v="2195.96"/>
        <n v="464.13"/>
        <n v="357.61"/>
        <n v="222.53"/>
        <n v="367.72"/>
        <n v="1324.99"/>
        <n v="1970.21"/>
        <n v="322.82"/>
        <n v="903.27"/>
        <n v="1895.71"/>
        <n v="1180.1199999999999"/>
        <n v="2227.12"/>
        <n v="360.18"/>
        <n v="899.26"/>
        <n v="5852.48"/>
        <n v="1875.36"/>
        <n v="702.37"/>
        <n v="3559.37"/>
        <n v="448.14"/>
        <n v="1161.92"/>
        <n v="553.82000000000005"/>
        <n v="333.67"/>
        <n v="198.85"/>
        <n v="845.55"/>
        <n v="444.98"/>
        <n v="1930.39"/>
        <n v="629.5"/>
        <n v="509.95"/>
        <n v="878.75"/>
        <n v="524.23"/>
        <n v="1008.29"/>
        <n v="413.51"/>
        <n v="830.34"/>
        <n v="1554.61"/>
        <n v="339.82"/>
        <n v="933.55"/>
        <n v="1080.73"/>
        <n v="513.97"/>
        <n v="1034.4100000000001"/>
        <n v="906.08"/>
        <n v="1505.02"/>
        <n v="588.27"/>
        <n v="556.39"/>
        <n v="1676.74"/>
        <n v="1188.5899999999999"/>
        <n v="5477.2"/>
        <n v="2664.2"/>
        <n v="1876.05"/>
        <n v="779.11"/>
        <n v="325.16000000000003"/>
        <n v="1636.93"/>
        <n v="2296.88"/>
        <n v="524.52"/>
        <n v="1427.83"/>
        <n v="397.84"/>
        <n v="1221.68"/>
        <n v="301.45999999999998"/>
        <n v="713.45"/>
        <n v="1829.85"/>
        <n v="1850.74"/>
        <n v="1202.06"/>
        <n v="1631.44"/>
        <n v="1266.3399999999999"/>
        <n v="855.1"/>
        <n v="1009.44"/>
        <n v="2292.29"/>
        <n v="273.69"/>
        <n v="821.82"/>
        <n v="192.45"/>
        <n v="1870.79"/>
        <n v="756.06"/>
        <n v="834.17"/>
        <n v="1046.44"/>
        <n v="1673.3"/>
        <n v="405.9"/>
        <n v="823.19"/>
        <n v="2150.6799999999998"/>
        <n v="1884.02"/>
        <n v="2386.9699999999998"/>
        <n v="3169.61"/>
        <n v="469.91"/>
        <n v="393.52"/>
        <n v="627.51"/>
        <n v="820.41"/>
        <n v="1170.8"/>
        <n v="1723.57"/>
        <n v="1225.6199999999999"/>
        <n v="783.4"/>
        <n v="1494.6"/>
        <n v="1422.71"/>
        <n v="1411.48"/>
        <n v="1673.01"/>
        <n v="483.05"/>
        <n v="1396.4"/>
        <n v="862.24"/>
        <n v="1172.6400000000001"/>
        <n v="2832.17"/>
        <n v="1240.31"/>
        <n v="2647.62"/>
        <n v="2310.1799999999998"/>
        <n v="645.83000000000004"/>
        <n v="802.81"/>
        <n v="1112.3599999999999"/>
        <n v="1502.54"/>
        <n v="1121.25"/>
        <n v="2522.23"/>
        <n v="207.73"/>
        <n v="1021.77"/>
        <n v="815.45"/>
        <n v="855.06"/>
        <n v="603.16"/>
        <n v="303.99"/>
        <n v="1605.1"/>
        <n v="433.68"/>
        <n v="826.03"/>
        <n v="997.97"/>
        <n v="427.09"/>
        <n v="393.75"/>
        <n v="1491.3"/>
        <n v="787.44"/>
        <n v="350.07"/>
        <n v="836.87"/>
        <n v="1838.53"/>
        <n v="2015.27"/>
        <n v="319.98"/>
        <n v="246.53"/>
        <n v="820.25"/>
        <n v="855.49"/>
        <n v="890.86"/>
        <n v="1108.47"/>
        <n v="442.38"/>
        <n v="579.79999999999995"/>
        <n v="1004.79"/>
        <n v="1259.7"/>
        <n v="1656.11"/>
        <n v="1975.44"/>
        <n v="254.36"/>
        <n v="868.04"/>
        <n v="509.33"/>
        <n v="1782.21"/>
        <n v="363.37"/>
        <n v="1282.47"/>
        <n v="1168.93"/>
        <n v="672.67"/>
        <n v="693.09"/>
        <n v="2756"/>
        <n v="1558.03"/>
        <n v="646.1"/>
        <n v="1864.6"/>
        <n v="1557.9"/>
        <n v="1182.82"/>
        <n v="1152"/>
        <n v="948.49"/>
        <n v="794.23"/>
        <n v="1866.11"/>
        <n v="350.84"/>
        <n v="3235.86"/>
        <n v="494.56"/>
        <n v="440.01"/>
        <n v="936.62"/>
        <n v="1092.74"/>
        <n v="852.91"/>
        <n v="3340.33"/>
        <n v="1773.96"/>
        <n v="1077.8699999999999"/>
        <n v="733.1"/>
        <n v="3019.3"/>
        <n v="435.98"/>
        <n v="2314.08"/>
        <n v="623.89"/>
        <n v="558.75"/>
        <n v="442.87"/>
        <n v="731.6"/>
        <n v="1579.44"/>
        <n v="1259.51"/>
        <n v="558.04999999999995"/>
        <n v="882.25"/>
        <n v="907.25"/>
        <n v="686.11"/>
        <n v="1145.48"/>
        <n v="280.95999999999998"/>
        <n v="2557.9699999999998"/>
        <n v="302.51"/>
        <n v="1815.2"/>
        <n v="1829.96"/>
        <n v="773.15"/>
        <n v="756.7"/>
        <n v="603.03"/>
        <n v="1335.12"/>
        <n v="1144.92"/>
        <n v="1659.34"/>
        <n v="2300.75"/>
        <n v="794.74"/>
        <n v="920.57"/>
        <n v="4747.8900000000003"/>
        <n v="1103.07"/>
        <n v="668.82"/>
        <n v="1999.83"/>
        <n v="594.11"/>
        <n v="367.89"/>
        <n v="2123.8200000000002"/>
        <n v="462.38"/>
        <n v="770.93"/>
        <n v="1955.01"/>
        <n v="969.4"/>
        <n v="2330.8000000000002"/>
        <n v="1490.14"/>
        <n v="1048.4100000000001"/>
        <n v="2038.34"/>
        <n v="1413.28"/>
        <n v="1329.81"/>
        <n v="365.98"/>
        <n v="464.9"/>
        <n v="257"/>
        <n v="500.27"/>
        <n v="404.21"/>
        <n v="1817.69"/>
        <n v="732.13"/>
        <n v="2147.62"/>
        <n v="615.89"/>
        <n v="448.71"/>
        <n v="779.59"/>
        <n v="615.25"/>
        <n v="709.04"/>
        <n v="221.23"/>
        <n v="461.69"/>
        <n v="911.11"/>
        <n v="438.6"/>
        <n v="554.04"/>
        <n v="1566.79"/>
        <n v="1388.77"/>
        <n v="1798.07"/>
        <n v="858.65"/>
        <n v="966.73"/>
        <n v="1084.8599999999999"/>
        <n v="600.65"/>
        <n v="1701"/>
        <n v="2068.77"/>
        <n v="354.52"/>
        <n v="199.13"/>
        <n v="1955.7"/>
        <n v="748.09"/>
        <n v="280.18"/>
        <n v="661.54"/>
        <n v="1044.95"/>
        <n v="287.47000000000003"/>
        <n v="1013.33"/>
        <n v="233.87"/>
        <n v="468.9"/>
        <n v="1138.81"/>
        <n v="424.75"/>
        <n v="648.57000000000005"/>
        <n v="1493.09"/>
        <n v="420.05"/>
        <n v="1927.6"/>
        <n v="626.09"/>
        <n v="1880.49"/>
        <n v="1413.52"/>
        <n v="499.33"/>
        <n v="399.53"/>
        <n v="566.73"/>
        <n v="496.27"/>
        <n v="1080.07"/>
        <n v="880.04"/>
        <n v="1176.7"/>
        <n v="742.48"/>
        <n v="341.84"/>
        <n v="1197.32"/>
        <n v="542.11"/>
        <n v="533.26"/>
        <n v="585.05999999999995"/>
        <n v="1757.15"/>
        <n v="883.44"/>
        <n v="1043.81"/>
        <n v="2101.1"/>
        <n v="697.37"/>
        <n v="2251.9"/>
      </sharedItems>
      <fieldGroup base="8">
        <rangePr autoStart="0" autoEnd="0" startNum="101" endNum="13100" groupInterval="2000"/>
        <groupItems count="9">
          <s v="&lt;101"/>
          <s v="101-2101"/>
          <s v="2101-4101"/>
          <s v="4101-6101"/>
          <s v="6101-8101"/>
          <s v="8101-10101"/>
          <s v="10101-12101"/>
          <s v="12101-14101"/>
          <s v="&gt;14101"/>
        </groupItems>
      </fieldGroup>
    </cacheField>
    <cacheField name="Age Groups" numFmtId="164">
      <sharedItems count="13">
        <s v="75-90"/>
        <s v="45-54"/>
        <s v="55-64"/>
        <s v="65-74"/>
        <s v="35-44"/>
        <s v="25-34"/>
        <s v="18-24"/>
        <s v="65+" u="1"/>
        <s v="35–49" u="1"/>
        <s v="50–64" u="1"/>
        <s v="25–34" u="1"/>
        <s v="18–24" u="1"/>
        <s v="16–24" u="1"/>
      </sharedItems>
    </cacheField>
    <cacheField name="Vehicle Age Groups" numFmtId="2">
      <sharedItems count="5">
        <s v="12-15"/>
        <s v="9-11"/>
        <s v="3-5"/>
        <s v="6-8"/>
        <s v="0-2"/>
      </sharedItems>
    </cacheField>
  </cacheFields>
  <extLst>
    <ext xmlns:x14="http://schemas.microsoft.com/office/spreadsheetml/2009/9/main" uri="{725AE2AE-9491-48be-B2B4-4EB974FC3084}">
      <x14:pivotCacheDefinition pivotCacheId="94668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1">
  <r>
    <x v="0"/>
    <x v="0"/>
    <x v="0"/>
    <x v="0"/>
    <x v="0"/>
    <x v="0"/>
    <n v="1084.94"/>
    <x v="0"/>
    <x v="0"/>
    <x v="0"/>
    <x v="0"/>
  </r>
  <r>
    <x v="1"/>
    <x v="1"/>
    <x v="1"/>
    <x v="1"/>
    <x v="1"/>
    <x v="1"/>
    <n v="900.12"/>
    <x v="1"/>
    <x v="1"/>
    <x v="1"/>
    <x v="1"/>
  </r>
  <r>
    <x v="2"/>
    <x v="2"/>
    <x v="0"/>
    <x v="2"/>
    <x v="2"/>
    <x v="0"/>
    <n v="4349.0200000000004"/>
    <x v="2"/>
    <x v="2"/>
    <x v="0"/>
    <x v="1"/>
  </r>
  <r>
    <x v="3"/>
    <x v="3"/>
    <x v="0"/>
    <x v="0"/>
    <x v="3"/>
    <x v="0"/>
    <n v="1337.58"/>
    <x v="3"/>
    <x v="3"/>
    <x v="0"/>
    <x v="2"/>
  </r>
  <r>
    <x v="4"/>
    <x v="4"/>
    <x v="1"/>
    <x v="0"/>
    <x v="4"/>
    <x v="0"/>
    <n v="1378.33"/>
    <x v="4"/>
    <x v="4"/>
    <x v="2"/>
    <x v="0"/>
  </r>
  <r>
    <x v="5"/>
    <x v="5"/>
    <x v="2"/>
    <x v="0"/>
    <x v="5"/>
    <x v="0"/>
    <n v="1676.22"/>
    <x v="5"/>
    <x v="5"/>
    <x v="0"/>
    <x v="2"/>
  </r>
  <r>
    <x v="6"/>
    <x v="0"/>
    <x v="0"/>
    <x v="1"/>
    <x v="6"/>
    <x v="1"/>
    <n v="1401.97"/>
    <x v="6"/>
    <x v="6"/>
    <x v="2"/>
    <x v="0"/>
  </r>
  <r>
    <x v="7"/>
    <x v="0"/>
    <x v="0"/>
    <x v="0"/>
    <x v="7"/>
    <x v="1"/>
    <n v="1395.13"/>
    <x v="7"/>
    <x v="7"/>
    <x v="0"/>
    <x v="0"/>
  </r>
  <r>
    <x v="2"/>
    <x v="0"/>
    <x v="0"/>
    <x v="0"/>
    <x v="8"/>
    <x v="0"/>
    <n v="3385.84"/>
    <x v="8"/>
    <x v="8"/>
    <x v="0"/>
    <x v="0"/>
  </r>
  <r>
    <x v="8"/>
    <x v="6"/>
    <x v="1"/>
    <x v="0"/>
    <x v="9"/>
    <x v="1"/>
    <n v="3629.2"/>
    <x v="9"/>
    <x v="9"/>
    <x v="0"/>
    <x v="3"/>
  </r>
  <r>
    <x v="9"/>
    <x v="2"/>
    <x v="2"/>
    <x v="1"/>
    <x v="10"/>
    <x v="2"/>
    <n v="1300.32"/>
    <x v="10"/>
    <x v="10"/>
    <x v="3"/>
    <x v="1"/>
  </r>
  <r>
    <x v="10"/>
    <x v="5"/>
    <x v="0"/>
    <x v="0"/>
    <x v="11"/>
    <x v="0"/>
    <n v="654.41"/>
    <x v="11"/>
    <x v="11"/>
    <x v="2"/>
    <x v="2"/>
  </r>
  <r>
    <x v="7"/>
    <x v="2"/>
    <x v="2"/>
    <x v="0"/>
    <x v="12"/>
    <x v="0"/>
    <n v="986.28"/>
    <x v="12"/>
    <x v="12"/>
    <x v="0"/>
    <x v="1"/>
  </r>
  <r>
    <x v="11"/>
    <x v="1"/>
    <x v="0"/>
    <x v="0"/>
    <x v="13"/>
    <x v="0"/>
    <n v="292.75"/>
    <x v="13"/>
    <x v="13"/>
    <x v="4"/>
    <x v="1"/>
  </r>
  <r>
    <x v="12"/>
    <x v="7"/>
    <x v="0"/>
    <x v="0"/>
    <x v="14"/>
    <x v="0"/>
    <n v="493.28"/>
    <x v="14"/>
    <x v="14"/>
    <x v="4"/>
    <x v="0"/>
  </r>
  <r>
    <x v="13"/>
    <x v="0"/>
    <x v="0"/>
    <x v="0"/>
    <x v="15"/>
    <x v="0"/>
    <n v="499.44"/>
    <x v="15"/>
    <x v="15"/>
    <x v="1"/>
    <x v="0"/>
  </r>
  <r>
    <x v="14"/>
    <x v="3"/>
    <x v="0"/>
    <x v="1"/>
    <x v="16"/>
    <x v="0"/>
    <n v="590.61"/>
    <x v="16"/>
    <x v="16"/>
    <x v="5"/>
    <x v="2"/>
  </r>
  <r>
    <x v="15"/>
    <x v="7"/>
    <x v="0"/>
    <x v="0"/>
    <x v="17"/>
    <x v="1"/>
    <n v="567.54999999999995"/>
    <x v="17"/>
    <x v="17"/>
    <x v="5"/>
    <x v="0"/>
  </r>
  <r>
    <x v="12"/>
    <x v="4"/>
    <x v="0"/>
    <x v="0"/>
    <x v="18"/>
    <x v="0"/>
    <n v="720.87"/>
    <x v="18"/>
    <x v="18"/>
    <x v="4"/>
    <x v="0"/>
  </r>
  <r>
    <x v="16"/>
    <x v="8"/>
    <x v="0"/>
    <x v="1"/>
    <x v="19"/>
    <x v="0"/>
    <n v="721.97"/>
    <x v="19"/>
    <x v="19"/>
    <x v="4"/>
    <x v="4"/>
  </r>
  <r>
    <x v="17"/>
    <x v="7"/>
    <x v="0"/>
    <x v="0"/>
    <x v="20"/>
    <x v="0"/>
    <n v="1920.17"/>
    <x v="20"/>
    <x v="20"/>
    <x v="0"/>
    <x v="0"/>
  </r>
  <r>
    <x v="18"/>
    <x v="9"/>
    <x v="1"/>
    <x v="0"/>
    <x v="21"/>
    <x v="0"/>
    <n v="793.13"/>
    <x v="21"/>
    <x v="21"/>
    <x v="1"/>
    <x v="2"/>
  </r>
  <r>
    <x v="19"/>
    <x v="4"/>
    <x v="1"/>
    <x v="1"/>
    <x v="22"/>
    <x v="0"/>
    <n v="1285.47"/>
    <x v="22"/>
    <x v="22"/>
    <x v="0"/>
    <x v="0"/>
  </r>
  <r>
    <x v="20"/>
    <x v="7"/>
    <x v="0"/>
    <x v="0"/>
    <x v="23"/>
    <x v="0"/>
    <n v="647.41"/>
    <x v="23"/>
    <x v="23"/>
    <x v="3"/>
    <x v="0"/>
  </r>
  <r>
    <x v="20"/>
    <x v="2"/>
    <x v="0"/>
    <x v="1"/>
    <x v="24"/>
    <x v="0"/>
    <n v="1532.38"/>
    <x v="24"/>
    <x v="24"/>
    <x v="3"/>
    <x v="1"/>
  </r>
  <r>
    <x v="21"/>
    <x v="10"/>
    <x v="0"/>
    <x v="1"/>
    <x v="25"/>
    <x v="2"/>
    <n v="784.64"/>
    <x v="25"/>
    <x v="25"/>
    <x v="3"/>
    <x v="3"/>
  </r>
  <r>
    <x v="22"/>
    <x v="5"/>
    <x v="0"/>
    <x v="0"/>
    <x v="26"/>
    <x v="0"/>
    <n v="174.47"/>
    <x v="26"/>
    <x v="26"/>
    <x v="1"/>
    <x v="2"/>
  </r>
  <r>
    <x v="23"/>
    <x v="4"/>
    <x v="1"/>
    <x v="0"/>
    <x v="27"/>
    <x v="0"/>
    <n v="1896.82"/>
    <x v="27"/>
    <x v="27"/>
    <x v="2"/>
    <x v="0"/>
  </r>
  <r>
    <x v="24"/>
    <x v="11"/>
    <x v="1"/>
    <x v="0"/>
    <x v="28"/>
    <x v="0"/>
    <n v="368.66"/>
    <x v="28"/>
    <x v="28"/>
    <x v="4"/>
    <x v="4"/>
  </r>
  <r>
    <x v="9"/>
    <x v="10"/>
    <x v="0"/>
    <x v="0"/>
    <x v="29"/>
    <x v="0"/>
    <n v="1086.01"/>
    <x v="29"/>
    <x v="29"/>
    <x v="3"/>
    <x v="3"/>
  </r>
  <r>
    <x v="11"/>
    <x v="1"/>
    <x v="0"/>
    <x v="1"/>
    <x v="30"/>
    <x v="0"/>
    <n v="1352.6"/>
    <x v="30"/>
    <x v="30"/>
    <x v="4"/>
    <x v="1"/>
  </r>
  <r>
    <x v="25"/>
    <x v="2"/>
    <x v="1"/>
    <x v="0"/>
    <x v="31"/>
    <x v="0"/>
    <n v="859.41"/>
    <x v="31"/>
    <x v="31"/>
    <x v="3"/>
    <x v="1"/>
  </r>
  <r>
    <x v="26"/>
    <x v="4"/>
    <x v="2"/>
    <x v="0"/>
    <x v="32"/>
    <x v="0"/>
    <n v="490.52"/>
    <x v="32"/>
    <x v="32"/>
    <x v="1"/>
    <x v="0"/>
  </r>
  <r>
    <x v="2"/>
    <x v="6"/>
    <x v="2"/>
    <x v="1"/>
    <x v="33"/>
    <x v="1"/>
    <n v="1885.42"/>
    <x v="33"/>
    <x v="33"/>
    <x v="0"/>
    <x v="3"/>
  </r>
  <r>
    <x v="27"/>
    <x v="12"/>
    <x v="0"/>
    <x v="0"/>
    <x v="34"/>
    <x v="0"/>
    <n v="2350.19"/>
    <x v="34"/>
    <x v="34"/>
    <x v="0"/>
    <x v="4"/>
  </r>
  <r>
    <x v="14"/>
    <x v="4"/>
    <x v="1"/>
    <x v="0"/>
    <x v="35"/>
    <x v="0"/>
    <n v="336.8"/>
    <x v="35"/>
    <x v="35"/>
    <x v="5"/>
    <x v="0"/>
  </r>
  <r>
    <x v="28"/>
    <x v="8"/>
    <x v="0"/>
    <x v="0"/>
    <x v="36"/>
    <x v="1"/>
    <n v="791.99"/>
    <x v="36"/>
    <x v="36"/>
    <x v="0"/>
    <x v="4"/>
  </r>
  <r>
    <x v="3"/>
    <x v="8"/>
    <x v="1"/>
    <x v="0"/>
    <x v="37"/>
    <x v="0"/>
    <n v="1240.01"/>
    <x v="37"/>
    <x v="37"/>
    <x v="0"/>
    <x v="4"/>
  </r>
  <r>
    <x v="29"/>
    <x v="9"/>
    <x v="1"/>
    <x v="1"/>
    <x v="38"/>
    <x v="0"/>
    <n v="5106.88"/>
    <x v="38"/>
    <x v="38"/>
    <x v="3"/>
    <x v="2"/>
  </r>
  <r>
    <x v="30"/>
    <x v="13"/>
    <x v="2"/>
    <x v="0"/>
    <x v="39"/>
    <x v="2"/>
    <n v="619.47"/>
    <x v="39"/>
    <x v="39"/>
    <x v="2"/>
    <x v="1"/>
  </r>
  <r>
    <x v="11"/>
    <x v="7"/>
    <x v="1"/>
    <x v="1"/>
    <x v="40"/>
    <x v="0"/>
    <n v="919.09"/>
    <x v="40"/>
    <x v="40"/>
    <x v="4"/>
    <x v="0"/>
  </r>
  <r>
    <x v="31"/>
    <x v="14"/>
    <x v="2"/>
    <x v="0"/>
    <x v="41"/>
    <x v="2"/>
    <n v="1828.81"/>
    <x v="41"/>
    <x v="41"/>
    <x v="0"/>
    <x v="3"/>
  </r>
  <r>
    <x v="32"/>
    <x v="10"/>
    <x v="1"/>
    <x v="1"/>
    <x v="42"/>
    <x v="0"/>
    <n v="1066.1099999999999"/>
    <x v="42"/>
    <x v="42"/>
    <x v="3"/>
    <x v="3"/>
  </r>
  <r>
    <x v="33"/>
    <x v="3"/>
    <x v="0"/>
    <x v="0"/>
    <x v="43"/>
    <x v="0"/>
    <n v="1502.58"/>
    <x v="43"/>
    <x v="43"/>
    <x v="3"/>
    <x v="2"/>
  </r>
  <r>
    <x v="1"/>
    <x v="5"/>
    <x v="0"/>
    <x v="1"/>
    <x v="44"/>
    <x v="0"/>
    <n v="707.95"/>
    <x v="44"/>
    <x v="44"/>
    <x v="1"/>
    <x v="2"/>
  </r>
  <r>
    <x v="34"/>
    <x v="3"/>
    <x v="2"/>
    <x v="0"/>
    <x v="45"/>
    <x v="1"/>
    <n v="2871.82"/>
    <x v="45"/>
    <x v="45"/>
    <x v="0"/>
    <x v="2"/>
  </r>
  <r>
    <x v="34"/>
    <x v="4"/>
    <x v="0"/>
    <x v="0"/>
    <x v="46"/>
    <x v="0"/>
    <n v="928.79"/>
    <x v="46"/>
    <x v="46"/>
    <x v="0"/>
    <x v="0"/>
  </r>
  <r>
    <x v="35"/>
    <x v="3"/>
    <x v="2"/>
    <x v="0"/>
    <x v="47"/>
    <x v="0"/>
    <n v="344.72"/>
    <x v="47"/>
    <x v="47"/>
    <x v="1"/>
    <x v="2"/>
  </r>
  <r>
    <x v="6"/>
    <x v="4"/>
    <x v="2"/>
    <x v="2"/>
    <x v="48"/>
    <x v="0"/>
    <n v="4363.21"/>
    <x v="48"/>
    <x v="48"/>
    <x v="2"/>
    <x v="0"/>
  </r>
  <r>
    <x v="36"/>
    <x v="7"/>
    <x v="2"/>
    <x v="0"/>
    <x v="49"/>
    <x v="0"/>
    <n v="1881.91"/>
    <x v="49"/>
    <x v="49"/>
    <x v="1"/>
    <x v="0"/>
  </r>
  <r>
    <x v="37"/>
    <x v="1"/>
    <x v="0"/>
    <x v="0"/>
    <x v="50"/>
    <x v="0"/>
    <n v="721.29"/>
    <x v="50"/>
    <x v="50"/>
    <x v="4"/>
    <x v="1"/>
  </r>
  <r>
    <x v="38"/>
    <x v="2"/>
    <x v="0"/>
    <x v="0"/>
    <x v="51"/>
    <x v="0"/>
    <n v="775.44"/>
    <x v="51"/>
    <x v="51"/>
    <x v="5"/>
    <x v="1"/>
  </r>
  <r>
    <x v="13"/>
    <x v="2"/>
    <x v="2"/>
    <x v="1"/>
    <x v="52"/>
    <x v="0"/>
    <n v="1195.55"/>
    <x v="52"/>
    <x v="52"/>
    <x v="1"/>
    <x v="1"/>
  </r>
  <r>
    <x v="16"/>
    <x v="14"/>
    <x v="2"/>
    <x v="0"/>
    <x v="53"/>
    <x v="0"/>
    <n v="587.02"/>
    <x v="53"/>
    <x v="53"/>
    <x v="4"/>
    <x v="3"/>
  </r>
  <r>
    <x v="23"/>
    <x v="14"/>
    <x v="1"/>
    <x v="0"/>
    <x v="54"/>
    <x v="0"/>
    <n v="903.56"/>
    <x v="54"/>
    <x v="54"/>
    <x v="2"/>
    <x v="3"/>
  </r>
  <r>
    <x v="39"/>
    <x v="1"/>
    <x v="2"/>
    <x v="2"/>
    <x v="55"/>
    <x v="0"/>
    <n v="2960.05"/>
    <x v="55"/>
    <x v="55"/>
    <x v="0"/>
    <x v="1"/>
  </r>
  <r>
    <x v="30"/>
    <x v="3"/>
    <x v="0"/>
    <x v="1"/>
    <x v="56"/>
    <x v="0"/>
    <n v="1091.02"/>
    <x v="56"/>
    <x v="56"/>
    <x v="2"/>
    <x v="2"/>
  </r>
  <r>
    <x v="40"/>
    <x v="1"/>
    <x v="0"/>
    <x v="0"/>
    <x v="57"/>
    <x v="1"/>
    <n v="518.12"/>
    <x v="57"/>
    <x v="57"/>
    <x v="4"/>
    <x v="1"/>
  </r>
  <r>
    <x v="21"/>
    <x v="12"/>
    <x v="0"/>
    <x v="1"/>
    <x v="58"/>
    <x v="0"/>
    <n v="979.79"/>
    <x v="58"/>
    <x v="58"/>
    <x v="3"/>
    <x v="4"/>
  </r>
  <r>
    <x v="26"/>
    <x v="0"/>
    <x v="2"/>
    <x v="0"/>
    <x v="59"/>
    <x v="0"/>
    <n v="828.54"/>
    <x v="59"/>
    <x v="59"/>
    <x v="1"/>
    <x v="0"/>
  </r>
  <r>
    <x v="6"/>
    <x v="11"/>
    <x v="0"/>
    <x v="0"/>
    <x v="60"/>
    <x v="0"/>
    <n v="439.5"/>
    <x v="60"/>
    <x v="60"/>
    <x v="2"/>
    <x v="4"/>
  </r>
  <r>
    <x v="27"/>
    <x v="0"/>
    <x v="2"/>
    <x v="0"/>
    <x v="61"/>
    <x v="1"/>
    <n v="1828.6"/>
    <x v="61"/>
    <x v="61"/>
    <x v="0"/>
    <x v="0"/>
  </r>
  <r>
    <x v="31"/>
    <x v="3"/>
    <x v="2"/>
    <x v="1"/>
    <x v="62"/>
    <x v="0"/>
    <n v="4752.6400000000003"/>
    <x v="62"/>
    <x v="62"/>
    <x v="0"/>
    <x v="2"/>
  </r>
  <r>
    <x v="41"/>
    <x v="13"/>
    <x v="2"/>
    <x v="0"/>
    <x v="63"/>
    <x v="0"/>
    <n v="793.88"/>
    <x v="63"/>
    <x v="63"/>
    <x v="2"/>
    <x v="1"/>
  </r>
  <r>
    <x v="28"/>
    <x v="5"/>
    <x v="2"/>
    <x v="0"/>
    <x v="64"/>
    <x v="0"/>
    <n v="1512.6"/>
    <x v="64"/>
    <x v="64"/>
    <x v="0"/>
    <x v="2"/>
  </r>
  <r>
    <x v="5"/>
    <x v="5"/>
    <x v="0"/>
    <x v="0"/>
    <x v="65"/>
    <x v="0"/>
    <n v="881.94"/>
    <x v="65"/>
    <x v="65"/>
    <x v="0"/>
    <x v="2"/>
  </r>
  <r>
    <x v="39"/>
    <x v="14"/>
    <x v="0"/>
    <x v="0"/>
    <x v="66"/>
    <x v="1"/>
    <n v="1361.05"/>
    <x v="66"/>
    <x v="66"/>
    <x v="0"/>
    <x v="3"/>
  </r>
  <r>
    <x v="26"/>
    <x v="0"/>
    <x v="0"/>
    <x v="0"/>
    <x v="67"/>
    <x v="0"/>
    <n v="504.27"/>
    <x v="67"/>
    <x v="67"/>
    <x v="1"/>
    <x v="0"/>
  </r>
  <r>
    <x v="42"/>
    <x v="14"/>
    <x v="1"/>
    <x v="2"/>
    <x v="68"/>
    <x v="1"/>
    <n v="1915.72"/>
    <x v="68"/>
    <x v="68"/>
    <x v="3"/>
    <x v="3"/>
  </r>
  <r>
    <x v="43"/>
    <x v="11"/>
    <x v="2"/>
    <x v="1"/>
    <x v="69"/>
    <x v="0"/>
    <n v="1030.23"/>
    <x v="69"/>
    <x v="69"/>
    <x v="4"/>
    <x v="4"/>
  </r>
  <r>
    <x v="44"/>
    <x v="3"/>
    <x v="0"/>
    <x v="0"/>
    <x v="70"/>
    <x v="0"/>
    <n v="221.75"/>
    <x v="70"/>
    <x v="70"/>
    <x v="6"/>
    <x v="2"/>
  </r>
  <r>
    <x v="45"/>
    <x v="13"/>
    <x v="0"/>
    <x v="0"/>
    <x v="71"/>
    <x v="0"/>
    <n v="325.17"/>
    <x v="71"/>
    <x v="71"/>
    <x v="1"/>
    <x v="1"/>
  </r>
  <r>
    <x v="16"/>
    <x v="11"/>
    <x v="0"/>
    <x v="1"/>
    <x v="72"/>
    <x v="0"/>
    <n v="386.2"/>
    <x v="72"/>
    <x v="72"/>
    <x v="4"/>
    <x v="4"/>
  </r>
  <r>
    <x v="46"/>
    <x v="13"/>
    <x v="0"/>
    <x v="0"/>
    <x v="73"/>
    <x v="1"/>
    <n v="1070.1400000000001"/>
    <x v="73"/>
    <x v="73"/>
    <x v="0"/>
    <x v="1"/>
  </r>
  <r>
    <x v="10"/>
    <x v="7"/>
    <x v="2"/>
    <x v="1"/>
    <x v="74"/>
    <x v="0"/>
    <n v="1704.94"/>
    <x v="74"/>
    <x v="74"/>
    <x v="2"/>
    <x v="0"/>
  </r>
  <r>
    <x v="47"/>
    <x v="2"/>
    <x v="2"/>
    <x v="0"/>
    <x v="75"/>
    <x v="0"/>
    <n v="747.73"/>
    <x v="75"/>
    <x v="75"/>
    <x v="5"/>
    <x v="1"/>
  </r>
  <r>
    <x v="29"/>
    <x v="14"/>
    <x v="0"/>
    <x v="0"/>
    <x v="76"/>
    <x v="1"/>
    <n v="857.79"/>
    <x v="76"/>
    <x v="76"/>
    <x v="3"/>
    <x v="3"/>
  </r>
  <r>
    <x v="38"/>
    <x v="14"/>
    <x v="2"/>
    <x v="1"/>
    <x v="77"/>
    <x v="0"/>
    <n v="1199.8399999999999"/>
    <x v="77"/>
    <x v="77"/>
    <x v="5"/>
    <x v="3"/>
  </r>
  <r>
    <x v="48"/>
    <x v="6"/>
    <x v="0"/>
    <x v="0"/>
    <x v="78"/>
    <x v="0"/>
    <n v="770.66"/>
    <x v="78"/>
    <x v="78"/>
    <x v="2"/>
    <x v="3"/>
  </r>
  <r>
    <x v="47"/>
    <x v="7"/>
    <x v="2"/>
    <x v="1"/>
    <x v="79"/>
    <x v="1"/>
    <n v="1275.9000000000001"/>
    <x v="79"/>
    <x v="79"/>
    <x v="5"/>
    <x v="0"/>
  </r>
  <r>
    <x v="1"/>
    <x v="10"/>
    <x v="0"/>
    <x v="0"/>
    <x v="80"/>
    <x v="0"/>
    <n v="464.64"/>
    <x v="80"/>
    <x v="80"/>
    <x v="1"/>
    <x v="3"/>
  </r>
  <r>
    <x v="39"/>
    <x v="13"/>
    <x v="0"/>
    <x v="0"/>
    <x v="81"/>
    <x v="0"/>
    <n v="1856.09"/>
    <x v="81"/>
    <x v="81"/>
    <x v="0"/>
    <x v="1"/>
  </r>
  <r>
    <x v="3"/>
    <x v="8"/>
    <x v="2"/>
    <x v="3"/>
    <x v="82"/>
    <x v="2"/>
    <n v="7898.01"/>
    <x v="82"/>
    <x v="82"/>
    <x v="0"/>
    <x v="4"/>
  </r>
  <r>
    <x v="49"/>
    <x v="12"/>
    <x v="0"/>
    <x v="0"/>
    <x v="83"/>
    <x v="0"/>
    <n v="243.15"/>
    <x v="83"/>
    <x v="83"/>
    <x v="2"/>
    <x v="4"/>
  </r>
  <r>
    <x v="50"/>
    <x v="5"/>
    <x v="0"/>
    <x v="1"/>
    <x v="84"/>
    <x v="0"/>
    <n v="654.86"/>
    <x v="84"/>
    <x v="84"/>
    <x v="4"/>
    <x v="2"/>
  </r>
  <r>
    <x v="51"/>
    <x v="7"/>
    <x v="1"/>
    <x v="0"/>
    <x v="85"/>
    <x v="0"/>
    <n v="782.24"/>
    <x v="85"/>
    <x v="85"/>
    <x v="6"/>
    <x v="0"/>
  </r>
  <r>
    <x v="33"/>
    <x v="12"/>
    <x v="0"/>
    <x v="0"/>
    <x v="86"/>
    <x v="0"/>
    <n v="653.37"/>
    <x v="86"/>
    <x v="86"/>
    <x v="3"/>
    <x v="4"/>
  </r>
  <r>
    <x v="52"/>
    <x v="13"/>
    <x v="0"/>
    <x v="0"/>
    <x v="87"/>
    <x v="1"/>
    <n v="1609.11"/>
    <x v="87"/>
    <x v="87"/>
    <x v="0"/>
    <x v="1"/>
  </r>
  <r>
    <x v="51"/>
    <x v="10"/>
    <x v="0"/>
    <x v="2"/>
    <x v="88"/>
    <x v="1"/>
    <n v="453.99"/>
    <x v="88"/>
    <x v="88"/>
    <x v="6"/>
    <x v="3"/>
  </r>
  <r>
    <x v="53"/>
    <x v="12"/>
    <x v="2"/>
    <x v="0"/>
    <x v="89"/>
    <x v="0"/>
    <n v="588.41"/>
    <x v="89"/>
    <x v="89"/>
    <x v="3"/>
    <x v="4"/>
  </r>
  <r>
    <x v="51"/>
    <x v="14"/>
    <x v="0"/>
    <x v="0"/>
    <x v="90"/>
    <x v="0"/>
    <n v="323.69"/>
    <x v="90"/>
    <x v="90"/>
    <x v="6"/>
    <x v="3"/>
  </r>
  <r>
    <x v="54"/>
    <x v="0"/>
    <x v="0"/>
    <x v="0"/>
    <x v="91"/>
    <x v="0"/>
    <n v="1363.95"/>
    <x v="91"/>
    <x v="91"/>
    <x v="0"/>
    <x v="0"/>
  </r>
  <r>
    <x v="25"/>
    <x v="2"/>
    <x v="0"/>
    <x v="0"/>
    <x v="92"/>
    <x v="0"/>
    <n v="2159.7199999999998"/>
    <x v="92"/>
    <x v="92"/>
    <x v="3"/>
    <x v="1"/>
  </r>
  <r>
    <x v="55"/>
    <x v="7"/>
    <x v="1"/>
    <x v="0"/>
    <x v="93"/>
    <x v="0"/>
    <n v="661.77"/>
    <x v="93"/>
    <x v="93"/>
    <x v="6"/>
    <x v="0"/>
  </r>
  <r>
    <x v="25"/>
    <x v="12"/>
    <x v="2"/>
    <x v="1"/>
    <x v="94"/>
    <x v="0"/>
    <n v="1045.96"/>
    <x v="94"/>
    <x v="94"/>
    <x v="3"/>
    <x v="4"/>
  </r>
  <r>
    <x v="33"/>
    <x v="3"/>
    <x v="1"/>
    <x v="0"/>
    <x v="95"/>
    <x v="1"/>
    <n v="1061.3"/>
    <x v="95"/>
    <x v="95"/>
    <x v="3"/>
    <x v="2"/>
  </r>
  <r>
    <x v="26"/>
    <x v="5"/>
    <x v="0"/>
    <x v="0"/>
    <x v="96"/>
    <x v="0"/>
    <n v="596.03"/>
    <x v="96"/>
    <x v="96"/>
    <x v="1"/>
    <x v="2"/>
  </r>
  <r>
    <x v="26"/>
    <x v="10"/>
    <x v="2"/>
    <x v="0"/>
    <x v="97"/>
    <x v="0"/>
    <n v="914.72"/>
    <x v="97"/>
    <x v="97"/>
    <x v="1"/>
    <x v="3"/>
  </r>
  <r>
    <x v="56"/>
    <x v="7"/>
    <x v="0"/>
    <x v="1"/>
    <x v="98"/>
    <x v="0"/>
    <n v="1089.1199999999999"/>
    <x v="98"/>
    <x v="98"/>
    <x v="4"/>
    <x v="0"/>
  </r>
  <r>
    <x v="27"/>
    <x v="6"/>
    <x v="0"/>
    <x v="0"/>
    <x v="99"/>
    <x v="1"/>
    <n v="1513.35"/>
    <x v="99"/>
    <x v="99"/>
    <x v="0"/>
    <x v="3"/>
  </r>
  <r>
    <x v="33"/>
    <x v="2"/>
    <x v="2"/>
    <x v="0"/>
    <x v="100"/>
    <x v="0"/>
    <n v="1084.92"/>
    <x v="100"/>
    <x v="100"/>
    <x v="3"/>
    <x v="1"/>
  </r>
  <r>
    <x v="57"/>
    <x v="11"/>
    <x v="0"/>
    <x v="0"/>
    <x v="101"/>
    <x v="0"/>
    <n v="321.33"/>
    <x v="101"/>
    <x v="101"/>
    <x v="2"/>
    <x v="4"/>
  </r>
  <r>
    <x v="31"/>
    <x v="12"/>
    <x v="1"/>
    <x v="0"/>
    <x v="102"/>
    <x v="0"/>
    <n v="1486.49"/>
    <x v="102"/>
    <x v="102"/>
    <x v="0"/>
    <x v="4"/>
  </r>
  <r>
    <x v="12"/>
    <x v="9"/>
    <x v="0"/>
    <x v="0"/>
    <x v="103"/>
    <x v="0"/>
    <n v="355.21"/>
    <x v="103"/>
    <x v="103"/>
    <x v="4"/>
    <x v="2"/>
  </r>
  <r>
    <x v="41"/>
    <x v="8"/>
    <x v="0"/>
    <x v="0"/>
    <x v="104"/>
    <x v="0"/>
    <n v="381.06"/>
    <x v="104"/>
    <x v="104"/>
    <x v="2"/>
    <x v="4"/>
  </r>
  <r>
    <x v="52"/>
    <x v="9"/>
    <x v="0"/>
    <x v="0"/>
    <x v="105"/>
    <x v="0"/>
    <n v="852.9"/>
    <x v="105"/>
    <x v="105"/>
    <x v="0"/>
    <x v="2"/>
  </r>
  <r>
    <x v="41"/>
    <x v="5"/>
    <x v="2"/>
    <x v="1"/>
    <x v="106"/>
    <x v="0"/>
    <n v="2597.35"/>
    <x v="106"/>
    <x v="106"/>
    <x v="2"/>
    <x v="2"/>
  </r>
  <r>
    <x v="13"/>
    <x v="12"/>
    <x v="0"/>
    <x v="0"/>
    <x v="107"/>
    <x v="0"/>
    <n v="235.54"/>
    <x v="107"/>
    <x v="107"/>
    <x v="1"/>
    <x v="4"/>
  </r>
  <r>
    <x v="46"/>
    <x v="15"/>
    <x v="1"/>
    <x v="1"/>
    <x v="108"/>
    <x v="0"/>
    <n v="3383.57"/>
    <x v="108"/>
    <x v="108"/>
    <x v="0"/>
    <x v="0"/>
  </r>
  <r>
    <x v="7"/>
    <x v="9"/>
    <x v="1"/>
    <x v="1"/>
    <x v="109"/>
    <x v="1"/>
    <n v="2623.13"/>
    <x v="109"/>
    <x v="109"/>
    <x v="0"/>
    <x v="2"/>
  </r>
  <r>
    <x v="40"/>
    <x v="4"/>
    <x v="0"/>
    <x v="0"/>
    <x v="110"/>
    <x v="0"/>
    <n v="698.56"/>
    <x v="110"/>
    <x v="110"/>
    <x v="4"/>
    <x v="0"/>
  </r>
  <r>
    <x v="25"/>
    <x v="1"/>
    <x v="0"/>
    <x v="0"/>
    <x v="111"/>
    <x v="0"/>
    <n v="1065.54"/>
    <x v="111"/>
    <x v="111"/>
    <x v="3"/>
    <x v="1"/>
  </r>
  <r>
    <x v="52"/>
    <x v="4"/>
    <x v="2"/>
    <x v="0"/>
    <x v="112"/>
    <x v="0"/>
    <n v="3120.19"/>
    <x v="112"/>
    <x v="112"/>
    <x v="0"/>
    <x v="0"/>
  </r>
  <r>
    <x v="58"/>
    <x v="2"/>
    <x v="2"/>
    <x v="0"/>
    <x v="113"/>
    <x v="0"/>
    <n v="239.82"/>
    <x v="113"/>
    <x v="113"/>
    <x v="5"/>
    <x v="1"/>
  </r>
  <r>
    <x v="52"/>
    <x v="1"/>
    <x v="1"/>
    <x v="2"/>
    <x v="114"/>
    <x v="0"/>
    <n v="2093.35"/>
    <x v="114"/>
    <x v="114"/>
    <x v="0"/>
    <x v="1"/>
  </r>
  <r>
    <x v="29"/>
    <x v="11"/>
    <x v="0"/>
    <x v="0"/>
    <x v="115"/>
    <x v="0"/>
    <n v="363.07"/>
    <x v="115"/>
    <x v="115"/>
    <x v="3"/>
    <x v="4"/>
  </r>
  <r>
    <x v="59"/>
    <x v="13"/>
    <x v="1"/>
    <x v="1"/>
    <x v="116"/>
    <x v="0"/>
    <n v="749.69"/>
    <x v="116"/>
    <x v="116"/>
    <x v="5"/>
    <x v="1"/>
  </r>
  <r>
    <x v="16"/>
    <x v="5"/>
    <x v="1"/>
    <x v="1"/>
    <x v="117"/>
    <x v="0"/>
    <n v="735"/>
    <x v="117"/>
    <x v="117"/>
    <x v="4"/>
    <x v="2"/>
  </r>
  <r>
    <x v="7"/>
    <x v="6"/>
    <x v="0"/>
    <x v="3"/>
    <x v="118"/>
    <x v="1"/>
    <n v="3110.7"/>
    <x v="118"/>
    <x v="118"/>
    <x v="0"/>
    <x v="3"/>
  </r>
  <r>
    <x v="35"/>
    <x v="8"/>
    <x v="1"/>
    <x v="0"/>
    <x v="119"/>
    <x v="0"/>
    <n v="475.99"/>
    <x v="119"/>
    <x v="119"/>
    <x v="1"/>
    <x v="4"/>
  </r>
  <r>
    <x v="18"/>
    <x v="2"/>
    <x v="2"/>
    <x v="0"/>
    <x v="120"/>
    <x v="0"/>
    <n v="1242.24"/>
    <x v="120"/>
    <x v="120"/>
    <x v="1"/>
    <x v="1"/>
  </r>
  <r>
    <x v="60"/>
    <x v="9"/>
    <x v="0"/>
    <x v="1"/>
    <x v="121"/>
    <x v="0"/>
    <n v="287.29000000000002"/>
    <x v="121"/>
    <x v="121"/>
    <x v="4"/>
    <x v="2"/>
  </r>
  <r>
    <x v="58"/>
    <x v="2"/>
    <x v="0"/>
    <x v="0"/>
    <x v="122"/>
    <x v="0"/>
    <n v="324.37"/>
    <x v="122"/>
    <x v="122"/>
    <x v="5"/>
    <x v="1"/>
  </r>
  <r>
    <x v="36"/>
    <x v="10"/>
    <x v="0"/>
    <x v="1"/>
    <x v="123"/>
    <x v="0"/>
    <n v="1404.76"/>
    <x v="123"/>
    <x v="123"/>
    <x v="1"/>
    <x v="3"/>
  </r>
  <r>
    <x v="3"/>
    <x v="12"/>
    <x v="0"/>
    <x v="1"/>
    <x v="124"/>
    <x v="0"/>
    <n v="2784.53"/>
    <x v="124"/>
    <x v="124"/>
    <x v="0"/>
    <x v="4"/>
  </r>
  <r>
    <x v="11"/>
    <x v="6"/>
    <x v="0"/>
    <x v="0"/>
    <x v="125"/>
    <x v="0"/>
    <n v="400.84"/>
    <x v="125"/>
    <x v="125"/>
    <x v="4"/>
    <x v="3"/>
  </r>
  <r>
    <x v="22"/>
    <x v="3"/>
    <x v="1"/>
    <x v="2"/>
    <x v="126"/>
    <x v="0"/>
    <n v="1440.76"/>
    <x v="126"/>
    <x v="126"/>
    <x v="1"/>
    <x v="2"/>
  </r>
  <r>
    <x v="10"/>
    <x v="3"/>
    <x v="0"/>
    <x v="0"/>
    <x v="127"/>
    <x v="0"/>
    <n v="263.20999999999998"/>
    <x v="127"/>
    <x v="127"/>
    <x v="2"/>
    <x v="2"/>
  </r>
  <r>
    <x v="11"/>
    <x v="6"/>
    <x v="2"/>
    <x v="0"/>
    <x v="128"/>
    <x v="1"/>
    <n v="416.75"/>
    <x v="128"/>
    <x v="128"/>
    <x v="4"/>
    <x v="3"/>
  </r>
  <r>
    <x v="2"/>
    <x v="9"/>
    <x v="0"/>
    <x v="1"/>
    <x v="129"/>
    <x v="0"/>
    <n v="1037.8900000000001"/>
    <x v="129"/>
    <x v="129"/>
    <x v="0"/>
    <x v="2"/>
  </r>
  <r>
    <x v="35"/>
    <x v="5"/>
    <x v="2"/>
    <x v="0"/>
    <x v="130"/>
    <x v="0"/>
    <n v="586.02"/>
    <x v="130"/>
    <x v="130"/>
    <x v="1"/>
    <x v="2"/>
  </r>
  <r>
    <x v="17"/>
    <x v="12"/>
    <x v="2"/>
    <x v="1"/>
    <x v="131"/>
    <x v="0"/>
    <n v="2942.73"/>
    <x v="131"/>
    <x v="131"/>
    <x v="0"/>
    <x v="4"/>
  </r>
  <r>
    <x v="6"/>
    <x v="4"/>
    <x v="1"/>
    <x v="1"/>
    <x v="132"/>
    <x v="0"/>
    <n v="826.56"/>
    <x v="132"/>
    <x v="132"/>
    <x v="2"/>
    <x v="0"/>
  </r>
  <r>
    <x v="60"/>
    <x v="15"/>
    <x v="0"/>
    <x v="0"/>
    <x v="133"/>
    <x v="0"/>
    <n v="938.25"/>
    <x v="133"/>
    <x v="133"/>
    <x v="4"/>
    <x v="0"/>
  </r>
  <r>
    <x v="59"/>
    <x v="15"/>
    <x v="2"/>
    <x v="0"/>
    <x v="134"/>
    <x v="0"/>
    <n v="817.42"/>
    <x v="134"/>
    <x v="134"/>
    <x v="5"/>
    <x v="0"/>
  </r>
  <r>
    <x v="26"/>
    <x v="0"/>
    <x v="0"/>
    <x v="0"/>
    <x v="135"/>
    <x v="0"/>
    <n v="891.91"/>
    <x v="135"/>
    <x v="135"/>
    <x v="1"/>
    <x v="0"/>
  </r>
  <r>
    <x v="61"/>
    <x v="3"/>
    <x v="2"/>
    <x v="1"/>
    <x v="136"/>
    <x v="0"/>
    <n v="606.07000000000005"/>
    <x v="136"/>
    <x v="136"/>
    <x v="5"/>
    <x v="2"/>
  </r>
  <r>
    <x v="43"/>
    <x v="15"/>
    <x v="2"/>
    <x v="0"/>
    <x v="137"/>
    <x v="0"/>
    <n v="485.97"/>
    <x v="137"/>
    <x v="137"/>
    <x v="4"/>
    <x v="0"/>
  </r>
  <r>
    <x v="17"/>
    <x v="12"/>
    <x v="2"/>
    <x v="0"/>
    <x v="138"/>
    <x v="2"/>
    <n v="570.07000000000005"/>
    <x v="138"/>
    <x v="138"/>
    <x v="0"/>
    <x v="4"/>
  </r>
  <r>
    <x v="21"/>
    <x v="7"/>
    <x v="0"/>
    <x v="0"/>
    <x v="139"/>
    <x v="0"/>
    <n v="985.35"/>
    <x v="139"/>
    <x v="139"/>
    <x v="3"/>
    <x v="0"/>
  </r>
  <r>
    <x v="14"/>
    <x v="11"/>
    <x v="0"/>
    <x v="1"/>
    <x v="140"/>
    <x v="0"/>
    <n v="424.78"/>
    <x v="140"/>
    <x v="140"/>
    <x v="5"/>
    <x v="4"/>
  </r>
  <r>
    <x v="50"/>
    <x v="5"/>
    <x v="0"/>
    <x v="0"/>
    <x v="141"/>
    <x v="0"/>
    <n v="845.83"/>
    <x v="141"/>
    <x v="141"/>
    <x v="4"/>
    <x v="2"/>
  </r>
  <r>
    <x v="2"/>
    <x v="13"/>
    <x v="0"/>
    <x v="0"/>
    <x v="142"/>
    <x v="0"/>
    <n v="1209.6400000000001"/>
    <x v="142"/>
    <x v="142"/>
    <x v="0"/>
    <x v="1"/>
  </r>
  <r>
    <x v="52"/>
    <x v="15"/>
    <x v="2"/>
    <x v="0"/>
    <x v="143"/>
    <x v="0"/>
    <n v="2188.87"/>
    <x v="143"/>
    <x v="143"/>
    <x v="0"/>
    <x v="0"/>
  </r>
  <r>
    <x v="62"/>
    <x v="7"/>
    <x v="0"/>
    <x v="2"/>
    <x v="144"/>
    <x v="0"/>
    <n v="907.36"/>
    <x v="144"/>
    <x v="144"/>
    <x v="1"/>
    <x v="0"/>
  </r>
  <r>
    <x v="16"/>
    <x v="3"/>
    <x v="0"/>
    <x v="0"/>
    <x v="145"/>
    <x v="0"/>
    <n v="601.91999999999996"/>
    <x v="145"/>
    <x v="145"/>
    <x v="4"/>
    <x v="2"/>
  </r>
  <r>
    <x v="61"/>
    <x v="1"/>
    <x v="0"/>
    <x v="0"/>
    <x v="146"/>
    <x v="0"/>
    <n v="574.03"/>
    <x v="146"/>
    <x v="146"/>
    <x v="5"/>
    <x v="1"/>
  </r>
  <r>
    <x v="32"/>
    <x v="4"/>
    <x v="2"/>
    <x v="0"/>
    <x v="147"/>
    <x v="1"/>
    <n v="775.72"/>
    <x v="147"/>
    <x v="147"/>
    <x v="3"/>
    <x v="0"/>
  </r>
  <r>
    <x v="38"/>
    <x v="6"/>
    <x v="0"/>
    <x v="0"/>
    <x v="148"/>
    <x v="1"/>
    <n v="461.1"/>
    <x v="148"/>
    <x v="148"/>
    <x v="5"/>
    <x v="3"/>
  </r>
  <r>
    <x v="42"/>
    <x v="7"/>
    <x v="0"/>
    <x v="2"/>
    <x v="149"/>
    <x v="2"/>
    <n v="1837.78"/>
    <x v="149"/>
    <x v="149"/>
    <x v="3"/>
    <x v="0"/>
  </r>
  <r>
    <x v="28"/>
    <x v="6"/>
    <x v="0"/>
    <x v="1"/>
    <x v="150"/>
    <x v="0"/>
    <n v="2328.21"/>
    <x v="150"/>
    <x v="150"/>
    <x v="0"/>
    <x v="3"/>
  </r>
  <r>
    <x v="46"/>
    <x v="2"/>
    <x v="2"/>
    <x v="0"/>
    <x v="151"/>
    <x v="1"/>
    <n v="1198.81"/>
    <x v="151"/>
    <x v="151"/>
    <x v="0"/>
    <x v="1"/>
  </r>
  <r>
    <x v="51"/>
    <x v="15"/>
    <x v="1"/>
    <x v="0"/>
    <x v="152"/>
    <x v="0"/>
    <n v="1545.69"/>
    <x v="152"/>
    <x v="152"/>
    <x v="6"/>
    <x v="0"/>
  </r>
  <r>
    <x v="31"/>
    <x v="9"/>
    <x v="1"/>
    <x v="0"/>
    <x v="153"/>
    <x v="0"/>
    <n v="1214.78"/>
    <x v="153"/>
    <x v="153"/>
    <x v="0"/>
    <x v="2"/>
  </r>
  <r>
    <x v="0"/>
    <x v="13"/>
    <x v="0"/>
    <x v="0"/>
    <x v="154"/>
    <x v="0"/>
    <n v="656.91"/>
    <x v="154"/>
    <x v="154"/>
    <x v="0"/>
    <x v="1"/>
  </r>
  <r>
    <x v="63"/>
    <x v="3"/>
    <x v="0"/>
    <x v="0"/>
    <x v="155"/>
    <x v="0"/>
    <n v="268.64999999999998"/>
    <x v="155"/>
    <x v="155"/>
    <x v="6"/>
    <x v="2"/>
  </r>
  <r>
    <x v="64"/>
    <x v="2"/>
    <x v="1"/>
    <x v="0"/>
    <x v="156"/>
    <x v="0"/>
    <n v="527.57000000000005"/>
    <x v="156"/>
    <x v="156"/>
    <x v="5"/>
    <x v="1"/>
  </r>
  <r>
    <x v="10"/>
    <x v="0"/>
    <x v="0"/>
    <x v="0"/>
    <x v="157"/>
    <x v="0"/>
    <n v="1611.29"/>
    <x v="157"/>
    <x v="157"/>
    <x v="2"/>
    <x v="0"/>
  </r>
  <r>
    <x v="62"/>
    <x v="10"/>
    <x v="1"/>
    <x v="1"/>
    <x v="158"/>
    <x v="0"/>
    <n v="2172.44"/>
    <x v="158"/>
    <x v="158"/>
    <x v="1"/>
    <x v="3"/>
  </r>
  <r>
    <x v="35"/>
    <x v="1"/>
    <x v="2"/>
    <x v="1"/>
    <x v="159"/>
    <x v="0"/>
    <n v="1237.8"/>
    <x v="159"/>
    <x v="159"/>
    <x v="1"/>
    <x v="1"/>
  </r>
  <r>
    <x v="33"/>
    <x v="15"/>
    <x v="1"/>
    <x v="0"/>
    <x v="160"/>
    <x v="3"/>
    <n v="1873.1"/>
    <x v="160"/>
    <x v="160"/>
    <x v="3"/>
    <x v="0"/>
  </r>
  <r>
    <x v="62"/>
    <x v="1"/>
    <x v="0"/>
    <x v="0"/>
    <x v="161"/>
    <x v="0"/>
    <n v="1470.32"/>
    <x v="161"/>
    <x v="161"/>
    <x v="1"/>
    <x v="1"/>
  </r>
  <r>
    <x v="53"/>
    <x v="15"/>
    <x v="0"/>
    <x v="0"/>
    <x v="162"/>
    <x v="0"/>
    <n v="434.62"/>
    <x v="162"/>
    <x v="162"/>
    <x v="3"/>
    <x v="0"/>
  </r>
  <r>
    <x v="51"/>
    <x v="11"/>
    <x v="2"/>
    <x v="0"/>
    <x v="163"/>
    <x v="0"/>
    <n v="293.5"/>
    <x v="163"/>
    <x v="163"/>
    <x v="6"/>
    <x v="4"/>
  </r>
  <r>
    <x v="54"/>
    <x v="10"/>
    <x v="2"/>
    <x v="1"/>
    <x v="164"/>
    <x v="0"/>
    <n v="1579.16"/>
    <x v="164"/>
    <x v="164"/>
    <x v="0"/>
    <x v="3"/>
  </r>
  <r>
    <x v="37"/>
    <x v="14"/>
    <x v="0"/>
    <x v="1"/>
    <x v="165"/>
    <x v="0"/>
    <n v="786.4"/>
    <x v="165"/>
    <x v="165"/>
    <x v="4"/>
    <x v="3"/>
  </r>
  <r>
    <x v="65"/>
    <x v="7"/>
    <x v="2"/>
    <x v="0"/>
    <x v="166"/>
    <x v="0"/>
    <n v="5102.46"/>
    <x v="166"/>
    <x v="166"/>
    <x v="3"/>
    <x v="0"/>
  </r>
  <r>
    <x v="7"/>
    <x v="6"/>
    <x v="2"/>
    <x v="2"/>
    <x v="167"/>
    <x v="0"/>
    <n v="1449.8"/>
    <x v="167"/>
    <x v="167"/>
    <x v="0"/>
    <x v="3"/>
  </r>
  <r>
    <x v="3"/>
    <x v="2"/>
    <x v="1"/>
    <x v="2"/>
    <x v="168"/>
    <x v="1"/>
    <n v="4443.83"/>
    <x v="168"/>
    <x v="168"/>
    <x v="0"/>
    <x v="1"/>
  </r>
  <r>
    <x v="18"/>
    <x v="13"/>
    <x v="2"/>
    <x v="0"/>
    <x v="169"/>
    <x v="0"/>
    <n v="891.15"/>
    <x v="169"/>
    <x v="169"/>
    <x v="1"/>
    <x v="1"/>
  </r>
  <r>
    <x v="54"/>
    <x v="15"/>
    <x v="0"/>
    <x v="1"/>
    <x v="170"/>
    <x v="1"/>
    <n v="1999.09"/>
    <x v="170"/>
    <x v="170"/>
    <x v="0"/>
    <x v="0"/>
  </r>
  <r>
    <x v="33"/>
    <x v="15"/>
    <x v="2"/>
    <x v="0"/>
    <x v="171"/>
    <x v="1"/>
    <n v="1288.55"/>
    <x v="171"/>
    <x v="171"/>
    <x v="3"/>
    <x v="0"/>
  </r>
  <r>
    <x v="43"/>
    <x v="2"/>
    <x v="0"/>
    <x v="0"/>
    <x v="172"/>
    <x v="0"/>
    <n v="251.16"/>
    <x v="172"/>
    <x v="172"/>
    <x v="4"/>
    <x v="1"/>
  </r>
  <r>
    <x v="63"/>
    <x v="1"/>
    <x v="2"/>
    <x v="0"/>
    <x v="173"/>
    <x v="1"/>
    <n v="781.69"/>
    <x v="173"/>
    <x v="173"/>
    <x v="6"/>
    <x v="1"/>
  </r>
  <r>
    <x v="17"/>
    <x v="12"/>
    <x v="2"/>
    <x v="3"/>
    <x v="174"/>
    <x v="2"/>
    <n v="3984.81"/>
    <x v="174"/>
    <x v="174"/>
    <x v="0"/>
    <x v="4"/>
  </r>
  <r>
    <x v="19"/>
    <x v="5"/>
    <x v="0"/>
    <x v="0"/>
    <x v="175"/>
    <x v="0"/>
    <n v="548.77"/>
    <x v="175"/>
    <x v="175"/>
    <x v="0"/>
    <x v="2"/>
  </r>
  <r>
    <x v="30"/>
    <x v="9"/>
    <x v="0"/>
    <x v="1"/>
    <x v="176"/>
    <x v="0"/>
    <n v="2393.17"/>
    <x v="176"/>
    <x v="176"/>
    <x v="2"/>
    <x v="2"/>
  </r>
  <r>
    <x v="48"/>
    <x v="7"/>
    <x v="2"/>
    <x v="0"/>
    <x v="177"/>
    <x v="0"/>
    <n v="807.66"/>
    <x v="177"/>
    <x v="177"/>
    <x v="2"/>
    <x v="0"/>
  </r>
  <r>
    <x v="55"/>
    <x v="5"/>
    <x v="2"/>
    <x v="0"/>
    <x v="178"/>
    <x v="0"/>
    <n v="223.53"/>
    <x v="178"/>
    <x v="178"/>
    <x v="6"/>
    <x v="2"/>
  </r>
  <r>
    <x v="28"/>
    <x v="7"/>
    <x v="2"/>
    <x v="1"/>
    <x v="179"/>
    <x v="2"/>
    <n v="2501.79"/>
    <x v="179"/>
    <x v="179"/>
    <x v="0"/>
    <x v="0"/>
  </r>
  <r>
    <x v="35"/>
    <x v="6"/>
    <x v="1"/>
    <x v="0"/>
    <x v="180"/>
    <x v="0"/>
    <n v="891.81"/>
    <x v="180"/>
    <x v="180"/>
    <x v="1"/>
    <x v="3"/>
  </r>
  <r>
    <x v="19"/>
    <x v="12"/>
    <x v="0"/>
    <x v="0"/>
    <x v="181"/>
    <x v="0"/>
    <n v="478.54"/>
    <x v="181"/>
    <x v="181"/>
    <x v="0"/>
    <x v="4"/>
  </r>
  <r>
    <x v="2"/>
    <x v="2"/>
    <x v="0"/>
    <x v="0"/>
    <x v="182"/>
    <x v="0"/>
    <n v="720.6"/>
    <x v="182"/>
    <x v="182"/>
    <x v="0"/>
    <x v="1"/>
  </r>
  <r>
    <x v="30"/>
    <x v="2"/>
    <x v="2"/>
    <x v="1"/>
    <x v="183"/>
    <x v="0"/>
    <n v="2269.6999999999998"/>
    <x v="183"/>
    <x v="183"/>
    <x v="2"/>
    <x v="1"/>
  </r>
  <r>
    <x v="6"/>
    <x v="10"/>
    <x v="2"/>
    <x v="0"/>
    <x v="184"/>
    <x v="1"/>
    <n v="1060.6500000000001"/>
    <x v="184"/>
    <x v="184"/>
    <x v="2"/>
    <x v="3"/>
  </r>
  <r>
    <x v="26"/>
    <x v="1"/>
    <x v="0"/>
    <x v="2"/>
    <x v="185"/>
    <x v="0"/>
    <n v="700.44"/>
    <x v="185"/>
    <x v="185"/>
    <x v="1"/>
    <x v="1"/>
  </r>
  <r>
    <x v="39"/>
    <x v="4"/>
    <x v="0"/>
    <x v="0"/>
    <x v="186"/>
    <x v="0"/>
    <n v="1629.48"/>
    <x v="186"/>
    <x v="186"/>
    <x v="0"/>
    <x v="0"/>
  </r>
  <r>
    <x v="34"/>
    <x v="10"/>
    <x v="2"/>
    <x v="1"/>
    <x v="187"/>
    <x v="1"/>
    <n v="1268.28"/>
    <x v="187"/>
    <x v="187"/>
    <x v="0"/>
    <x v="3"/>
  </r>
  <r>
    <x v="37"/>
    <x v="1"/>
    <x v="0"/>
    <x v="0"/>
    <x v="188"/>
    <x v="1"/>
    <n v="874.3"/>
    <x v="188"/>
    <x v="188"/>
    <x v="4"/>
    <x v="1"/>
  </r>
  <r>
    <x v="44"/>
    <x v="3"/>
    <x v="0"/>
    <x v="0"/>
    <x v="189"/>
    <x v="0"/>
    <n v="184.73"/>
    <x v="189"/>
    <x v="189"/>
    <x v="6"/>
    <x v="2"/>
  </r>
  <r>
    <x v="66"/>
    <x v="14"/>
    <x v="0"/>
    <x v="0"/>
    <x v="190"/>
    <x v="0"/>
    <n v="273.42"/>
    <x v="190"/>
    <x v="190"/>
    <x v="5"/>
    <x v="3"/>
  </r>
  <r>
    <x v="63"/>
    <x v="6"/>
    <x v="1"/>
    <x v="0"/>
    <x v="191"/>
    <x v="0"/>
    <n v="287.35000000000002"/>
    <x v="191"/>
    <x v="191"/>
    <x v="6"/>
    <x v="3"/>
  </r>
  <r>
    <x v="12"/>
    <x v="13"/>
    <x v="0"/>
    <x v="1"/>
    <x v="192"/>
    <x v="0"/>
    <n v="679.13"/>
    <x v="192"/>
    <x v="192"/>
    <x v="4"/>
    <x v="1"/>
  </r>
  <r>
    <x v="19"/>
    <x v="2"/>
    <x v="0"/>
    <x v="1"/>
    <x v="193"/>
    <x v="3"/>
    <n v="2053.36"/>
    <x v="193"/>
    <x v="193"/>
    <x v="0"/>
    <x v="1"/>
  </r>
  <r>
    <x v="54"/>
    <x v="4"/>
    <x v="0"/>
    <x v="0"/>
    <x v="194"/>
    <x v="0"/>
    <n v="2285.27"/>
    <x v="194"/>
    <x v="194"/>
    <x v="0"/>
    <x v="0"/>
  </r>
  <r>
    <x v="61"/>
    <x v="2"/>
    <x v="2"/>
    <x v="0"/>
    <x v="195"/>
    <x v="0"/>
    <n v="398.32"/>
    <x v="195"/>
    <x v="195"/>
    <x v="5"/>
    <x v="1"/>
  </r>
  <r>
    <x v="30"/>
    <x v="4"/>
    <x v="1"/>
    <x v="0"/>
    <x v="196"/>
    <x v="0"/>
    <n v="1420.76"/>
    <x v="196"/>
    <x v="196"/>
    <x v="2"/>
    <x v="0"/>
  </r>
  <r>
    <x v="25"/>
    <x v="7"/>
    <x v="2"/>
    <x v="0"/>
    <x v="197"/>
    <x v="0"/>
    <n v="892.41"/>
    <x v="197"/>
    <x v="197"/>
    <x v="3"/>
    <x v="0"/>
  </r>
  <r>
    <x v="20"/>
    <x v="2"/>
    <x v="0"/>
    <x v="1"/>
    <x v="198"/>
    <x v="1"/>
    <n v="1505.89"/>
    <x v="198"/>
    <x v="198"/>
    <x v="3"/>
    <x v="1"/>
  </r>
  <r>
    <x v="25"/>
    <x v="5"/>
    <x v="0"/>
    <x v="0"/>
    <x v="199"/>
    <x v="0"/>
    <n v="1380.61"/>
    <x v="199"/>
    <x v="199"/>
    <x v="3"/>
    <x v="2"/>
  </r>
  <r>
    <x v="37"/>
    <x v="15"/>
    <x v="0"/>
    <x v="3"/>
    <x v="200"/>
    <x v="0"/>
    <n v="3394.92"/>
    <x v="200"/>
    <x v="200"/>
    <x v="4"/>
    <x v="0"/>
  </r>
  <r>
    <x v="40"/>
    <x v="6"/>
    <x v="1"/>
    <x v="0"/>
    <x v="201"/>
    <x v="0"/>
    <n v="1079.57"/>
    <x v="201"/>
    <x v="201"/>
    <x v="4"/>
    <x v="3"/>
  </r>
  <r>
    <x v="34"/>
    <x v="7"/>
    <x v="2"/>
    <x v="0"/>
    <x v="202"/>
    <x v="0"/>
    <n v="794.13"/>
    <x v="202"/>
    <x v="202"/>
    <x v="0"/>
    <x v="0"/>
  </r>
  <r>
    <x v="33"/>
    <x v="14"/>
    <x v="0"/>
    <x v="0"/>
    <x v="203"/>
    <x v="0"/>
    <n v="602.53"/>
    <x v="203"/>
    <x v="203"/>
    <x v="3"/>
    <x v="3"/>
  </r>
  <r>
    <x v="54"/>
    <x v="7"/>
    <x v="0"/>
    <x v="2"/>
    <x v="204"/>
    <x v="1"/>
    <n v="3155.07"/>
    <x v="204"/>
    <x v="204"/>
    <x v="0"/>
    <x v="0"/>
  </r>
  <r>
    <x v="13"/>
    <x v="9"/>
    <x v="1"/>
    <x v="0"/>
    <x v="205"/>
    <x v="1"/>
    <n v="420.61"/>
    <x v="205"/>
    <x v="205"/>
    <x v="1"/>
    <x v="2"/>
  </r>
  <r>
    <x v="20"/>
    <x v="0"/>
    <x v="0"/>
    <x v="0"/>
    <x v="206"/>
    <x v="0"/>
    <n v="1813.7"/>
    <x v="206"/>
    <x v="206"/>
    <x v="3"/>
    <x v="0"/>
  </r>
  <r>
    <x v="27"/>
    <x v="4"/>
    <x v="1"/>
    <x v="0"/>
    <x v="207"/>
    <x v="1"/>
    <n v="1652.9"/>
    <x v="207"/>
    <x v="207"/>
    <x v="0"/>
    <x v="0"/>
  </r>
  <r>
    <x v="33"/>
    <x v="14"/>
    <x v="0"/>
    <x v="0"/>
    <x v="208"/>
    <x v="0"/>
    <n v="276.37"/>
    <x v="208"/>
    <x v="208"/>
    <x v="3"/>
    <x v="3"/>
  </r>
  <r>
    <x v="7"/>
    <x v="13"/>
    <x v="1"/>
    <x v="0"/>
    <x v="209"/>
    <x v="0"/>
    <n v="1338.57"/>
    <x v="209"/>
    <x v="209"/>
    <x v="0"/>
    <x v="1"/>
  </r>
  <r>
    <x v="44"/>
    <x v="6"/>
    <x v="0"/>
    <x v="1"/>
    <x v="210"/>
    <x v="0"/>
    <n v="446.65"/>
    <x v="210"/>
    <x v="210"/>
    <x v="6"/>
    <x v="3"/>
  </r>
  <r>
    <x v="21"/>
    <x v="12"/>
    <x v="0"/>
    <x v="0"/>
    <x v="211"/>
    <x v="0"/>
    <n v="458.78"/>
    <x v="211"/>
    <x v="211"/>
    <x v="3"/>
    <x v="4"/>
  </r>
  <r>
    <x v="28"/>
    <x v="6"/>
    <x v="0"/>
    <x v="0"/>
    <x v="212"/>
    <x v="0"/>
    <n v="934.44"/>
    <x v="212"/>
    <x v="212"/>
    <x v="0"/>
    <x v="3"/>
  </r>
  <r>
    <x v="43"/>
    <x v="12"/>
    <x v="1"/>
    <x v="0"/>
    <x v="213"/>
    <x v="0"/>
    <n v="324.33"/>
    <x v="213"/>
    <x v="213"/>
    <x v="4"/>
    <x v="4"/>
  </r>
  <r>
    <x v="19"/>
    <x v="0"/>
    <x v="1"/>
    <x v="0"/>
    <x v="214"/>
    <x v="0"/>
    <n v="2714.31"/>
    <x v="214"/>
    <x v="214"/>
    <x v="0"/>
    <x v="0"/>
  </r>
  <r>
    <x v="2"/>
    <x v="5"/>
    <x v="1"/>
    <x v="1"/>
    <x v="215"/>
    <x v="0"/>
    <n v="1565.95"/>
    <x v="215"/>
    <x v="215"/>
    <x v="0"/>
    <x v="2"/>
  </r>
  <r>
    <x v="4"/>
    <x v="9"/>
    <x v="2"/>
    <x v="0"/>
    <x v="216"/>
    <x v="0"/>
    <n v="1340.08"/>
    <x v="216"/>
    <x v="216"/>
    <x v="2"/>
    <x v="2"/>
  </r>
  <r>
    <x v="47"/>
    <x v="8"/>
    <x v="0"/>
    <x v="1"/>
    <x v="217"/>
    <x v="0"/>
    <n v="181.89"/>
    <x v="217"/>
    <x v="217"/>
    <x v="5"/>
    <x v="4"/>
  </r>
  <r>
    <x v="24"/>
    <x v="7"/>
    <x v="0"/>
    <x v="0"/>
    <x v="218"/>
    <x v="1"/>
    <n v="327.02999999999997"/>
    <x v="218"/>
    <x v="218"/>
    <x v="4"/>
    <x v="0"/>
  </r>
  <r>
    <x v="10"/>
    <x v="2"/>
    <x v="2"/>
    <x v="0"/>
    <x v="219"/>
    <x v="0"/>
    <n v="1127.6500000000001"/>
    <x v="219"/>
    <x v="219"/>
    <x v="2"/>
    <x v="1"/>
  </r>
  <r>
    <x v="16"/>
    <x v="10"/>
    <x v="2"/>
    <x v="2"/>
    <x v="220"/>
    <x v="0"/>
    <n v="1034.44"/>
    <x v="220"/>
    <x v="220"/>
    <x v="4"/>
    <x v="3"/>
  </r>
  <r>
    <x v="48"/>
    <x v="14"/>
    <x v="2"/>
    <x v="0"/>
    <x v="221"/>
    <x v="1"/>
    <n v="836.73"/>
    <x v="221"/>
    <x v="221"/>
    <x v="2"/>
    <x v="3"/>
  </r>
  <r>
    <x v="9"/>
    <x v="5"/>
    <x v="2"/>
    <x v="2"/>
    <x v="222"/>
    <x v="1"/>
    <n v="1643.19"/>
    <x v="222"/>
    <x v="222"/>
    <x v="3"/>
    <x v="2"/>
  </r>
  <r>
    <x v="33"/>
    <x v="7"/>
    <x v="0"/>
    <x v="0"/>
    <x v="223"/>
    <x v="0"/>
    <n v="945.68"/>
    <x v="223"/>
    <x v="223"/>
    <x v="3"/>
    <x v="0"/>
  </r>
  <r>
    <x v="35"/>
    <x v="10"/>
    <x v="0"/>
    <x v="0"/>
    <x v="224"/>
    <x v="0"/>
    <n v="1033.42"/>
    <x v="224"/>
    <x v="224"/>
    <x v="1"/>
    <x v="3"/>
  </r>
  <r>
    <x v="59"/>
    <x v="14"/>
    <x v="2"/>
    <x v="2"/>
    <x v="225"/>
    <x v="0"/>
    <n v="517.30999999999995"/>
    <x v="225"/>
    <x v="225"/>
    <x v="5"/>
    <x v="3"/>
  </r>
  <r>
    <x v="13"/>
    <x v="14"/>
    <x v="0"/>
    <x v="0"/>
    <x v="226"/>
    <x v="0"/>
    <n v="736.01"/>
    <x v="226"/>
    <x v="226"/>
    <x v="1"/>
    <x v="3"/>
  </r>
  <r>
    <x v="23"/>
    <x v="9"/>
    <x v="1"/>
    <x v="2"/>
    <x v="227"/>
    <x v="0"/>
    <n v="1991.49"/>
    <x v="227"/>
    <x v="227"/>
    <x v="2"/>
    <x v="2"/>
  </r>
  <r>
    <x v="20"/>
    <x v="10"/>
    <x v="2"/>
    <x v="0"/>
    <x v="228"/>
    <x v="0"/>
    <n v="1105.05"/>
    <x v="228"/>
    <x v="228"/>
    <x v="3"/>
    <x v="3"/>
  </r>
  <r>
    <x v="34"/>
    <x v="7"/>
    <x v="0"/>
    <x v="0"/>
    <x v="229"/>
    <x v="0"/>
    <n v="1834.15"/>
    <x v="229"/>
    <x v="229"/>
    <x v="0"/>
    <x v="0"/>
  </r>
  <r>
    <x v="23"/>
    <x v="8"/>
    <x v="0"/>
    <x v="0"/>
    <x v="230"/>
    <x v="0"/>
    <n v="195.36"/>
    <x v="230"/>
    <x v="230"/>
    <x v="2"/>
    <x v="4"/>
  </r>
  <r>
    <x v="0"/>
    <x v="14"/>
    <x v="0"/>
    <x v="0"/>
    <x v="231"/>
    <x v="0"/>
    <n v="957.67"/>
    <x v="231"/>
    <x v="231"/>
    <x v="0"/>
    <x v="3"/>
  </r>
  <r>
    <x v="39"/>
    <x v="13"/>
    <x v="2"/>
    <x v="0"/>
    <x v="232"/>
    <x v="2"/>
    <n v="1481.37"/>
    <x v="232"/>
    <x v="232"/>
    <x v="0"/>
    <x v="1"/>
  </r>
  <r>
    <x v="28"/>
    <x v="1"/>
    <x v="0"/>
    <x v="0"/>
    <x v="233"/>
    <x v="0"/>
    <n v="1610.45"/>
    <x v="233"/>
    <x v="233"/>
    <x v="0"/>
    <x v="1"/>
  </r>
  <r>
    <x v="19"/>
    <x v="15"/>
    <x v="1"/>
    <x v="0"/>
    <x v="234"/>
    <x v="0"/>
    <n v="1655.02"/>
    <x v="234"/>
    <x v="234"/>
    <x v="0"/>
    <x v="0"/>
  </r>
  <r>
    <x v="31"/>
    <x v="13"/>
    <x v="1"/>
    <x v="0"/>
    <x v="235"/>
    <x v="0"/>
    <n v="1327.25"/>
    <x v="235"/>
    <x v="235"/>
    <x v="0"/>
    <x v="1"/>
  </r>
  <r>
    <x v="14"/>
    <x v="6"/>
    <x v="0"/>
    <x v="0"/>
    <x v="236"/>
    <x v="0"/>
    <n v="304.43"/>
    <x v="236"/>
    <x v="236"/>
    <x v="5"/>
    <x v="3"/>
  </r>
  <r>
    <x v="42"/>
    <x v="3"/>
    <x v="2"/>
    <x v="0"/>
    <x v="237"/>
    <x v="1"/>
    <n v="632.5"/>
    <x v="237"/>
    <x v="237"/>
    <x v="3"/>
    <x v="2"/>
  </r>
  <r>
    <x v="24"/>
    <x v="4"/>
    <x v="0"/>
    <x v="1"/>
    <x v="238"/>
    <x v="0"/>
    <n v="661.01"/>
    <x v="238"/>
    <x v="238"/>
    <x v="4"/>
    <x v="0"/>
  </r>
  <r>
    <x v="51"/>
    <x v="8"/>
    <x v="0"/>
    <x v="0"/>
    <x v="239"/>
    <x v="0"/>
    <n v="311.13"/>
    <x v="239"/>
    <x v="239"/>
    <x v="6"/>
    <x v="4"/>
  </r>
  <r>
    <x v="4"/>
    <x v="2"/>
    <x v="0"/>
    <x v="0"/>
    <x v="240"/>
    <x v="1"/>
    <n v="1114.21"/>
    <x v="240"/>
    <x v="240"/>
    <x v="2"/>
    <x v="1"/>
  </r>
  <r>
    <x v="36"/>
    <x v="5"/>
    <x v="0"/>
    <x v="0"/>
    <x v="241"/>
    <x v="0"/>
    <n v="402.87"/>
    <x v="241"/>
    <x v="241"/>
    <x v="1"/>
    <x v="2"/>
  </r>
  <r>
    <x v="2"/>
    <x v="6"/>
    <x v="0"/>
    <x v="0"/>
    <x v="242"/>
    <x v="0"/>
    <n v="979.51"/>
    <x v="242"/>
    <x v="242"/>
    <x v="0"/>
    <x v="3"/>
  </r>
  <r>
    <x v="12"/>
    <x v="4"/>
    <x v="2"/>
    <x v="0"/>
    <x v="243"/>
    <x v="0"/>
    <n v="601.27"/>
    <x v="243"/>
    <x v="243"/>
    <x v="4"/>
    <x v="0"/>
  </r>
  <r>
    <x v="9"/>
    <x v="2"/>
    <x v="2"/>
    <x v="2"/>
    <x v="244"/>
    <x v="0"/>
    <n v="2858.06"/>
    <x v="244"/>
    <x v="244"/>
    <x v="3"/>
    <x v="1"/>
  </r>
  <r>
    <x v="19"/>
    <x v="2"/>
    <x v="0"/>
    <x v="0"/>
    <x v="245"/>
    <x v="0"/>
    <n v="730.84"/>
    <x v="245"/>
    <x v="245"/>
    <x v="0"/>
    <x v="1"/>
  </r>
  <r>
    <x v="19"/>
    <x v="6"/>
    <x v="0"/>
    <x v="1"/>
    <x v="246"/>
    <x v="0"/>
    <n v="1789.59"/>
    <x v="246"/>
    <x v="246"/>
    <x v="0"/>
    <x v="3"/>
  </r>
  <r>
    <x v="28"/>
    <x v="2"/>
    <x v="0"/>
    <x v="0"/>
    <x v="247"/>
    <x v="0"/>
    <n v="674.2"/>
    <x v="247"/>
    <x v="247"/>
    <x v="0"/>
    <x v="1"/>
  </r>
  <r>
    <x v="38"/>
    <x v="7"/>
    <x v="1"/>
    <x v="0"/>
    <x v="248"/>
    <x v="0"/>
    <n v="701.38"/>
    <x v="248"/>
    <x v="248"/>
    <x v="5"/>
    <x v="0"/>
  </r>
  <r>
    <x v="19"/>
    <x v="5"/>
    <x v="0"/>
    <x v="0"/>
    <x v="249"/>
    <x v="0"/>
    <n v="977.82"/>
    <x v="249"/>
    <x v="249"/>
    <x v="0"/>
    <x v="2"/>
  </r>
  <r>
    <x v="1"/>
    <x v="6"/>
    <x v="0"/>
    <x v="0"/>
    <x v="250"/>
    <x v="0"/>
    <n v="320.06"/>
    <x v="250"/>
    <x v="250"/>
    <x v="1"/>
    <x v="3"/>
  </r>
  <r>
    <x v="43"/>
    <x v="8"/>
    <x v="2"/>
    <x v="0"/>
    <x v="251"/>
    <x v="0"/>
    <n v="347.91"/>
    <x v="251"/>
    <x v="251"/>
    <x v="4"/>
    <x v="4"/>
  </r>
  <r>
    <x v="16"/>
    <x v="1"/>
    <x v="0"/>
    <x v="0"/>
    <x v="252"/>
    <x v="0"/>
    <n v="307.44"/>
    <x v="252"/>
    <x v="252"/>
    <x v="4"/>
    <x v="1"/>
  </r>
  <r>
    <x v="26"/>
    <x v="13"/>
    <x v="0"/>
    <x v="0"/>
    <x v="253"/>
    <x v="0"/>
    <n v="1074.71"/>
    <x v="253"/>
    <x v="253"/>
    <x v="1"/>
    <x v="1"/>
  </r>
  <r>
    <x v="22"/>
    <x v="10"/>
    <x v="0"/>
    <x v="1"/>
    <x v="254"/>
    <x v="0"/>
    <n v="565.92999999999995"/>
    <x v="254"/>
    <x v="254"/>
    <x v="1"/>
    <x v="3"/>
  </r>
  <r>
    <x v="44"/>
    <x v="6"/>
    <x v="2"/>
    <x v="1"/>
    <x v="255"/>
    <x v="0"/>
    <n v="992.29"/>
    <x v="255"/>
    <x v="255"/>
    <x v="6"/>
    <x v="3"/>
  </r>
  <r>
    <x v="37"/>
    <x v="15"/>
    <x v="0"/>
    <x v="0"/>
    <x v="256"/>
    <x v="1"/>
    <n v="1155.2"/>
    <x v="256"/>
    <x v="256"/>
    <x v="4"/>
    <x v="0"/>
  </r>
  <r>
    <x v="25"/>
    <x v="7"/>
    <x v="2"/>
    <x v="0"/>
    <x v="257"/>
    <x v="0"/>
    <n v="1745.17"/>
    <x v="257"/>
    <x v="257"/>
    <x v="3"/>
    <x v="0"/>
  </r>
  <r>
    <x v="30"/>
    <x v="8"/>
    <x v="1"/>
    <x v="0"/>
    <x v="258"/>
    <x v="0"/>
    <n v="987.17"/>
    <x v="258"/>
    <x v="258"/>
    <x v="2"/>
    <x v="4"/>
  </r>
  <r>
    <x v="23"/>
    <x v="1"/>
    <x v="0"/>
    <x v="2"/>
    <x v="259"/>
    <x v="0"/>
    <n v="2287.6"/>
    <x v="259"/>
    <x v="259"/>
    <x v="2"/>
    <x v="1"/>
  </r>
  <r>
    <x v="51"/>
    <x v="1"/>
    <x v="0"/>
    <x v="2"/>
    <x v="260"/>
    <x v="0"/>
    <n v="1257.9000000000001"/>
    <x v="260"/>
    <x v="260"/>
    <x v="6"/>
    <x v="1"/>
  </r>
  <r>
    <x v="44"/>
    <x v="5"/>
    <x v="2"/>
    <x v="0"/>
    <x v="261"/>
    <x v="0"/>
    <n v="279.93"/>
    <x v="261"/>
    <x v="261"/>
    <x v="6"/>
    <x v="2"/>
  </r>
  <r>
    <x v="33"/>
    <x v="6"/>
    <x v="2"/>
    <x v="0"/>
    <x v="262"/>
    <x v="0"/>
    <n v="1121.77"/>
    <x v="262"/>
    <x v="262"/>
    <x v="3"/>
    <x v="3"/>
  </r>
  <r>
    <x v="25"/>
    <x v="10"/>
    <x v="1"/>
    <x v="0"/>
    <x v="263"/>
    <x v="0"/>
    <n v="968.19"/>
    <x v="263"/>
    <x v="263"/>
    <x v="3"/>
    <x v="3"/>
  </r>
  <r>
    <x v="62"/>
    <x v="2"/>
    <x v="0"/>
    <x v="1"/>
    <x v="264"/>
    <x v="1"/>
    <n v="1070.8699999999999"/>
    <x v="264"/>
    <x v="264"/>
    <x v="1"/>
    <x v="1"/>
  </r>
  <r>
    <x v="29"/>
    <x v="3"/>
    <x v="2"/>
    <x v="0"/>
    <x v="265"/>
    <x v="0"/>
    <n v="751.87"/>
    <x v="265"/>
    <x v="265"/>
    <x v="3"/>
    <x v="2"/>
  </r>
  <r>
    <x v="56"/>
    <x v="7"/>
    <x v="0"/>
    <x v="0"/>
    <x v="266"/>
    <x v="0"/>
    <n v="334.11"/>
    <x v="266"/>
    <x v="266"/>
    <x v="4"/>
    <x v="0"/>
  </r>
  <r>
    <x v="61"/>
    <x v="14"/>
    <x v="0"/>
    <x v="0"/>
    <x v="267"/>
    <x v="0"/>
    <n v="197.17"/>
    <x v="267"/>
    <x v="267"/>
    <x v="5"/>
    <x v="3"/>
  </r>
  <r>
    <x v="5"/>
    <x v="7"/>
    <x v="0"/>
    <x v="0"/>
    <x v="268"/>
    <x v="0"/>
    <n v="1846.87"/>
    <x v="268"/>
    <x v="268"/>
    <x v="0"/>
    <x v="0"/>
  </r>
  <r>
    <x v="33"/>
    <x v="7"/>
    <x v="2"/>
    <x v="0"/>
    <x v="269"/>
    <x v="1"/>
    <n v="1244.3900000000001"/>
    <x v="269"/>
    <x v="269"/>
    <x v="3"/>
    <x v="0"/>
  </r>
  <r>
    <x v="7"/>
    <x v="4"/>
    <x v="0"/>
    <x v="0"/>
    <x v="270"/>
    <x v="1"/>
    <n v="1607.09"/>
    <x v="270"/>
    <x v="270"/>
    <x v="0"/>
    <x v="0"/>
  </r>
  <r>
    <x v="11"/>
    <x v="3"/>
    <x v="1"/>
    <x v="0"/>
    <x v="271"/>
    <x v="0"/>
    <n v="711.16"/>
    <x v="271"/>
    <x v="271"/>
    <x v="4"/>
    <x v="2"/>
  </r>
  <r>
    <x v="21"/>
    <x v="1"/>
    <x v="2"/>
    <x v="0"/>
    <x v="272"/>
    <x v="0"/>
    <n v="675"/>
    <x v="272"/>
    <x v="272"/>
    <x v="3"/>
    <x v="1"/>
  </r>
  <r>
    <x v="36"/>
    <x v="2"/>
    <x v="2"/>
    <x v="0"/>
    <x v="273"/>
    <x v="1"/>
    <n v="541"/>
    <x v="273"/>
    <x v="273"/>
    <x v="1"/>
    <x v="1"/>
  </r>
  <r>
    <x v="3"/>
    <x v="11"/>
    <x v="0"/>
    <x v="0"/>
    <x v="274"/>
    <x v="0"/>
    <n v="371.15"/>
    <x v="274"/>
    <x v="274"/>
    <x v="0"/>
    <x v="4"/>
  </r>
  <r>
    <x v="2"/>
    <x v="0"/>
    <x v="2"/>
    <x v="1"/>
    <x v="275"/>
    <x v="0"/>
    <n v="6045.91"/>
    <x v="275"/>
    <x v="275"/>
    <x v="0"/>
    <x v="0"/>
  </r>
  <r>
    <x v="23"/>
    <x v="12"/>
    <x v="2"/>
    <x v="1"/>
    <x v="276"/>
    <x v="0"/>
    <n v="549.04"/>
    <x v="276"/>
    <x v="276"/>
    <x v="2"/>
    <x v="4"/>
  </r>
  <r>
    <x v="59"/>
    <x v="7"/>
    <x v="0"/>
    <x v="1"/>
    <x v="277"/>
    <x v="1"/>
    <n v="461.33"/>
    <x v="277"/>
    <x v="277"/>
    <x v="5"/>
    <x v="0"/>
  </r>
  <r>
    <x v="53"/>
    <x v="2"/>
    <x v="0"/>
    <x v="0"/>
    <x v="278"/>
    <x v="1"/>
    <n v="728.44"/>
    <x v="278"/>
    <x v="278"/>
    <x v="3"/>
    <x v="1"/>
  </r>
  <r>
    <x v="48"/>
    <x v="4"/>
    <x v="2"/>
    <x v="0"/>
    <x v="279"/>
    <x v="1"/>
    <n v="756.4"/>
    <x v="279"/>
    <x v="279"/>
    <x v="2"/>
    <x v="0"/>
  </r>
  <r>
    <x v="17"/>
    <x v="12"/>
    <x v="2"/>
    <x v="0"/>
    <x v="280"/>
    <x v="0"/>
    <n v="698.64"/>
    <x v="280"/>
    <x v="280"/>
    <x v="0"/>
    <x v="4"/>
  </r>
  <r>
    <x v="2"/>
    <x v="6"/>
    <x v="1"/>
    <x v="1"/>
    <x v="281"/>
    <x v="2"/>
    <n v="739.77"/>
    <x v="281"/>
    <x v="281"/>
    <x v="0"/>
    <x v="3"/>
  </r>
  <r>
    <x v="41"/>
    <x v="14"/>
    <x v="0"/>
    <x v="0"/>
    <x v="282"/>
    <x v="0"/>
    <n v="731.9"/>
    <x v="282"/>
    <x v="282"/>
    <x v="2"/>
    <x v="3"/>
  </r>
  <r>
    <x v="59"/>
    <x v="1"/>
    <x v="1"/>
    <x v="2"/>
    <x v="283"/>
    <x v="0"/>
    <n v="1530.95"/>
    <x v="283"/>
    <x v="283"/>
    <x v="5"/>
    <x v="1"/>
  </r>
  <r>
    <x v="3"/>
    <x v="15"/>
    <x v="0"/>
    <x v="2"/>
    <x v="284"/>
    <x v="0"/>
    <n v="3526.4"/>
    <x v="284"/>
    <x v="284"/>
    <x v="0"/>
    <x v="0"/>
  </r>
  <r>
    <x v="10"/>
    <x v="3"/>
    <x v="1"/>
    <x v="0"/>
    <x v="285"/>
    <x v="0"/>
    <n v="459.09"/>
    <x v="285"/>
    <x v="285"/>
    <x v="2"/>
    <x v="2"/>
  </r>
  <r>
    <x v="67"/>
    <x v="15"/>
    <x v="2"/>
    <x v="0"/>
    <x v="286"/>
    <x v="0"/>
    <n v="592.67999999999995"/>
    <x v="286"/>
    <x v="286"/>
    <x v="1"/>
    <x v="0"/>
  </r>
  <r>
    <x v="10"/>
    <x v="1"/>
    <x v="0"/>
    <x v="1"/>
    <x v="287"/>
    <x v="0"/>
    <n v="1111.08"/>
    <x v="287"/>
    <x v="287"/>
    <x v="2"/>
    <x v="1"/>
  </r>
  <r>
    <x v="30"/>
    <x v="14"/>
    <x v="0"/>
    <x v="0"/>
    <x v="288"/>
    <x v="0"/>
    <n v="452.76"/>
    <x v="288"/>
    <x v="288"/>
    <x v="2"/>
    <x v="3"/>
  </r>
  <r>
    <x v="32"/>
    <x v="3"/>
    <x v="0"/>
    <x v="1"/>
    <x v="289"/>
    <x v="0"/>
    <n v="594.38"/>
    <x v="289"/>
    <x v="289"/>
    <x v="3"/>
    <x v="2"/>
  </r>
  <r>
    <x v="49"/>
    <x v="4"/>
    <x v="1"/>
    <x v="0"/>
    <x v="290"/>
    <x v="1"/>
    <n v="2005.07"/>
    <x v="290"/>
    <x v="290"/>
    <x v="2"/>
    <x v="0"/>
  </r>
  <r>
    <x v="54"/>
    <x v="3"/>
    <x v="0"/>
    <x v="1"/>
    <x v="291"/>
    <x v="1"/>
    <n v="2820.14"/>
    <x v="291"/>
    <x v="291"/>
    <x v="0"/>
    <x v="2"/>
  </r>
  <r>
    <x v="6"/>
    <x v="6"/>
    <x v="2"/>
    <x v="0"/>
    <x v="292"/>
    <x v="0"/>
    <n v="503.09"/>
    <x v="292"/>
    <x v="292"/>
    <x v="2"/>
    <x v="3"/>
  </r>
  <r>
    <x v="5"/>
    <x v="10"/>
    <x v="0"/>
    <x v="0"/>
    <x v="293"/>
    <x v="0"/>
    <n v="1414.95"/>
    <x v="293"/>
    <x v="293"/>
    <x v="0"/>
    <x v="3"/>
  </r>
  <r>
    <x v="68"/>
    <x v="7"/>
    <x v="2"/>
    <x v="0"/>
    <x v="294"/>
    <x v="1"/>
    <n v="1867.24"/>
    <x v="294"/>
    <x v="294"/>
    <x v="2"/>
    <x v="0"/>
  </r>
  <r>
    <x v="11"/>
    <x v="3"/>
    <x v="0"/>
    <x v="0"/>
    <x v="295"/>
    <x v="0"/>
    <n v="256.25"/>
    <x v="295"/>
    <x v="295"/>
    <x v="4"/>
    <x v="2"/>
  </r>
  <r>
    <x v="19"/>
    <x v="1"/>
    <x v="0"/>
    <x v="0"/>
    <x v="296"/>
    <x v="0"/>
    <n v="583.54999999999995"/>
    <x v="296"/>
    <x v="296"/>
    <x v="0"/>
    <x v="1"/>
  </r>
  <r>
    <x v="17"/>
    <x v="13"/>
    <x v="0"/>
    <x v="0"/>
    <x v="297"/>
    <x v="0"/>
    <n v="1353.75"/>
    <x v="297"/>
    <x v="297"/>
    <x v="0"/>
    <x v="1"/>
  </r>
  <r>
    <x v="65"/>
    <x v="2"/>
    <x v="0"/>
    <x v="1"/>
    <x v="298"/>
    <x v="1"/>
    <n v="1987.96"/>
    <x v="298"/>
    <x v="298"/>
    <x v="3"/>
    <x v="1"/>
  </r>
  <r>
    <x v="68"/>
    <x v="12"/>
    <x v="1"/>
    <x v="0"/>
    <x v="299"/>
    <x v="0"/>
    <n v="628.62"/>
    <x v="299"/>
    <x v="299"/>
    <x v="2"/>
    <x v="4"/>
  </r>
  <r>
    <x v="14"/>
    <x v="15"/>
    <x v="0"/>
    <x v="1"/>
    <x v="300"/>
    <x v="0"/>
    <n v="1384.85"/>
    <x v="300"/>
    <x v="300"/>
    <x v="5"/>
    <x v="0"/>
  </r>
  <r>
    <x v="48"/>
    <x v="6"/>
    <x v="0"/>
    <x v="0"/>
    <x v="301"/>
    <x v="0"/>
    <n v="306.04000000000002"/>
    <x v="301"/>
    <x v="301"/>
    <x v="2"/>
    <x v="3"/>
  </r>
  <r>
    <x v="40"/>
    <x v="4"/>
    <x v="0"/>
    <x v="0"/>
    <x v="302"/>
    <x v="0"/>
    <n v="431.37"/>
    <x v="302"/>
    <x v="302"/>
    <x v="4"/>
    <x v="0"/>
  </r>
  <r>
    <x v="4"/>
    <x v="13"/>
    <x v="1"/>
    <x v="0"/>
    <x v="303"/>
    <x v="0"/>
    <n v="978.41"/>
    <x v="303"/>
    <x v="303"/>
    <x v="2"/>
    <x v="1"/>
  </r>
  <r>
    <x v="5"/>
    <x v="4"/>
    <x v="2"/>
    <x v="0"/>
    <x v="304"/>
    <x v="1"/>
    <n v="3760.72"/>
    <x v="304"/>
    <x v="304"/>
    <x v="0"/>
    <x v="0"/>
  </r>
  <r>
    <x v="57"/>
    <x v="15"/>
    <x v="0"/>
    <x v="1"/>
    <x v="305"/>
    <x v="0"/>
    <n v="1064.99"/>
    <x v="305"/>
    <x v="305"/>
    <x v="2"/>
    <x v="0"/>
  </r>
  <r>
    <x v="44"/>
    <x v="4"/>
    <x v="0"/>
    <x v="0"/>
    <x v="306"/>
    <x v="0"/>
    <n v="343.74"/>
    <x v="306"/>
    <x v="306"/>
    <x v="6"/>
    <x v="0"/>
  </r>
  <r>
    <x v="41"/>
    <x v="0"/>
    <x v="0"/>
    <x v="0"/>
    <x v="307"/>
    <x v="0"/>
    <n v="1221.83"/>
    <x v="307"/>
    <x v="307"/>
    <x v="2"/>
    <x v="0"/>
  </r>
  <r>
    <x v="10"/>
    <x v="3"/>
    <x v="2"/>
    <x v="0"/>
    <x v="308"/>
    <x v="0"/>
    <n v="1174.8399999999999"/>
    <x v="308"/>
    <x v="308"/>
    <x v="2"/>
    <x v="2"/>
  </r>
  <r>
    <x v="54"/>
    <x v="14"/>
    <x v="1"/>
    <x v="0"/>
    <x v="309"/>
    <x v="0"/>
    <n v="1692.99"/>
    <x v="309"/>
    <x v="309"/>
    <x v="0"/>
    <x v="3"/>
  </r>
  <r>
    <x v="16"/>
    <x v="12"/>
    <x v="0"/>
    <x v="2"/>
    <x v="310"/>
    <x v="0"/>
    <n v="462.23"/>
    <x v="310"/>
    <x v="310"/>
    <x v="4"/>
    <x v="4"/>
  </r>
  <r>
    <x v="43"/>
    <x v="4"/>
    <x v="1"/>
    <x v="1"/>
    <x v="311"/>
    <x v="0"/>
    <n v="1279.92"/>
    <x v="311"/>
    <x v="311"/>
    <x v="4"/>
    <x v="0"/>
  </r>
  <r>
    <x v="57"/>
    <x v="12"/>
    <x v="1"/>
    <x v="1"/>
    <x v="312"/>
    <x v="1"/>
    <n v="604.25"/>
    <x v="312"/>
    <x v="312"/>
    <x v="2"/>
    <x v="4"/>
  </r>
  <r>
    <x v="3"/>
    <x v="10"/>
    <x v="0"/>
    <x v="0"/>
    <x v="313"/>
    <x v="0"/>
    <n v="3963.76"/>
    <x v="313"/>
    <x v="313"/>
    <x v="0"/>
    <x v="3"/>
  </r>
  <r>
    <x v="50"/>
    <x v="13"/>
    <x v="0"/>
    <x v="0"/>
    <x v="314"/>
    <x v="0"/>
    <n v="293.85000000000002"/>
    <x v="314"/>
    <x v="314"/>
    <x v="4"/>
    <x v="1"/>
  </r>
  <r>
    <x v="13"/>
    <x v="10"/>
    <x v="0"/>
    <x v="0"/>
    <x v="315"/>
    <x v="0"/>
    <n v="339.12"/>
    <x v="315"/>
    <x v="315"/>
    <x v="1"/>
    <x v="3"/>
  </r>
  <r>
    <x v="21"/>
    <x v="9"/>
    <x v="0"/>
    <x v="0"/>
    <x v="316"/>
    <x v="0"/>
    <n v="285.83"/>
    <x v="316"/>
    <x v="316"/>
    <x v="3"/>
    <x v="2"/>
  </r>
  <r>
    <x v="53"/>
    <x v="15"/>
    <x v="0"/>
    <x v="1"/>
    <x v="317"/>
    <x v="1"/>
    <n v="3082.63"/>
    <x v="317"/>
    <x v="317"/>
    <x v="3"/>
    <x v="0"/>
  </r>
  <r>
    <x v="35"/>
    <x v="15"/>
    <x v="2"/>
    <x v="0"/>
    <x v="318"/>
    <x v="0"/>
    <n v="903.51"/>
    <x v="318"/>
    <x v="318"/>
    <x v="1"/>
    <x v="0"/>
  </r>
  <r>
    <x v="21"/>
    <x v="4"/>
    <x v="0"/>
    <x v="0"/>
    <x v="319"/>
    <x v="0"/>
    <n v="861.05"/>
    <x v="319"/>
    <x v="319"/>
    <x v="3"/>
    <x v="0"/>
  </r>
  <r>
    <x v="34"/>
    <x v="10"/>
    <x v="1"/>
    <x v="0"/>
    <x v="320"/>
    <x v="1"/>
    <n v="2089.7800000000002"/>
    <x v="320"/>
    <x v="320"/>
    <x v="0"/>
    <x v="3"/>
  </r>
  <r>
    <x v="34"/>
    <x v="8"/>
    <x v="0"/>
    <x v="0"/>
    <x v="321"/>
    <x v="0"/>
    <n v="510.71"/>
    <x v="321"/>
    <x v="321"/>
    <x v="0"/>
    <x v="4"/>
  </r>
  <r>
    <x v="22"/>
    <x v="1"/>
    <x v="0"/>
    <x v="1"/>
    <x v="322"/>
    <x v="0"/>
    <n v="1191.77"/>
    <x v="322"/>
    <x v="322"/>
    <x v="1"/>
    <x v="1"/>
  </r>
  <r>
    <x v="56"/>
    <x v="7"/>
    <x v="0"/>
    <x v="0"/>
    <x v="323"/>
    <x v="1"/>
    <n v="898.48"/>
    <x v="323"/>
    <x v="323"/>
    <x v="4"/>
    <x v="0"/>
  </r>
  <r>
    <x v="62"/>
    <x v="14"/>
    <x v="2"/>
    <x v="0"/>
    <x v="324"/>
    <x v="0"/>
    <n v="1424.84"/>
    <x v="324"/>
    <x v="324"/>
    <x v="1"/>
    <x v="3"/>
  </r>
  <r>
    <x v="25"/>
    <x v="15"/>
    <x v="1"/>
    <x v="1"/>
    <x v="325"/>
    <x v="1"/>
    <n v="3567.43"/>
    <x v="325"/>
    <x v="325"/>
    <x v="3"/>
    <x v="0"/>
  </r>
  <r>
    <x v="22"/>
    <x v="14"/>
    <x v="2"/>
    <x v="0"/>
    <x v="326"/>
    <x v="0"/>
    <n v="1305.8"/>
    <x v="326"/>
    <x v="326"/>
    <x v="1"/>
    <x v="3"/>
  </r>
  <r>
    <x v="62"/>
    <x v="15"/>
    <x v="0"/>
    <x v="0"/>
    <x v="327"/>
    <x v="0"/>
    <n v="1073.02"/>
    <x v="327"/>
    <x v="327"/>
    <x v="1"/>
    <x v="0"/>
  </r>
  <r>
    <x v="30"/>
    <x v="5"/>
    <x v="0"/>
    <x v="0"/>
    <x v="328"/>
    <x v="0"/>
    <n v="978.74"/>
    <x v="328"/>
    <x v="328"/>
    <x v="2"/>
    <x v="2"/>
  </r>
  <r>
    <x v="30"/>
    <x v="4"/>
    <x v="2"/>
    <x v="2"/>
    <x v="329"/>
    <x v="0"/>
    <n v="3292.66"/>
    <x v="329"/>
    <x v="329"/>
    <x v="2"/>
    <x v="0"/>
  </r>
  <r>
    <x v="4"/>
    <x v="3"/>
    <x v="1"/>
    <x v="1"/>
    <x v="330"/>
    <x v="0"/>
    <n v="442.39"/>
    <x v="330"/>
    <x v="330"/>
    <x v="2"/>
    <x v="2"/>
  </r>
  <r>
    <x v="12"/>
    <x v="15"/>
    <x v="2"/>
    <x v="0"/>
    <x v="331"/>
    <x v="0"/>
    <n v="2220.3200000000002"/>
    <x v="331"/>
    <x v="331"/>
    <x v="4"/>
    <x v="0"/>
  </r>
  <r>
    <x v="66"/>
    <x v="10"/>
    <x v="1"/>
    <x v="1"/>
    <x v="332"/>
    <x v="0"/>
    <n v="454.77"/>
    <x v="332"/>
    <x v="332"/>
    <x v="5"/>
    <x v="3"/>
  </r>
  <r>
    <x v="41"/>
    <x v="15"/>
    <x v="1"/>
    <x v="1"/>
    <x v="333"/>
    <x v="0"/>
    <n v="4025.55"/>
    <x v="333"/>
    <x v="333"/>
    <x v="2"/>
    <x v="0"/>
  </r>
  <r>
    <x v="10"/>
    <x v="10"/>
    <x v="0"/>
    <x v="0"/>
    <x v="334"/>
    <x v="0"/>
    <n v="871.3"/>
    <x v="334"/>
    <x v="334"/>
    <x v="2"/>
    <x v="3"/>
  </r>
  <r>
    <x v="45"/>
    <x v="5"/>
    <x v="1"/>
    <x v="1"/>
    <x v="335"/>
    <x v="0"/>
    <n v="725.57"/>
    <x v="335"/>
    <x v="335"/>
    <x v="1"/>
    <x v="2"/>
  </r>
  <r>
    <x v="46"/>
    <x v="1"/>
    <x v="2"/>
    <x v="0"/>
    <x v="336"/>
    <x v="0"/>
    <n v="935.4"/>
    <x v="336"/>
    <x v="336"/>
    <x v="0"/>
    <x v="1"/>
  </r>
  <r>
    <x v="29"/>
    <x v="4"/>
    <x v="1"/>
    <x v="0"/>
    <x v="337"/>
    <x v="1"/>
    <n v="1829.2"/>
    <x v="337"/>
    <x v="337"/>
    <x v="3"/>
    <x v="0"/>
  </r>
  <r>
    <x v="48"/>
    <x v="8"/>
    <x v="0"/>
    <x v="0"/>
    <x v="338"/>
    <x v="0"/>
    <n v="507.83"/>
    <x v="338"/>
    <x v="338"/>
    <x v="2"/>
    <x v="4"/>
  </r>
  <r>
    <x v="56"/>
    <x v="1"/>
    <x v="2"/>
    <x v="0"/>
    <x v="339"/>
    <x v="1"/>
    <n v="710.38"/>
    <x v="339"/>
    <x v="339"/>
    <x v="4"/>
    <x v="1"/>
  </r>
  <r>
    <x v="29"/>
    <x v="9"/>
    <x v="2"/>
    <x v="0"/>
    <x v="340"/>
    <x v="0"/>
    <n v="673.5"/>
    <x v="340"/>
    <x v="340"/>
    <x v="3"/>
    <x v="2"/>
  </r>
  <r>
    <x v="21"/>
    <x v="3"/>
    <x v="0"/>
    <x v="1"/>
    <x v="341"/>
    <x v="0"/>
    <n v="1002.52"/>
    <x v="341"/>
    <x v="341"/>
    <x v="3"/>
    <x v="2"/>
  </r>
  <r>
    <x v="52"/>
    <x v="1"/>
    <x v="1"/>
    <x v="0"/>
    <x v="342"/>
    <x v="0"/>
    <n v="3402.86"/>
    <x v="342"/>
    <x v="342"/>
    <x v="0"/>
    <x v="1"/>
  </r>
  <r>
    <x v="4"/>
    <x v="5"/>
    <x v="0"/>
    <x v="1"/>
    <x v="343"/>
    <x v="0"/>
    <n v="1301.8399999999999"/>
    <x v="343"/>
    <x v="343"/>
    <x v="2"/>
    <x v="2"/>
  </r>
  <r>
    <x v="39"/>
    <x v="8"/>
    <x v="1"/>
    <x v="0"/>
    <x v="344"/>
    <x v="0"/>
    <n v="2766.73"/>
    <x v="344"/>
    <x v="344"/>
    <x v="0"/>
    <x v="4"/>
  </r>
  <r>
    <x v="57"/>
    <x v="3"/>
    <x v="2"/>
    <x v="1"/>
    <x v="345"/>
    <x v="0"/>
    <n v="1212.6199999999999"/>
    <x v="345"/>
    <x v="345"/>
    <x v="2"/>
    <x v="2"/>
  </r>
  <r>
    <x v="41"/>
    <x v="5"/>
    <x v="0"/>
    <x v="0"/>
    <x v="346"/>
    <x v="1"/>
    <n v="845.63"/>
    <x v="346"/>
    <x v="346"/>
    <x v="2"/>
    <x v="2"/>
  </r>
  <r>
    <x v="43"/>
    <x v="7"/>
    <x v="1"/>
    <x v="0"/>
    <x v="347"/>
    <x v="1"/>
    <n v="790.31"/>
    <x v="347"/>
    <x v="347"/>
    <x v="4"/>
    <x v="0"/>
  </r>
  <r>
    <x v="13"/>
    <x v="6"/>
    <x v="2"/>
    <x v="0"/>
    <x v="348"/>
    <x v="0"/>
    <n v="429.47"/>
    <x v="348"/>
    <x v="348"/>
    <x v="1"/>
    <x v="3"/>
  </r>
  <r>
    <x v="35"/>
    <x v="10"/>
    <x v="0"/>
    <x v="1"/>
    <x v="349"/>
    <x v="1"/>
    <n v="508.22"/>
    <x v="349"/>
    <x v="349"/>
    <x v="1"/>
    <x v="3"/>
  </r>
  <r>
    <x v="11"/>
    <x v="2"/>
    <x v="1"/>
    <x v="0"/>
    <x v="350"/>
    <x v="0"/>
    <n v="963.56"/>
    <x v="350"/>
    <x v="350"/>
    <x v="4"/>
    <x v="1"/>
  </r>
  <r>
    <x v="53"/>
    <x v="1"/>
    <x v="2"/>
    <x v="0"/>
    <x v="351"/>
    <x v="1"/>
    <n v="1425.39"/>
    <x v="351"/>
    <x v="351"/>
    <x v="3"/>
    <x v="1"/>
  </r>
  <r>
    <x v="59"/>
    <x v="5"/>
    <x v="2"/>
    <x v="2"/>
    <x v="352"/>
    <x v="0"/>
    <n v="961.75"/>
    <x v="352"/>
    <x v="352"/>
    <x v="5"/>
    <x v="2"/>
  </r>
  <r>
    <x v="33"/>
    <x v="13"/>
    <x v="0"/>
    <x v="1"/>
    <x v="353"/>
    <x v="0"/>
    <n v="931.31"/>
    <x v="353"/>
    <x v="353"/>
    <x v="3"/>
    <x v="1"/>
  </r>
  <r>
    <x v="53"/>
    <x v="3"/>
    <x v="1"/>
    <x v="0"/>
    <x v="354"/>
    <x v="0"/>
    <n v="814.83"/>
    <x v="354"/>
    <x v="354"/>
    <x v="3"/>
    <x v="2"/>
  </r>
  <r>
    <x v="31"/>
    <x v="14"/>
    <x v="0"/>
    <x v="0"/>
    <x v="355"/>
    <x v="0"/>
    <n v="1457.21"/>
    <x v="355"/>
    <x v="355"/>
    <x v="0"/>
    <x v="3"/>
  </r>
  <r>
    <x v="38"/>
    <x v="7"/>
    <x v="2"/>
    <x v="0"/>
    <x v="356"/>
    <x v="0"/>
    <n v="621.27"/>
    <x v="356"/>
    <x v="356"/>
    <x v="5"/>
    <x v="0"/>
  </r>
  <r>
    <x v="48"/>
    <x v="13"/>
    <x v="2"/>
    <x v="0"/>
    <x v="357"/>
    <x v="0"/>
    <n v="908.17"/>
    <x v="357"/>
    <x v="357"/>
    <x v="2"/>
    <x v="1"/>
  </r>
  <r>
    <x v="3"/>
    <x v="4"/>
    <x v="0"/>
    <x v="0"/>
    <x v="358"/>
    <x v="0"/>
    <n v="2751.93"/>
    <x v="358"/>
    <x v="358"/>
    <x v="0"/>
    <x v="0"/>
  </r>
  <r>
    <x v="3"/>
    <x v="13"/>
    <x v="2"/>
    <x v="0"/>
    <x v="359"/>
    <x v="0"/>
    <n v="790.69"/>
    <x v="359"/>
    <x v="359"/>
    <x v="0"/>
    <x v="1"/>
  </r>
  <r>
    <x v="40"/>
    <x v="0"/>
    <x v="0"/>
    <x v="0"/>
    <x v="360"/>
    <x v="0"/>
    <n v="1033.03"/>
    <x v="360"/>
    <x v="360"/>
    <x v="4"/>
    <x v="0"/>
  </r>
  <r>
    <x v="16"/>
    <x v="5"/>
    <x v="0"/>
    <x v="0"/>
    <x v="361"/>
    <x v="0"/>
    <n v="922.79"/>
    <x v="361"/>
    <x v="361"/>
    <x v="4"/>
    <x v="2"/>
  </r>
  <r>
    <x v="29"/>
    <x v="11"/>
    <x v="0"/>
    <x v="0"/>
    <x v="362"/>
    <x v="1"/>
    <n v="458.23"/>
    <x v="362"/>
    <x v="362"/>
    <x v="3"/>
    <x v="4"/>
  </r>
  <r>
    <x v="6"/>
    <x v="3"/>
    <x v="0"/>
    <x v="0"/>
    <x v="363"/>
    <x v="0"/>
    <n v="262.63"/>
    <x v="363"/>
    <x v="363"/>
    <x v="2"/>
    <x v="2"/>
  </r>
  <r>
    <x v="59"/>
    <x v="0"/>
    <x v="1"/>
    <x v="1"/>
    <x v="364"/>
    <x v="0"/>
    <n v="1048.58"/>
    <x v="364"/>
    <x v="364"/>
    <x v="5"/>
    <x v="0"/>
  </r>
  <r>
    <x v="10"/>
    <x v="11"/>
    <x v="2"/>
    <x v="0"/>
    <x v="365"/>
    <x v="0"/>
    <n v="863.8"/>
    <x v="365"/>
    <x v="365"/>
    <x v="2"/>
    <x v="4"/>
  </r>
  <r>
    <x v="29"/>
    <x v="7"/>
    <x v="2"/>
    <x v="0"/>
    <x v="366"/>
    <x v="0"/>
    <n v="1365.4"/>
    <x v="366"/>
    <x v="366"/>
    <x v="3"/>
    <x v="0"/>
  </r>
  <r>
    <x v="20"/>
    <x v="4"/>
    <x v="0"/>
    <x v="1"/>
    <x v="367"/>
    <x v="0"/>
    <n v="1284.3"/>
    <x v="367"/>
    <x v="367"/>
    <x v="3"/>
    <x v="0"/>
  </r>
  <r>
    <x v="56"/>
    <x v="13"/>
    <x v="2"/>
    <x v="0"/>
    <x v="368"/>
    <x v="1"/>
    <n v="468.21"/>
    <x v="368"/>
    <x v="368"/>
    <x v="4"/>
    <x v="1"/>
  </r>
  <r>
    <x v="48"/>
    <x v="10"/>
    <x v="0"/>
    <x v="0"/>
    <x v="369"/>
    <x v="0"/>
    <n v="989.15"/>
    <x v="369"/>
    <x v="369"/>
    <x v="2"/>
    <x v="3"/>
  </r>
  <r>
    <x v="51"/>
    <x v="7"/>
    <x v="0"/>
    <x v="0"/>
    <x v="370"/>
    <x v="0"/>
    <n v="238.3"/>
    <x v="370"/>
    <x v="370"/>
    <x v="6"/>
    <x v="0"/>
  </r>
  <r>
    <x v="38"/>
    <x v="9"/>
    <x v="1"/>
    <x v="0"/>
    <x v="371"/>
    <x v="0"/>
    <n v="456.74"/>
    <x v="371"/>
    <x v="371"/>
    <x v="5"/>
    <x v="2"/>
  </r>
  <r>
    <x v="1"/>
    <x v="6"/>
    <x v="2"/>
    <x v="0"/>
    <x v="372"/>
    <x v="0"/>
    <n v="493"/>
    <x v="372"/>
    <x v="372"/>
    <x v="1"/>
    <x v="3"/>
  </r>
  <r>
    <x v="41"/>
    <x v="1"/>
    <x v="2"/>
    <x v="1"/>
    <x v="373"/>
    <x v="0"/>
    <n v="1525.57"/>
    <x v="373"/>
    <x v="373"/>
    <x v="2"/>
    <x v="1"/>
  </r>
  <r>
    <x v="60"/>
    <x v="2"/>
    <x v="0"/>
    <x v="1"/>
    <x v="374"/>
    <x v="0"/>
    <n v="509.21"/>
    <x v="374"/>
    <x v="374"/>
    <x v="4"/>
    <x v="1"/>
  </r>
  <r>
    <x v="27"/>
    <x v="7"/>
    <x v="0"/>
    <x v="1"/>
    <x v="375"/>
    <x v="0"/>
    <n v="3265.81"/>
    <x v="375"/>
    <x v="375"/>
    <x v="0"/>
    <x v="0"/>
  </r>
  <r>
    <x v="68"/>
    <x v="9"/>
    <x v="2"/>
    <x v="1"/>
    <x v="376"/>
    <x v="2"/>
    <n v="1222.43"/>
    <x v="376"/>
    <x v="376"/>
    <x v="2"/>
    <x v="2"/>
  </r>
  <r>
    <x v="48"/>
    <x v="3"/>
    <x v="0"/>
    <x v="1"/>
    <x v="377"/>
    <x v="0"/>
    <n v="688.29"/>
    <x v="377"/>
    <x v="377"/>
    <x v="2"/>
    <x v="2"/>
  </r>
  <r>
    <x v="49"/>
    <x v="13"/>
    <x v="0"/>
    <x v="0"/>
    <x v="378"/>
    <x v="0"/>
    <n v="523.41"/>
    <x v="378"/>
    <x v="378"/>
    <x v="2"/>
    <x v="1"/>
  </r>
  <r>
    <x v="58"/>
    <x v="8"/>
    <x v="1"/>
    <x v="2"/>
    <x v="379"/>
    <x v="0"/>
    <n v="1317.61"/>
    <x v="379"/>
    <x v="379"/>
    <x v="5"/>
    <x v="4"/>
  </r>
  <r>
    <x v="62"/>
    <x v="2"/>
    <x v="1"/>
    <x v="2"/>
    <x v="380"/>
    <x v="0"/>
    <n v="2838.13"/>
    <x v="380"/>
    <x v="380"/>
    <x v="1"/>
    <x v="1"/>
  </r>
  <r>
    <x v="13"/>
    <x v="7"/>
    <x v="2"/>
    <x v="0"/>
    <x v="381"/>
    <x v="0"/>
    <n v="1108.4000000000001"/>
    <x v="381"/>
    <x v="381"/>
    <x v="1"/>
    <x v="0"/>
  </r>
  <r>
    <x v="10"/>
    <x v="10"/>
    <x v="0"/>
    <x v="0"/>
    <x v="382"/>
    <x v="0"/>
    <n v="809.44"/>
    <x v="382"/>
    <x v="382"/>
    <x v="2"/>
    <x v="3"/>
  </r>
  <r>
    <x v="1"/>
    <x v="3"/>
    <x v="0"/>
    <x v="0"/>
    <x v="383"/>
    <x v="0"/>
    <n v="754.43"/>
    <x v="383"/>
    <x v="383"/>
    <x v="1"/>
    <x v="2"/>
  </r>
  <r>
    <x v="61"/>
    <x v="13"/>
    <x v="0"/>
    <x v="0"/>
    <x v="384"/>
    <x v="0"/>
    <n v="443.45"/>
    <x v="384"/>
    <x v="384"/>
    <x v="5"/>
    <x v="1"/>
  </r>
  <r>
    <x v="65"/>
    <x v="6"/>
    <x v="0"/>
    <x v="0"/>
    <x v="385"/>
    <x v="0"/>
    <n v="429.88"/>
    <x v="385"/>
    <x v="385"/>
    <x v="3"/>
    <x v="3"/>
  </r>
  <r>
    <x v="19"/>
    <x v="8"/>
    <x v="0"/>
    <x v="0"/>
    <x v="386"/>
    <x v="1"/>
    <n v="512.70000000000005"/>
    <x v="386"/>
    <x v="386"/>
    <x v="0"/>
    <x v="4"/>
  </r>
  <r>
    <x v="15"/>
    <x v="7"/>
    <x v="0"/>
    <x v="0"/>
    <x v="387"/>
    <x v="0"/>
    <n v="711.46"/>
    <x v="387"/>
    <x v="387"/>
    <x v="5"/>
    <x v="0"/>
  </r>
  <r>
    <x v="35"/>
    <x v="3"/>
    <x v="1"/>
    <x v="0"/>
    <x v="388"/>
    <x v="0"/>
    <n v="1309.3599999999999"/>
    <x v="388"/>
    <x v="388"/>
    <x v="1"/>
    <x v="2"/>
  </r>
  <r>
    <x v="68"/>
    <x v="15"/>
    <x v="0"/>
    <x v="0"/>
    <x v="389"/>
    <x v="0"/>
    <n v="623.55999999999995"/>
    <x v="389"/>
    <x v="389"/>
    <x v="2"/>
    <x v="0"/>
  </r>
  <r>
    <x v="4"/>
    <x v="6"/>
    <x v="1"/>
    <x v="1"/>
    <x v="390"/>
    <x v="1"/>
    <n v="963.84"/>
    <x v="390"/>
    <x v="390"/>
    <x v="2"/>
    <x v="3"/>
  </r>
  <r>
    <x v="69"/>
    <x v="9"/>
    <x v="0"/>
    <x v="0"/>
    <x v="391"/>
    <x v="0"/>
    <n v="301.23"/>
    <x v="391"/>
    <x v="391"/>
    <x v="6"/>
    <x v="2"/>
  </r>
  <r>
    <x v="70"/>
    <x v="3"/>
    <x v="2"/>
    <x v="1"/>
    <x v="392"/>
    <x v="0"/>
    <n v="597.61"/>
    <x v="392"/>
    <x v="392"/>
    <x v="5"/>
    <x v="2"/>
  </r>
  <r>
    <x v="59"/>
    <x v="14"/>
    <x v="2"/>
    <x v="0"/>
    <x v="393"/>
    <x v="0"/>
    <n v="550.13"/>
    <x v="393"/>
    <x v="393"/>
    <x v="5"/>
    <x v="3"/>
  </r>
  <r>
    <x v="52"/>
    <x v="15"/>
    <x v="1"/>
    <x v="1"/>
    <x v="394"/>
    <x v="0"/>
    <n v="2526.7600000000002"/>
    <x v="394"/>
    <x v="394"/>
    <x v="0"/>
    <x v="0"/>
  </r>
  <r>
    <x v="2"/>
    <x v="13"/>
    <x v="2"/>
    <x v="1"/>
    <x v="395"/>
    <x v="0"/>
    <n v="1921.49"/>
    <x v="395"/>
    <x v="395"/>
    <x v="0"/>
    <x v="1"/>
  </r>
  <r>
    <x v="0"/>
    <x v="14"/>
    <x v="0"/>
    <x v="0"/>
    <x v="396"/>
    <x v="0"/>
    <n v="572.89"/>
    <x v="396"/>
    <x v="396"/>
    <x v="0"/>
    <x v="3"/>
  </r>
  <r>
    <x v="10"/>
    <x v="0"/>
    <x v="2"/>
    <x v="0"/>
    <x v="397"/>
    <x v="0"/>
    <n v="1715.15"/>
    <x v="397"/>
    <x v="397"/>
    <x v="2"/>
    <x v="0"/>
  </r>
  <r>
    <x v="24"/>
    <x v="6"/>
    <x v="0"/>
    <x v="0"/>
    <x v="398"/>
    <x v="1"/>
    <n v="275.04000000000002"/>
    <x v="398"/>
    <x v="398"/>
    <x v="4"/>
    <x v="3"/>
  </r>
  <r>
    <x v="63"/>
    <x v="14"/>
    <x v="0"/>
    <x v="1"/>
    <x v="399"/>
    <x v="0"/>
    <n v="500.32"/>
    <x v="399"/>
    <x v="399"/>
    <x v="6"/>
    <x v="3"/>
  </r>
  <r>
    <x v="54"/>
    <x v="0"/>
    <x v="2"/>
    <x v="0"/>
    <x v="400"/>
    <x v="0"/>
    <n v="866.73"/>
    <x v="400"/>
    <x v="400"/>
    <x v="0"/>
    <x v="0"/>
  </r>
  <r>
    <x v="2"/>
    <x v="15"/>
    <x v="1"/>
    <x v="1"/>
    <x v="401"/>
    <x v="1"/>
    <n v="6202.92"/>
    <x v="401"/>
    <x v="401"/>
    <x v="0"/>
    <x v="0"/>
  </r>
  <r>
    <x v="5"/>
    <x v="6"/>
    <x v="1"/>
    <x v="0"/>
    <x v="402"/>
    <x v="0"/>
    <n v="1340.62"/>
    <x v="402"/>
    <x v="402"/>
    <x v="0"/>
    <x v="3"/>
  </r>
  <r>
    <x v="71"/>
    <x v="6"/>
    <x v="0"/>
    <x v="0"/>
    <x v="403"/>
    <x v="0"/>
    <n v="191.81"/>
    <x v="403"/>
    <x v="403"/>
    <x v="6"/>
    <x v="3"/>
  </r>
  <r>
    <x v="43"/>
    <x v="2"/>
    <x v="0"/>
    <x v="1"/>
    <x v="404"/>
    <x v="0"/>
    <n v="735.73"/>
    <x v="404"/>
    <x v="404"/>
    <x v="4"/>
    <x v="1"/>
  </r>
  <r>
    <x v="72"/>
    <x v="15"/>
    <x v="0"/>
    <x v="0"/>
    <x v="405"/>
    <x v="0"/>
    <n v="217.93"/>
    <x v="405"/>
    <x v="405"/>
    <x v="6"/>
    <x v="0"/>
  </r>
  <r>
    <x v="21"/>
    <x v="3"/>
    <x v="0"/>
    <x v="2"/>
    <x v="406"/>
    <x v="0"/>
    <n v="3212.7"/>
    <x v="406"/>
    <x v="406"/>
    <x v="3"/>
    <x v="2"/>
  </r>
  <r>
    <x v="18"/>
    <x v="6"/>
    <x v="1"/>
    <x v="0"/>
    <x v="407"/>
    <x v="2"/>
    <n v="1126.29"/>
    <x v="407"/>
    <x v="407"/>
    <x v="1"/>
    <x v="3"/>
  </r>
  <r>
    <x v="19"/>
    <x v="2"/>
    <x v="0"/>
    <x v="1"/>
    <x v="408"/>
    <x v="1"/>
    <n v="1224.1400000000001"/>
    <x v="408"/>
    <x v="408"/>
    <x v="0"/>
    <x v="1"/>
  </r>
  <r>
    <x v="46"/>
    <x v="1"/>
    <x v="1"/>
    <x v="0"/>
    <x v="409"/>
    <x v="0"/>
    <n v="1104.76"/>
    <x v="409"/>
    <x v="409"/>
    <x v="0"/>
    <x v="1"/>
  </r>
  <r>
    <x v="6"/>
    <x v="6"/>
    <x v="0"/>
    <x v="0"/>
    <x v="410"/>
    <x v="1"/>
    <n v="854.68"/>
    <x v="410"/>
    <x v="410"/>
    <x v="2"/>
    <x v="3"/>
  </r>
  <r>
    <x v="71"/>
    <x v="6"/>
    <x v="0"/>
    <x v="0"/>
    <x v="411"/>
    <x v="0"/>
    <n v="332.88"/>
    <x v="411"/>
    <x v="411"/>
    <x v="6"/>
    <x v="3"/>
  </r>
  <r>
    <x v="31"/>
    <x v="6"/>
    <x v="0"/>
    <x v="2"/>
    <x v="412"/>
    <x v="0"/>
    <n v="2845.72"/>
    <x v="412"/>
    <x v="412"/>
    <x v="0"/>
    <x v="3"/>
  </r>
  <r>
    <x v="23"/>
    <x v="8"/>
    <x v="2"/>
    <x v="0"/>
    <x v="413"/>
    <x v="0"/>
    <n v="490.77"/>
    <x v="413"/>
    <x v="413"/>
    <x v="2"/>
    <x v="4"/>
  </r>
  <r>
    <x v="41"/>
    <x v="3"/>
    <x v="2"/>
    <x v="1"/>
    <x v="414"/>
    <x v="0"/>
    <n v="966.72"/>
    <x v="414"/>
    <x v="414"/>
    <x v="2"/>
    <x v="2"/>
  </r>
  <r>
    <x v="28"/>
    <x v="8"/>
    <x v="0"/>
    <x v="0"/>
    <x v="415"/>
    <x v="1"/>
    <n v="823.42"/>
    <x v="415"/>
    <x v="415"/>
    <x v="0"/>
    <x v="4"/>
  </r>
  <r>
    <x v="29"/>
    <x v="10"/>
    <x v="0"/>
    <x v="1"/>
    <x v="416"/>
    <x v="0"/>
    <n v="1086.3399999999999"/>
    <x v="416"/>
    <x v="416"/>
    <x v="3"/>
    <x v="3"/>
  </r>
  <r>
    <x v="62"/>
    <x v="5"/>
    <x v="1"/>
    <x v="2"/>
    <x v="417"/>
    <x v="0"/>
    <n v="1332.79"/>
    <x v="417"/>
    <x v="417"/>
    <x v="1"/>
    <x v="2"/>
  </r>
  <r>
    <x v="39"/>
    <x v="5"/>
    <x v="2"/>
    <x v="1"/>
    <x v="418"/>
    <x v="0"/>
    <n v="908.45"/>
    <x v="418"/>
    <x v="418"/>
    <x v="0"/>
    <x v="2"/>
  </r>
  <r>
    <x v="35"/>
    <x v="2"/>
    <x v="0"/>
    <x v="1"/>
    <x v="419"/>
    <x v="1"/>
    <n v="377.59"/>
    <x v="419"/>
    <x v="419"/>
    <x v="1"/>
    <x v="1"/>
  </r>
  <r>
    <x v="58"/>
    <x v="8"/>
    <x v="2"/>
    <x v="0"/>
    <x v="420"/>
    <x v="0"/>
    <n v="169.52"/>
    <x v="420"/>
    <x v="420"/>
    <x v="5"/>
    <x v="4"/>
  </r>
  <r>
    <x v="43"/>
    <x v="3"/>
    <x v="0"/>
    <x v="0"/>
    <x v="421"/>
    <x v="0"/>
    <n v="326.16000000000003"/>
    <x v="421"/>
    <x v="421"/>
    <x v="4"/>
    <x v="2"/>
  </r>
  <r>
    <x v="33"/>
    <x v="8"/>
    <x v="1"/>
    <x v="1"/>
    <x v="422"/>
    <x v="0"/>
    <n v="1429.02"/>
    <x v="422"/>
    <x v="422"/>
    <x v="3"/>
    <x v="4"/>
  </r>
  <r>
    <x v="4"/>
    <x v="6"/>
    <x v="1"/>
    <x v="1"/>
    <x v="423"/>
    <x v="0"/>
    <n v="720"/>
    <x v="423"/>
    <x v="423"/>
    <x v="2"/>
    <x v="3"/>
  </r>
  <r>
    <x v="58"/>
    <x v="13"/>
    <x v="2"/>
    <x v="1"/>
    <x v="424"/>
    <x v="0"/>
    <n v="317.32"/>
    <x v="424"/>
    <x v="424"/>
    <x v="5"/>
    <x v="1"/>
  </r>
  <r>
    <x v="34"/>
    <x v="2"/>
    <x v="1"/>
    <x v="0"/>
    <x v="425"/>
    <x v="2"/>
    <n v="758.63"/>
    <x v="425"/>
    <x v="425"/>
    <x v="0"/>
    <x v="1"/>
  </r>
  <r>
    <x v="67"/>
    <x v="10"/>
    <x v="2"/>
    <x v="0"/>
    <x v="426"/>
    <x v="0"/>
    <n v="609.01"/>
    <x v="426"/>
    <x v="426"/>
    <x v="1"/>
    <x v="3"/>
  </r>
  <r>
    <x v="33"/>
    <x v="10"/>
    <x v="2"/>
    <x v="1"/>
    <x v="427"/>
    <x v="1"/>
    <n v="1228.19"/>
    <x v="427"/>
    <x v="427"/>
    <x v="3"/>
    <x v="3"/>
  </r>
  <r>
    <x v="46"/>
    <x v="2"/>
    <x v="0"/>
    <x v="0"/>
    <x v="428"/>
    <x v="0"/>
    <n v="1529.23"/>
    <x v="428"/>
    <x v="428"/>
    <x v="0"/>
    <x v="1"/>
  </r>
  <r>
    <x v="4"/>
    <x v="3"/>
    <x v="2"/>
    <x v="0"/>
    <x v="429"/>
    <x v="0"/>
    <n v="533.71"/>
    <x v="429"/>
    <x v="429"/>
    <x v="2"/>
    <x v="2"/>
  </r>
  <r>
    <x v="65"/>
    <x v="6"/>
    <x v="0"/>
    <x v="0"/>
    <x v="430"/>
    <x v="1"/>
    <n v="711.72"/>
    <x v="430"/>
    <x v="430"/>
    <x v="3"/>
    <x v="3"/>
  </r>
  <r>
    <x v="61"/>
    <x v="6"/>
    <x v="0"/>
    <x v="1"/>
    <x v="431"/>
    <x v="0"/>
    <n v="140.65"/>
    <x v="431"/>
    <x v="431"/>
    <x v="5"/>
    <x v="3"/>
  </r>
  <r>
    <x v="58"/>
    <x v="9"/>
    <x v="0"/>
    <x v="4"/>
    <x v="432"/>
    <x v="1"/>
    <n v="3168.3"/>
    <x v="432"/>
    <x v="432"/>
    <x v="5"/>
    <x v="2"/>
  </r>
  <r>
    <x v="34"/>
    <x v="7"/>
    <x v="1"/>
    <x v="0"/>
    <x v="433"/>
    <x v="0"/>
    <n v="1734.47"/>
    <x v="433"/>
    <x v="433"/>
    <x v="0"/>
    <x v="0"/>
  </r>
  <r>
    <x v="59"/>
    <x v="13"/>
    <x v="0"/>
    <x v="0"/>
    <x v="434"/>
    <x v="0"/>
    <n v="410.75"/>
    <x v="434"/>
    <x v="434"/>
    <x v="5"/>
    <x v="1"/>
  </r>
  <r>
    <x v="25"/>
    <x v="9"/>
    <x v="1"/>
    <x v="0"/>
    <x v="435"/>
    <x v="0"/>
    <n v="653.91999999999996"/>
    <x v="435"/>
    <x v="435"/>
    <x v="3"/>
    <x v="2"/>
  </r>
  <r>
    <x v="69"/>
    <x v="11"/>
    <x v="0"/>
    <x v="0"/>
    <x v="436"/>
    <x v="0"/>
    <n v="104.59"/>
    <x v="436"/>
    <x v="436"/>
    <x v="6"/>
    <x v="4"/>
  </r>
  <r>
    <x v="19"/>
    <x v="2"/>
    <x v="2"/>
    <x v="5"/>
    <x v="437"/>
    <x v="2"/>
    <n v="6304.42"/>
    <x v="437"/>
    <x v="437"/>
    <x v="0"/>
    <x v="1"/>
  </r>
  <r>
    <x v="60"/>
    <x v="1"/>
    <x v="0"/>
    <x v="0"/>
    <x v="438"/>
    <x v="1"/>
    <n v="284.33"/>
    <x v="438"/>
    <x v="438"/>
    <x v="4"/>
    <x v="1"/>
  </r>
  <r>
    <x v="27"/>
    <x v="14"/>
    <x v="0"/>
    <x v="0"/>
    <x v="439"/>
    <x v="0"/>
    <n v="1072.02"/>
    <x v="439"/>
    <x v="439"/>
    <x v="0"/>
    <x v="3"/>
  </r>
  <r>
    <x v="52"/>
    <x v="2"/>
    <x v="1"/>
    <x v="0"/>
    <x v="440"/>
    <x v="0"/>
    <n v="1557.41"/>
    <x v="440"/>
    <x v="440"/>
    <x v="0"/>
    <x v="1"/>
  </r>
  <r>
    <x v="55"/>
    <x v="6"/>
    <x v="2"/>
    <x v="1"/>
    <x v="441"/>
    <x v="0"/>
    <n v="353.42"/>
    <x v="441"/>
    <x v="441"/>
    <x v="6"/>
    <x v="3"/>
  </r>
  <r>
    <x v="49"/>
    <x v="12"/>
    <x v="0"/>
    <x v="0"/>
    <x v="442"/>
    <x v="0"/>
    <n v="364.33"/>
    <x v="442"/>
    <x v="442"/>
    <x v="2"/>
    <x v="4"/>
  </r>
  <r>
    <x v="21"/>
    <x v="13"/>
    <x v="0"/>
    <x v="0"/>
    <x v="443"/>
    <x v="0"/>
    <n v="626.74"/>
    <x v="443"/>
    <x v="443"/>
    <x v="3"/>
    <x v="1"/>
  </r>
  <r>
    <x v="20"/>
    <x v="15"/>
    <x v="0"/>
    <x v="0"/>
    <x v="444"/>
    <x v="1"/>
    <n v="879.23"/>
    <x v="444"/>
    <x v="444"/>
    <x v="3"/>
    <x v="0"/>
  </r>
  <r>
    <x v="40"/>
    <x v="6"/>
    <x v="1"/>
    <x v="0"/>
    <x v="445"/>
    <x v="0"/>
    <n v="512.21"/>
    <x v="445"/>
    <x v="445"/>
    <x v="4"/>
    <x v="3"/>
  </r>
  <r>
    <x v="62"/>
    <x v="7"/>
    <x v="0"/>
    <x v="2"/>
    <x v="446"/>
    <x v="1"/>
    <n v="1588.74"/>
    <x v="446"/>
    <x v="446"/>
    <x v="1"/>
    <x v="0"/>
  </r>
  <r>
    <x v="35"/>
    <x v="8"/>
    <x v="0"/>
    <x v="1"/>
    <x v="447"/>
    <x v="0"/>
    <n v="580.49"/>
    <x v="447"/>
    <x v="447"/>
    <x v="1"/>
    <x v="4"/>
  </r>
  <r>
    <x v="24"/>
    <x v="11"/>
    <x v="1"/>
    <x v="1"/>
    <x v="448"/>
    <x v="0"/>
    <n v="599.16999999999996"/>
    <x v="448"/>
    <x v="448"/>
    <x v="4"/>
    <x v="4"/>
  </r>
  <r>
    <x v="9"/>
    <x v="5"/>
    <x v="1"/>
    <x v="0"/>
    <x v="449"/>
    <x v="0"/>
    <n v="557.63"/>
    <x v="449"/>
    <x v="449"/>
    <x v="3"/>
    <x v="2"/>
  </r>
  <r>
    <x v="56"/>
    <x v="7"/>
    <x v="1"/>
    <x v="0"/>
    <x v="450"/>
    <x v="0"/>
    <n v="609.32000000000005"/>
    <x v="450"/>
    <x v="450"/>
    <x v="4"/>
    <x v="0"/>
  </r>
  <r>
    <x v="9"/>
    <x v="10"/>
    <x v="2"/>
    <x v="0"/>
    <x v="451"/>
    <x v="0"/>
    <n v="897.86"/>
    <x v="451"/>
    <x v="451"/>
    <x v="3"/>
    <x v="3"/>
  </r>
  <r>
    <x v="10"/>
    <x v="12"/>
    <x v="0"/>
    <x v="0"/>
    <x v="452"/>
    <x v="0"/>
    <n v="355.94"/>
    <x v="452"/>
    <x v="452"/>
    <x v="2"/>
    <x v="4"/>
  </r>
  <r>
    <x v="69"/>
    <x v="0"/>
    <x v="0"/>
    <x v="0"/>
    <x v="453"/>
    <x v="0"/>
    <n v="499.61"/>
    <x v="453"/>
    <x v="453"/>
    <x v="6"/>
    <x v="0"/>
  </r>
  <r>
    <x v="22"/>
    <x v="3"/>
    <x v="1"/>
    <x v="1"/>
    <x v="454"/>
    <x v="0"/>
    <n v="791.36"/>
    <x v="454"/>
    <x v="454"/>
    <x v="1"/>
    <x v="2"/>
  </r>
  <r>
    <x v="70"/>
    <x v="7"/>
    <x v="0"/>
    <x v="1"/>
    <x v="455"/>
    <x v="0"/>
    <n v="577.86"/>
    <x v="455"/>
    <x v="455"/>
    <x v="5"/>
    <x v="0"/>
  </r>
  <r>
    <x v="24"/>
    <x v="0"/>
    <x v="0"/>
    <x v="0"/>
    <x v="456"/>
    <x v="0"/>
    <n v="766.99"/>
    <x v="456"/>
    <x v="456"/>
    <x v="4"/>
    <x v="0"/>
  </r>
  <r>
    <x v="26"/>
    <x v="12"/>
    <x v="2"/>
    <x v="1"/>
    <x v="457"/>
    <x v="0"/>
    <n v="739.12"/>
    <x v="457"/>
    <x v="457"/>
    <x v="1"/>
    <x v="4"/>
  </r>
  <r>
    <x v="46"/>
    <x v="1"/>
    <x v="2"/>
    <x v="1"/>
    <x v="458"/>
    <x v="0"/>
    <n v="2552.6999999999998"/>
    <x v="458"/>
    <x v="458"/>
    <x v="0"/>
    <x v="1"/>
  </r>
  <r>
    <x v="54"/>
    <x v="12"/>
    <x v="0"/>
    <x v="0"/>
    <x v="459"/>
    <x v="0"/>
    <n v="603.82000000000005"/>
    <x v="459"/>
    <x v="459"/>
    <x v="0"/>
    <x v="4"/>
  </r>
  <r>
    <x v="2"/>
    <x v="12"/>
    <x v="2"/>
    <x v="1"/>
    <x v="460"/>
    <x v="1"/>
    <n v="1080.04"/>
    <x v="460"/>
    <x v="460"/>
    <x v="0"/>
    <x v="4"/>
  </r>
  <r>
    <x v="51"/>
    <x v="6"/>
    <x v="1"/>
    <x v="1"/>
    <x v="461"/>
    <x v="1"/>
    <n v="812.6"/>
    <x v="461"/>
    <x v="461"/>
    <x v="6"/>
    <x v="3"/>
  </r>
  <r>
    <x v="39"/>
    <x v="4"/>
    <x v="0"/>
    <x v="0"/>
    <x v="462"/>
    <x v="0"/>
    <n v="555.38"/>
    <x v="462"/>
    <x v="462"/>
    <x v="0"/>
    <x v="0"/>
  </r>
  <r>
    <x v="12"/>
    <x v="9"/>
    <x v="0"/>
    <x v="0"/>
    <x v="463"/>
    <x v="0"/>
    <n v="777.61"/>
    <x v="463"/>
    <x v="463"/>
    <x v="4"/>
    <x v="2"/>
  </r>
  <r>
    <x v="31"/>
    <x v="10"/>
    <x v="0"/>
    <x v="1"/>
    <x v="464"/>
    <x v="0"/>
    <n v="1987.44"/>
    <x v="464"/>
    <x v="464"/>
    <x v="0"/>
    <x v="3"/>
  </r>
  <r>
    <x v="22"/>
    <x v="7"/>
    <x v="2"/>
    <x v="0"/>
    <x v="465"/>
    <x v="2"/>
    <n v="561.42999999999995"/>
    <x v="465"/>
    <x v="465"/>
    <x v="1"/>
    <x v="0"/>
  </r>
  <r>
    <x v="44"/>
    <x v="14"/>
    <x v="0"/>
    <x v="1"/>
    <x v="466"/>
    <x v="0"/>
    <n v="383.49"/>
    <x v="466"/>
    <x v="466"/>
    <x v="6"/>
    <x v="3"/>
  </r>
  <r>
    <x v="36"/>
    <x v="1"/>
    <x v="0"/>
    <x v="0"/>
    <x v="467"/>
    <x v="0"/>
    <n v="1020.09"/>
    <x v="467"/>
    <x v="467"/>
    <x v="1"/>
    <x v="1"/>
  </r>
  <r>
    <x v="3"/>
    <x v="12"/>
    <x v="1"/>
    <x v="0"/>
    <x v="468"/>
    <x v="0"/>
    <n v="2808.23"/>
    <x v="468"/>
    <x v="468"/>
    <x v="0"/>
    <x v="4"/>
  </r>
  <r>
    <x v="27"/>
    <x v="10"/>
    <x v="2"/>
    <x v="0"/>
    <x v="469"/>
    <x v="0"/>
    <n v="1302.43"/>
    <x v="469"/>
    <x v="469"/>
    <x v="0"/>
    <x v="3"/>
  </r>
  <r>
    <x v="33"/>
    <x v="1"/>
    <x v="2"/>
    <x v="0"/>
    <x v="470"/>
    <x v="0"/>
    <n v="2467.2600000000002"/>
    <x v="470"/>
    <x v="470"/>
    <x v="3"/>
    <x v="1"/>
  </r>
  <r>
    <x v="30"/>
    <x v="6"/>
    <x v="2"/>
    <x v="1"/>
    <x v="471"/>
    <x v="1"/>
    <n v="1010.51"/>
    <x v="471"/>
    <x v="471"/>
    <x v="2"/>
    <x v="3"/>
  </r>
  <r>
    <x v="40"/>
    <x v="12"/>
    <x v="0"/>
    <x v="0"/>
    <x v="472"/>
    <x v="0"/>
    <n v="520.65"/>
    <x v="472"/>
    <x v="472"/>
    <x v="4"/>
    <x v="4"/>
  </r>
  <r>
    <x v="25"/>
    <x v="2"/>
    <x v="0"/>
    <x v="0"/>
    <x v="473"/>
    <x v="0"/>
    <n v="532.12"/>
    <x v="473"/>
    <x v="473"/>
    <x v="3"/>
    <x v="1"/>
  </r>
  <r>
    <x v="22"/>
    <x v="0"/>
    <x v="1"/>
    <x v="0"/>
    <x v="474"/>
    <x v="0"/>
    <n v="757.07"/>
    <x v="474"/>
    <x v="474"/>
    <x v="1"/>
    <x v="0"/>
  </r>
  <r>
    <x v="28"/>
    <x v="4"/>
    <x v="0"/>
    <x v="0"/>
    <x v="475"/>
    <x v="0"/>
    <n v="948.24"/>
    <x v="475"/>
    <x v="475"/>
    <x v="0"/>
    <x v="0"/>
  </r>
  <r>
    <x v="40"/>
    <x v="5"/>
    <x v="2"/>
    <x v="0"/>
    <x v="476"/>
    <x v="1"/>
    <n v="442.69"/>
    <x v="476"/>
    <x v="476"/>
    <x v="4"/>
    <x v="2"/>
  </r>
  <r>
    <x v="0"/>
    <x v="15"/>
    <x v="2"/>
    <x v="1"/>
    <x v="477"/>
    <x v="0"/>
    <n v="877.91"/>
    <x v="477"/>
    <x v="477"/>
    <x v="0"/>
    <x v="0"/>
  </r>
  <r>
    <x v="35"/>
    <x v="1"/>
    <x v="1"/>
    <x v="0"/>
    <x v="478"/>
    <x v="0"/>
    <n v="968.11"/>
    <x v="478"/>
    <x v="478"/>
    <x v="1"/>
    <x v="1"/>
  </r>
  <r>
    <x v="57"/>
    <x v="1"/>
    <x v="0"/>
    <x v="0"/>
    <x v="479"/>
    <x v="0"/>
    <n v="592.98"/>
    <x v="479"/>
    <x v="479"/>
    <x v="2"/>
    <x v="1"/>
  </r>
  <r>
    <x v="14"/>
    <x v="10"/>
    <x v="1"/>
    <x v="0"/>
    <x v="480"/>
    <x v="0"/>
    <n v="469.33"/>
    <x v="480"/>
    <x v="480"/>
    <x v="5"/>
    <x v="3"/>
  </r>
  <r>
    <x v="20"/>
    <x v="7"/>
    <x v="0"/>
    <x v="1"/>
    <x v="481"/>
    <x v="1"/>
    <n v="1859.04"/>
    <x v="481"/>
    <x v="481"/>
    <x v="3"/>
    <x v="0"/>
  </r>
  <r>
    <x v="51"/>
    <x v="10"/>
    <x v="0"/>
    <x v="0"/>
    <x v="482"/>
    <x v="0"/>
    <n v="737.69"/>
    <x v="482"/>
    <x v="482"/>
    <x v="6"/>
    <x v="3"/>
  </r>
  <r>
    <x v="68"/>
    <x v="3"/>
    <x v="0"/>
    <x v="0"/>
    <x v="483"/>
    <x v="0"/>
    <n v="518.41"/>
    <x v="483"/>
    <x v="483"/>
    <x v="2"/>
    <x v="2"/>
  </r>
  <r>
    <x v="33"/>
    <x v="3"/>
    <x v="1"/>
    <x v="0"/>
    <x v="484"/>
    <x v="1"/>
    <n v="796.89"/>
    <x v="484"/>
    <x v="484"/>
    <x v="3"/>
    <x v="2"/>
  </r>
  <r>
    <x v="6"/>
    <x v="3"/>
    <x v="2"/>
    <x v="0"/>
    <x v="485"/>
    <x v="0"/>
    <n v="913.25"/>
    <x v="485"/>
    <x v="485"/>
    <x v="2"/>
    <x v="2"/>
  </r>
  <r>
    <x v="0"/>
    <x v="13"/>
    <x v="0"/>
    <x v="0"/>
    <x v="486"/>
    <x v="0"/>
    <n v="834.82"/>
    <x v="486"/>
    <x v="486"/>
    <x v="0"/>
    <x v="1"/>
  </r>
  <r>
    <x v="46"/>
    <x v="15"/>
    <x v="1"/>
    <x v="0"/>
    <x v="487"/>
    <x v="0"/>
    <n v="2301.62"/>
    <x v="487"/>
    <x v="487"/>
    <x v="0"/>
    <x v="0"/>
  </r>
  <r>
    <x v="19"/>
    <x v="7"/>
    <x v="1"/>
    <x v="2"/>
    <x v="488"/>
    <x v="1"/>
    <n v="3873.18"/>
    <x v="488"/>
    <x v="488"/>
    <x v="0"/>
    <x v="0"/>
  </r>
  <r>
    <x v="27"/>
    <x v="14"/>
    <x v="1"/>
    <x v="1"/>
    <x v="489"/>
    <x v="0"/>
    <n v="1740.9"/>
    <x v="489"/>
    <x v="489"/>
    <x v="0"/>
    <x v="3"/>
  </r>
  <r>
    <x v="62"/>
    <x v="8"/>
    <x v="0"/>
    <x v="0"/>
    <x v="490"/>
    <x v="0"/>
    <n v="487.55"/>
    <x v="490"/>
    <x v="490"/>
    <x v="1"/>
    <x v="4"/>
  </r>
  <r>
    <x v="33"/>
    <x v="6"/>
    <x v="1"/>
    <x v="1"/>
    <x v="491"/>
    <x v="0"/>
    <n v="1493.31"/>
    <x v="491"/>
    <x v="491"/>
    <x v="3"/>
    <x v="3"/>
  </r>
  <r>
    <x v="1"/>
    <x v="1"/>
    <x v="0"/>
    <x v="0"/>
    <x v="492"/>
    <x v="0"/>
    <n v="507.56"/>
    <x v="492"/>
    <x v="492"/>
    <x v="1"/>
    <x v="1"/>
  </r>
  <r>
    <x v="29"/>
    <x v="6"/>
    <x v="0"/>
    <x v="1"/>
    <x v="493"/>
    <x v="0"/>
    <n v="839.48"/>
    <x v="493"/>
    <x v="493"/>
    <x v="3"/>
    <x v="3"/>
  </r>
  <r>
    <x v="8"/>
    <x v="4"/>
    <x v="2"/>
    <x v="0"/>
    <x v="494"/>
    <x v="0"/>
    <n v="2172.85"/>
    <x v="494"/>
    <x v="494"/>
    <x v="0"/>
    <x v="0"/>
  </r>
  <r>
    <x v="46"/>
    <x v="1"/>
    <x v="0"/>
    <x v="0"/>
    <x v="495"/>
    <x v="0"/>
    <n v="1936.32"/>
    <x v="495"/>
    <x v="495"/>
    <x v="0"/>
    <x v="1"/>
  </r>
  <r>
    <x v="46"/>
    <x v="9"/>
    <x v="0"/>
    <x v="0"/>
    <x v="496"/>
    <x v="2"/>
    <n v="1395.29"/>
    <x v="496"/>
    <x v="496"/>
    <x v="0"/>
    <x v="2"/>
  </r>
  <r>
    <x v="54"/>
    <x v="8"/>
    <x v="2"/>
    <x v="0"/>
    <x v="497"/>
    <x v="1"/>
    <n v="942.76"/>
    <x v="497"/>
    <x v="497"/>
    <x v="0"/>
    <x v="4"/>
  </r>
  <r>
    <x v="13"/>
    <x v="1"/>
    <x v="0"/>
    <x v="1"/>
    <x v="498"/>
    <x v="2"/>
    <n v="2123.9899999999998"/>
    <x v="498"/>
    <x v="498"/>
    <x v="1"/>
    <x v="1"/>
  </r>
  <r>
    <x v="53"/>
    <x v="14"/>
    <x v="0"/>
    <x v="3"/>
    <x v="499"/>
    <x v="1"/>
    <n v="2764.03"/>
    <x v="499"/>
    <x v="499"/>
    <x v="3"/>
    <x v="3"/>
  </r>
  <r>
    <x v="11"/>
    <x v="1"/>
    <x v="1"/>
    <x v="0"/>
    <x v="500"/>
    <x v="0"/>
    <n v="794.97"/>
    <x v="500"/>
    <x v="500"/>
    <x v="4"/>
    <x v="1"/>
  </r>
  <r>
    <x v="70"/>
    <x v="10"/>
    <x v="2"/>
    <x v="3"/>
    <x v="501"/>
    <x v="0"/>
    <n v="2190.92"/>
    <x v="501"/>
    <x v="501"/>
    <x v="5"/>
    <x v="3"/>
  </r>
  <r>
    <x v="9"/>
    <x v="1"/>
    <x v="0"/>
    <x v="0"/>
    <x v="502"/>
    <x v="0"/>
    <n v="864.63"/>
    <x v="502"/>
    <x v="502"/>
    <x v="3"/>
    <x v="1"/>
  </r>
  <r>
    <x v="3"/>
    <x v="2"/>
    <x v="1"/>
    <x v="0"/>
    <x v="503"/>
    <x v="0"/>
    <n v="1460.78"/>
    <x v="503"/>
    <x v="503"/>
    <x v="0"/>
    <x v="1"/>
  </r>
  <r>
    <x v="42"/>
    <x v="4"/>
    <x v="1"/>
    <x v="0"/>
    <x v="504"/>
    <x v="0"/>
    <n v="1506.83"/>
    <x v="504"/>
    <x v="504"/>
    <x v="3"/>
    <x v="0"/>
  </r>
  <r>
    <x v="30"/>
    <x v="7"/>
    <x v="0"/>
    <x v="0"/>
    <x v="505"/>
    <x v="1"/>
    <n v="525.84"/>
    <x v="505"/>
    <x v="505"/>
    <x v="2"/>
    <x v="0"/>
  </r>
  <r>
    <x v="68"/>
    <x v="10"/>
    <x v="2"/>
    <x v="0"/>
    <x v="506"/>
    <x v="0"/>
    <n v="1247.75"/>
    <x v="506"/>
    <x v="506"/>
    <x v="2"/>
    <x v="3"/>
  </r>
  <r>
    <x v="5"/>
    <x v="2"/>
    <x v="0"/>
    <x v="0"/>
    <x v="507"/>
    <x v="0"/>
    <n v="2925.64"/>
    <x v="507"/>
    <x v="507"/>
    <x v="0"/>
    <x v="1"/>
  </r>
  <r>
    <x v="34"/>
    <x v="7"/>
    <x v="2"/>
    <x v="1"/>
    <x v="508"/>
    <x v="0"/>
    <n v="2188.5500000000002"/>
    <x v="508"/>
    <x v="508"/>
    <x v="0"/>
    <x v="0"/>
  </r>
  <r>
    <x v="21"/>
    <x v="9"/>
    <x v="0"/>
    <x v="0"/>
    <x v="509"/>
    <x v="0"/>
    <n v="948.62"/>
    <x v="509"/>
    <x v="509"/>
    <x v="3"/>
    <x v="2"/>
  </r>
  <r>
    <x v="55"/>
    <x v="2"/>
    <x v="0"/>
    <x v="0"/>
    <x v="510"/>
    <x v="0"/>
    <n v="371.48"/>
    <x v="510"/>
    <x v="510"/>
    <x v="6"/>
    <x v="1"/>
  </r>
  <r>
    <x v="45"/>
    <x v="6"/>
    <x v="0"/>
    <x v="0"/>
    <x v="511"/>
    <x v="1"/>
    <n v="631.62"/>
    <x v="511"/>
    <x v="511"/>
    <x v="1"/>
    <x v="3"/>
  </r>
  <r>
    <x v="38"/>
    <x v="2"/>
    <x v="2"/>
    <x v="0"/>
    <x v="512"/>
    <x v="0"/>
    <n v="542.41999999999996"/>
    <x v="512"/>
    <x v="512"/>
    <x v="5"/>
    <x v="1"/>
  </r>
  <r>
    <x v="46"/>
    <x v="6"/>
    <x v="2"/>
    <x v="0"/>
    <x v="513"/>
    <x v="1"/>
    <n v="570.71"/>
    <x v="513"/>
    <x v="513"/>
    <x v="0"/>
    <x v="3"/>
  </r>
  <r>
    <x v="13"/>
    <x v="13"/>
    <x v="2"/>
    <x v="2"/>
    <x v="514"/>
    <x v="0"/>
    <n v="963.19"/>
    <x v="514"/>
    <x v="514"/>
    <x v="1"/>
    <x v="1"/>
  </r>
  <r>
    <x v="24"/>
    <x v="7"/>
    <x v="0"/>
    <x v="0"/>
    <x v="515"/>
    <x v="0"/>
    <n v="1141.77"/>
    <x v="515"/>
    <x v="515"/>
    <x v="4"/>
    <x v="0"/>
  </r>
  <r>
    <x v="25"/>
    <x v="7"/>
    <x v="2"/>
    <x v="2"/>
    <x v="516"/>
    <x v="0"/>
    <n v="2782.64"/>
    <x v="516"/>
    <x v="516"/>
    <x v="3"/>
    <x v="0"/>
  </r>
  <r>
    <x v="60"/>
    <x v="6"/>
    <x v="1"/>
    <x v="0"/>
    <x v="517"/>
    <x v="0"/>
    <n v="808.1"/>
    <x v="517"/>
    <x v="517"/>
    <x v="4"/>
    <x v="3"/>
  </r>
  <r>
    <x v="4"/>
    <x v="7"/>
    <x v="2"/>
    <x v="1"/>
    <x v="518"/>
    <x v="1"/>
    <n v="1965.33"/>
    <x v="518"/>
    <x v="518"/>
    <x v="2"/>
    <x v="0"/>
  </r>
  <r>
    <x v="43"/>
    <x v="6"/>
    <x v="1"/>
    <x v="1"/>
    <x v="519"/>
    <x v="1"/>
    <n v="971.65"/>
    <x v="519"/>
    <x v="519"/>
    <x v="4"/>
    <x v="3"/>
  </r>
  <r>
    <x v="23"/>
    <x v="9"/>
    <x v="1"/>
    <x v="0"/>
    <x v="520"/>
    <x v="0"/>
    <n v="1313.57"/>
    <x v="520"/>
    <x v="520"/>
    <x v="2"/>
    <x v="2"/>
  </r>
  <r>
    <x v="52"/>
    <x v="4"/>
    <x v="1"/>
    <x v="1"/>
    <x v="521"/>
    <x v="3"/>
    <n v="1381.99"/>
    <x v="521"/>
    <x v="521"/>
    <x v="0"/>
    <x v="0"/>
  </r>
  <r>
    <x v="35"/>
    <x v="5"/>
    <x v="2"/>
    <x v="0"/>
    <x v="522"/>
    <x v="0"/>
    <n v="891.77"/>
    <x v="522"/>
    <x v="522"/>
    <x v="1"/>
    <x v="2"/>
  </r>
  <r>
    <x v="65"/>
    <x v="8"/>
    <x v="2"/>
    <x v="0"/>
    <x v="523"/>
    <x v="0"/>
    <n v="536.95000000000005"/>
    <x v="523"/>
    <x v="523"/>
    <x v="3"/>
    <x v="4"/>
  </r>
  <r>
    <x v="43"/>
    <x v="12"/>
    <x v="0"/>
    <x v="0"/>
    <x v="524"/>
    <x v="0"/>
    <n v="466.77"/>
    <x v="524"/>
    <x v="524"/>
    <x v="4"/>
    <x v="4"/>
  </r>
  <r>
    <x v="0"/>
    <x v="11"/>
    <x v="1"/>
    <x v="2"/>
    <x v="525"/>
    <x v="1"/>
    <n v="2013.93"/>
    <x v="525"/>
    <x v="525"/>
    <x v="0"/>
    <x v="4"/>
  </r>
  <r>
    <x v="36"/>
    <x v="9"/>
    <x v="1"/>
    <x v="0"/>
    <x v="526"/>
    <x v="0"/>
    <n v="492.35"/>
    <x v="526"/>
    <x v="526"/>
    <x v="1"/>
    <x v="2"/>
  </r>
  <r>
    <x v="66"/>
    <x v="12"/>
    <x v="0"/>
    <x v="0"/>
    <x v="527"/>
    <x v="0"/>
    <n v="468.3"/>
    <x v="527"/>
    <x v="527"/>
    <x v="5"/>
    <x v="4"/>
  </r>
  <r>
    <x v="7"/>
    <x v="13"/>
    <x v="1"/>
    <x v="1"/>
    <x v="528"/>
    <x v="0"/>
    <n v="3321.29"/>
    <x v="528"/>
    <x v="528"/>
    <x v="0"/>
    <x v="1"/>
  </r>
  <r>
    <x v="0"/>
    <x v="15"/>
    <x v="0"/>
    <x v="1"/>
    <x v="529"/>
    <x v="0"/>
    <n v="2482.15"/>
    <x v="529"/>
    <x v="529"/>
    <x v="0"/>
    <x v="0"/>
  </r>
  <r>
    <x v="37"/>
    <x v="7"/>
    <x v="0"/>
    <x v="0"/>
    <x v="530"/>
    <x v="0"/>
    <n v="927.48"/>
    <x v="530"/>
    <x v="530"/>
    <x v="4"/>
    <x v="0"/>
  </r>
  <r>
    <x v="20"/>
    <x v="3"/>
    <x v="1"/>
    <x v="0"/>
    <x v="531"/>
    <x v="0"/>
    <n v="820.31"/>
    <x v="531"/>
    <x v="531"/>
    <x v="3"/>
    <x v="2"/>
  </r>
  <r>
    <x v="36"/>
    <x v="2"/>
    <x v="0"/>
    <x v="0"/>
    <x v="532"/>
    <x v="2"/>
    <n v="547.72"/>
    <x v="532"/>
    <x v="532"/>
    <x v="1"/>
    <x v="1"/>
  </r>
  <r>
    <x v="9"/>
    <x v="12"/>
    <x v="0"/>
    <x v="0"/>
    <x v="533"/>
    <x v="1"/>
    <n v="709.2"/>
    <x v="533"/>
    <x v="533"/>
    <x v="3"/>
    <x v="4"/>
  </r>
  <r>
    <x v="19"/>
    <x v="5"/>
    <x v="2"/>
    <x v="0"/>
    <x v="534"/>
    <x v="0"/>
    <n v="1837.16"/>
    <x v="534"/>
    <x v="534"/>
    <x v="0"/>
    <x v="2"/>
  </r>
  <r>
    <x v="45"/>
    <x v="1"/>
    <x v="2"/>
    <x v="0"/>
    <x v="535"/>
    <x v="1"/>
    <n v="598.17999999999995"/>
    <x v="535"/>
    <x v="535"/>
    <x v="1"/>
    <x v="1"/>
  </r>
  <r>
    <x v="9"/>
    <x v="6"/>
    <x v="0"/>
    <x v="1"/>
    <x v="536"/>
    <x v="0"/>
    <n v="1103.9100000000001"/>
    <x v="536"/>
    <x v="536"/>
    <x v="3"/>
    <x v="3"/>
  </r>
  <r>
    <x v="68"/>
    <x v="14"/>
    <x v="0"/>
    <x v="0"/>
    <x v="537"/>
    <x v="0"/>
    <n v="922.83"/>
    <x v="537"/>
    <x v="537"/>
    <x v="2"/>
    <x v="3"/>
  </r>
  <r>
    <x v="33"/>
    <x v="6"/>
    <x v="2"/>
    <x v="0"/>
    <x v="538"/>
    <x v="0"/>
    <n v="1392.99"/>
    <x v="538"/>
    <x v="538"/>
    <x v="3"/>
    <x v="3"/>
  </r>
  <r>
    <x v="19"/>
    <x v="4"/>
    <x v="1"/>
    <x v="0"/>
    <x v="539"/>
    <x v="0"/>
    <n v="1582.89"/>
    <x v="539"/>
    <x v="539"/>
    <x v="0"/>
    <x v="0"/>
  </r>
  <r>
    <x v="72"/>
    <x v="15"/>
    <x v="0"/>
    <x v="0"/>
    <x v="540"/>
    <x v="0"/>
    <n v="450.62"/>
    <x v="540"/>
    <x v="540"/>
    <x v="6"/>
    <x v="0"/>
  </r>
  <r>
    <x v="23"/>
    <x v="11"/>
    <x v="2"/>
    <x v="2"/>
    <x v="541"/>
    <x v="0"/>
    <n v="1145.03"/>
    <x v="541"/>
    <x v="541"/>
    <x v="2"/>
    <x v="4"/>
  </r>
  <r>
    <x v="22"/>
    <x v="2"/>
    <x v="2"/>
    <x v="0"/>
    <x v="542"/>
    <x v="0"/>
    <n v="616.16999999999996"/>
    <x v="542"/>
    <x v="542"/>
    <x v="1"/>
    <x v="1"/>
  </r>
  <r>
    <x v="4"/>
    <x v="6"/>
    <x v="2"/>
    <x v="2"/>
    <x v="543"/>
    <x v="1"/>
    <n v="1990.37"/>
    <x v="543"/>
    <x v="543"/>
    <x v="2"/>
    <x v="3"/>
  </r>
  <r>
    <x v="23"/>
    <x v="13"/>
    <x v="1"/>
    <x v="2"/>
    <x v="544"/>
    <x v="0"/>
    <n v="1665.93"/>
    <x v="544"/>
    <x v="544"/>
    <x v="2"/>
    <x v="1"/>
  </r>
  <r>
    <x v="50"/>
    <x v="15"/>
    <x v="0"/>
    <x v="0"/>
    <x v="545"/>
    <x v="0"/>
    <n v="276.7"/>
    <x v="545"/>
    <x v="545"/>
    <x v="4"/>
    <x v="0"/>
  </r>
  <r>
    <x v="53"/>
    <x v="8"/>
    <x v="0"/>
    <x v="0"/>
    <x v="546"/>
    <x v="0"/>
    <n v="376.9"/>
    <x v="546"/>
    <x v="546"/>
    <x v="3"/>
    <x v="4"/>
  </r>
  <r>
    <x v="30"/>
    <x v="4"/>
    <x v="1"/>
    <x v="1"/>
    <x v="547"/>
    <x v="0"/>
    <n v="1662.37"/>
    <x v="547"/>
    <x v="547"/>
    <x v="2"/>
    <x v="0"/>
  </r>
  <r>
    <x v="13"/>
    <x v="12"/>
    <x v="1"/>
    <x v="1"/>
    <x v="548"/>
    <x v="0"/>
    <n v="649.99"/>
    <x v="548"/>
    <x v="548"/>
    <x v="1"/>
    <x v="4"/>
  </r>
  <r>
    <x v="9"/>
    <x v="14"/>
    <x v="2"/>
    <x v="0"/>
    <x v="549"/>
    <x v="1"/>
    <n v="439.15"/>
    <x v="549"/>
    <x v="549"/>
    <x v="3"/>
    <x v="3"/>
  </r>
  <r>
    <x v="16"/>
    <x v="15"/>
    <x v="0"/>
    <x v="0"/>
    <x v="550"/>
    <x v="0"/>
    <n v="487.65"/>
    <x v="550"/>
    <x v="550"/>
    <x v="4"/>
    <x v="0"/>
  </r>
  <r>
    <x v="0"/>
    <x v="2"/>
    <x v="1"/>
    <x v="1"/>
    <x v="551"/>
    <x v="0"/>
    <n v="5386.65"/>
    <x v="551"/>
    <x v="551"/>
    <x v="0"/>
    <x v="1"/>
  </r>
  <r>
    <x v="3"/>
    <x v="3"/>
    <x v="2"/>
    <x v="0"/>
    <x v="552"/>
    <x v="0"/>
    <n v="503.33"/>
    <x v="552"/>
    <x v="552"/>
    <x v="0"/>
    <x v="2"/>
  </r>
  <r>
    <x v="3"/>
    <x v="6"/>
    <x v="0"/>
    <x v="2"/>
    <x v="553"/>
    <x v="2"/>
    <n v="5404.11"/>
    <x v="553"/>
    <x v="553"/>
    <x v="0"/>
    <x v="3"/>
  </r>
  <r>
    <x v="37"/>
    <x v="15"/>
    <x v="1"/>
    <x v="0"/>
    <x v="554"/>
    <x v="0"/>
    <n v="838.07"/>
    <x v="554"/>
    <x v="554"/>
    <x v="4"/>
    <x v="0"/>
  </r>
  <r>
    <x v="35"/>
    <x v="13"/>
    <x v="0"/>
    <x v="1"/>
    <x v="555"/>
    <x v="0"/>
    <n v="851.92"/>
    <x v="555"/>
    <x v="555"/>
    <x v="1"/>
    <x v="1"/>
  </r>
  <r>
    <x v="34"/>
    <x v="2"/>
    <x v="0"/>
    <x v="1"/>
    <x v="556"/>
    <x v="1"/>
    <n v="3203.46"/>
    <x v="556"/>
    <x v="556"/>
    <x v="0"/>
    <x v="1"/>
  </r>
  <r>
    <x v="43"/>
    <x v="12"/>
    <x v="0"/>
    <x v="0"/>
    <x v="557"/>
    <x v="0"/>
    <n v="307.39999999999998"/>
    <x v="557"/>
    <x v="557"/>
    <x v="4"/>
    <x v="4"/>
  </r>
  <r>
    <x v="57"/>
    <x v="10"/>
    <x v="2"/>
    <x v="1"/>
    <x v="558"/>
    <x v="0"/>
    <n v="1574.05"/>
    <x v="558"/>
    <x v="558"/>
    <x v="2"/>
    <x v="3"/>
  </r>
  <r>
    <x v="45"/>
    <x v="15"/>
    <x v="0"/>
    <x v="0"/>
    <x v="559"/>
    <x v="0"/>
    <n v="515.5"/>
    <x v="559"/>
    <x v="559"/>
    <x v="1"/>
    <x v="0"/>
  </r>
  <r>
    <x v="4"/>
    <x v="14"/>
    <x v="0"/>
    <x v="0"/>
    <x v="560"/>
    <x v="0"/>
    <n v="656.43"/>
    <x v="560"/>
    <x v="560"/>
    <x v="2"/>
    <x v="3"/>
  </r>
  <r>
    <x v="9"/>
    <x v="1"/>
    <x v="0"/>
    <x v="1"/>
    <x v="561"/>
    <x v="1"/>
    <n v="1253.24"/>
    <x v="561"/>
    <x v="561"/>
    <x v="3"/>
    <x v="1"/>
  </r>
  <r>
    <x v="57"/>
    <x v="1"/>
    <x v="0"/>
    <x v="1"/>
    <x v="562"/>
    <x v="0"/>
    <n v="2913.67"/>
    <x v="562"/>
    <x v="562"/>
    <x v="2"/>
    <x v="1"/>
  </r>
  <r>
    <x v="38"/>
    <x v="6"/>
    <x v="1"/>
    <x v="1"/>
    <x v="563"/>
    <x v="0"/>
    <n v="1321.36"/>
    <x v="563"/>
    <x v="563"/>
    <x v="5"/>
    <x v="3"/>
  </r>
  <r>
    <x v="10"/>
    <x v="3"/>
    <x v="0"/>
    <x v="1"/>
    <x v="564"/>
    <x v="0"/>
    <n v="949.27"/>
    <x v="564"/>
    <x v="564"/>
    <x v="2"/>
    <x v="2"/>
  </r>
  <r>
    <x v="8"/>
    <x v="1"/>
    <x v="2"/>
    <x v="1"/>
    <x v="565"/>
    <x v="1"/>
    <n v="2462.48"/>
    <x v="565"/>
    <x v="565"/>
    <x v="0"/>
    <x v="1"/>
  </r>
  <r>
    <x v="33"/>
    <x v="2"/>
    <x v="0"/>
    <x v="0"/>
    <x v="566"/>
    <x v="0"/>
    <n v="1712.42"/>
    <x v="566"/>
    <x v="566"/>
    <x v="3"/>
    <x v="1"/>
  </r>
  <r>
    <x v="5"/>
    <x v="12"/>
    <x v="1"/>
    <x v="0"/>
    <x v="567"/>
    <x v="0"/>
    <n v="940.89"/>
    <x v="567"/>
    <x v="567"/>
    <x v="0"/>
    <x v="4"/>
  </r>
  <r>
    <x v="39"/>
    <x v="1"/>
    <x v="0"/>
    <x v="0"/>
    <x v="568"/>
    <x v="0"/>
    <n v="991.75"/>
    <x v="568"/>
    <x v="568"/>
    <x v="0"/>
    <x v="1"/>
  </r>
  <r>
    <x v="34"/>
    <x v="10"/>
    <x v="0"/>
    <x v="0"/>
    <x v="569"/>
    <x v="0"/>
    <n v="1056.78"/>
    <x v="569"/>
    <x v="569"/>
    <x v="0"/>
    <x v="3"/>
  </r>
  <r>
    <x v="34"/>
    <x v="1"/>
    <x v="0"/>
    <x v="1"/>
    <x v="570"/>
    <x v="1"/>
    <n v="5001.8"/>
    <x v="570"/>
    <x v="570"/>
    <x v="0"/>
    <x v="1"/>
  </r>
  <r>
    <x v="3"/>
    <x v="4"/>
    <x v="0"/>
    <x v="0"/>
    <x v="571"/>
    <x v="0"/>
    <n v="530.45000000000005"/>
    <x v="571"/>
    <x v="571"/>
    <x v="0"/>
    <x v="0"/>
  </r>
  <r>
    <x v="9"/>
    <x v="14"/>
    <x v="0"/>
    <x v="1"/>
    <x v="572"/>
    <x v="0"/>
    <n v="1196.18"/>
    <x v="572"/>
    <x v="572"/>
    <x v="3"/>
    <x v="3"/>
  </r>
  <r>
    <x v="26"/>
    <x v="1"/>
    <x v="2"/>
    <x v="0"/>
    <x v="573"/>
    <x v="0"/>
    <n v="958.01"/>
    <x v="573"/>
    <x v="573"/>
    <x v="1"/>
    <x v="1"/>
  </r>
  <r>
    <x v="70"/>
    <x v="15"/>
    <x v="0"/>
    <x v="1"/>
    <x v="574"/>
    <x v="0"/>
    <n v="842.84"/>
    <x v="574"/>
    <x v="574"/>
    <x v="5"/>
    <x v="0"/>
  </r>
  <r>
    <x v="62"/>
    <x v="7"/>
    <x v="0"/>
    <x v="1"/>
    <x v="575"/>
    <x v="0"/>
    <n v="1916.42"/>
    <x v="575"/>
    <x v="575"/>
    <x v="1"/>
    <x v="0"/>
  </r>
  <r>
    <x v="34"/>
    <x v="1"/>
    <x v="1"/>
    <x v="0"/>
    <x v="576"/>
    <x v="0"/>
    <n v="2264.4"/>
    <x v="576"/>
    <x v="576"/>
    <x v="0"/>
    <x v="1"/>
  </r>
  <r>
    <x v="29"/>
    <x v="4"/>
    <x v="0"/>
    <x v="0"/>
    <x v="577"/>
    <x v="0"/>
    <n v="640.20000000000005"/>
    <x v="577"/>
    <x v="577"/>
    <x v="3"/>
    <x v="0"/>
  </r>
  <r>
    <x v="43"/>
    <x v="5"/>
    <x v="0"/>
    <x v="1"/>
    <x v="578"/>
    <x v="1"/>
    <n v="1007.52"/>
    <x v="578"/>
    <x v="578"/>
    <x v="4"/>
    <x v="2"/>
  </r>
  <r>
    <x v="51"/>
    <x v="9"/>
    <x v="2"/>
    <x v="0"/>
    <x v="579"/>
    <x v="0"/>
    <n v="519.82000000000005"/>
    <x v="579"/>
    <x v="579"/>
    <x v="6"/>
    <x v="2"/>
  </r>
  <r>
    <x v="39"/>
    <x v="0"/>
    <x v="1"/>
    <x v="0"/>
    <x v="580"/>
    <x v="0"/>
    <n v="4245.28"/>
    <x v="580"/>
    <x v="580"/>
    <x v="0"/>
    <x v="0"/>
  </r>
  <r>
    <x v="3"/>
    <x v="6"/>
    <x v="0"/>
    <x v="1"/>
    <x v="581"/>
    <x v="0"/>
    <n v="1701.33"/>
    <x v="581"/>
    <x v="581"/>
    <x v="0"/>
    <x v="3"/>
  </r>
  <r>
    <x v="11"/>
    <x v="4"/>
    <x v="0"/>
    <x v="1"/>
    <x v="582"/>
    <x v="0"/>
    <n v="911.9"/>
    <x v="582"/>
    <x v="582"/>
    <x v="4"/>
    <x v="0"/>
  </r>
  <r>
    <x v="25"/>
    <x v="1"/>
    <x v="0"/>
    <x v="0"/>
    <x v="583"/>
    <x v="1"/>
    <n v="1179.1600000000001"/>
    <x v="583"/>
    <x v="583"/>
    <x v="3"/>
    <x v="1"/>
  </r>
  <r>
    <x v="9"/>
    <x v="0"/>
    <x v="1"/>
    <x v="1"/>
    <x v="584"/>
    <x v="0"/>
    <n v="856.42"/>
    <x v="584"/>
    <x v="584"/>
    <x v="3"/>
    <x v="0"/>
  </r>
  <r>
    <x v="8"/>
    <x v="7"/>
    <x v="0"/>
    <x v="0"/>
    <x v="585"/>
    <x v="1"/>
    <n v="1964.67"/>
    <x v="585"/>
    <x v="585"/>
    <x v="0"/>
    <x v="0"/>
  </r>
  <r>
    <x v="40"/>
    <x v="15"/>
    <x v="1"/>
    <x v="1"/>
    <x v="586"/>
    <x v="0"/>
    <n v="904.26"/>
    <x v="586"/>
    <x v="586"/>
    <x v="4"/>
    <x v="0"/>
  </r>
  <r>
    <x v="5"/>
    <x v="5"/>
    <x v="0"/>
    <x v="0"/>
    <x v="587"/>
    <x v="0"/>
    <n v="679.09"/>
    <x v="587"/>
    <x v="587"/>
    <x v="0"/>
    <x v="2"/>
  </r>
  <r>
    <x v="15"/>
    <x v="14"/>
    <x v="2"/>
    <x v="1"/>
    <x v="588"/>
    <x v="0"/>
    <n v="809.32"/>
    <x v="588"/>
    <x v="588"/>
    <x v="5"/>
    <x v="3"/>
  </r>
  <r>
    <x v="54"/>
    <x v="4"/>
    <x v="0"/>
    <x v="1"/>
    <x v="589"/>
    <x v="0"/>
    <n v="1167.83"/>
    <x v="589"/>
    <x v="589"/>
    <x v="0"/>
    <x v="0"/>
  </r>
  <r>
    <x v="25"/>
    <x v="3"/>
    <x v="0"/>
    <x v="0"/>
    <x v="590"/>
    <x v="0"/>
    <n v="532.14"/>
    <x v="590"/>
    <x v="590"/>
    <x v="3"/>
    <x v="2"/>
  </r>
  <r>
    <x v="28"/>
    <x v="9"/>
    <x v="0"/>
    <x v="0"/>
    <x v="591"/>
    <x v="0"/>
    <n v="1446.32"/>
    <x v="591"/>
    <x v="591"/>
    <x v="0"/>
    <x v="2"/>
  </r>
  <r>
    <x v="0"/>
    <x v="1"/>
    <x v="0"/>
    <x v="0"/>
    <x v="592"/>
    <x v="0"/>
    <n v="450.84"/>
    <x v="592"/>
    <x v="592"/>
    <x v="0"/>
    <x v="1"/>
  </r>
  <r>
    <x v="41"/>
    <x v="10"/>
    <x v="1"/>
    <x v="0"/>
    <x v="593"/>
    <x v="0"/>
    <n v="627.63"/>
    <x v="593"/>
    <x v="593"/>
    <x v="2"/>
    <x v="3"/>
  </r>
  <r>
    <x v="36"/>
    <x v="12"/>
    <x v="2"/>
    <x v="0"/>
    <x v="594"/>
    <x v="0"/>
    <n v="567.32000000000005"/>
    <x v="594"/>
    <x v="594"/>
    <x v="1"/>
    <x v="4"/>
  </r>
  <r>
    <x v="2"/>
    <x v="4"/>
    <x v="2"/>
    <x v="0"/>
    <x v="595"/>
    <x v="0"/>
    <n v="1299.7"/>
    <x v="595"/>
    <x v="595"/>
    <x v="0"/>
    <x v="0"/>
  </r>
  <r>
    <x v="28"/>
    <x v="8"/>
    <x v="1"/>
    <x v="2"/>
    <x v="596"/>
    <x v="1"/>
    <n v="1049.9000000000001"/>
    <x v="596"/>
    <x v="596"/>
    <x v="0"/>
    <x v="4"/>
  </r>
  <r>
    <x v="47"/>
    <x v="12"/>
    <x v="0"/>
    <x v="0"/>
    <x v="597"/>
    <x v="0"/>
    <n v="282.02999999999997"/>
    <x v="597"/>
    <x v="597"/>
    <x v="5"/>
    <x v="4"/>
  </r>
  <r>
    <x v="21"/>
    <x v="14"/>
    <x v="2"/>
    <x v="1"/>
    <x v="598"/>
    <x v="2"/>
    <n v="1607.26"/>
    <x v="598"/>
    <x v="598"/>
    <x v="3"/>
    <x v="3"/>
  </r>
  <r>
    <x v="7"/>
    <x v="5"/>
    <x v="0"/>
    <x v="0"/>
    <x v="599"/>
    <x v="0"/>
    <n v="967.85"/>
    <x v="599"/>
    <x v="599"/>
    <x v="0"/>
    <x v="2"/>
  </r>
  <r>
    <x v="65"/>
    <x v="4"/>
    <x v="1"/>
    <x v="0"/>
    <x v="600"/>
    <x v="1"/>
    <n v="4269.95"/>
    <x v="600"/>
    <x v="600"/>
    <x v="3"/>
    <x v="0"/>
  </r>
  <r>
    <x v="43"/>
    <x v="10"/>
    <x v="1"/>
    <x v="0"/>
    <x v="601"/>
    <x v="0"/>
    <n v="612.51"/>
    <x v="601"/>
    <x v="601"/>
    <x v="4"/>
    <x v="3"/>
  </r>
  <r>
    <x v="38"/>
    <x v="14"/>
    <x v="0"/>
    <x v="0"/>
    <x v="602"/>
    <x v="0"/>
    <n v="615.98"/>
    <x v="602"/>
    <x v="602"/>
    <x v="5"/>
    <x v="3"/>
  </r>
  <r>
    <x v="9"/>
    <x v="2"/>
    <x v="2"/>
    <x v="1"/>
    <x v="603"/>
    <x v="0"/>
    <n v="1862.39"/>
    <x v="603"/>
    <x v="603"/>
    <x v="3"/>
    <x v="1"/>
  </r>
  <r>
    <x v="22"/>
    <x v="7"/>
    <x v="1"/>
    <x v="0"/>
    <x v="604"/>
    <x v="0"/>
    <n v="2379.79"/>
    <x v="604"/>
    <x v="604"/>
    <x v="1"/>
    <x v="0"/>
  </r>
  <r>
    <x v="43"/>
    <x v="7"/>
    <x v="0"/>
    <x v="1"/>
    <x v="605"/>
    <x v="1"/>
    <n v="951.77"/>
    <x v="605"/>
    <x v="605"/>
    <x v="4"/>
    <x v="0"/>
  </r>
  <r>
    <x v="21"/>
    <x v="5"/>
    <x v="2"/>
    <x v="1"/>
    <x v="606"/>
    <x v="0"/>
    <n v="771.21"/>
    <x v="606"/>
    <x v="606"/>
    <x v="3"/>
    <x v="2"/>
  </r>
  <r>
    <x v="15"/>
    <x v="15"/>
    <x v="1"/>
    <x v="0"/>
    <x v="607"/>
    <x v="0"/>
    <n v="495.42"/>
    <x v="607"/>
    <x v="607"/>
    <x v="5"/>
    <x v="0"/>
  </r>
  <r>
    <x v="34"/>
    <x v="3"/>
    <x v="0"/>
    <x v="0"/>
    <x v="608"/>
    <x v="0"/>
    <n v="612.32000000000005"/>
    <x v="608"/>
    <x v="608"/>
    <x v="0"/>
    <x v="2"/>
  </r>
  <r>
    <x v="68"/>
    <x v="9"/>
    <x v="0"/>
    <x v="1"/>
    <x v="609"/>
    <x v="1"/>
    <n v="1477"/>
    <x v="609"/>
    <x v="609"/>
    <x v="2"/>
    <x v="2"/>
  </r>
  <r>
    <x v="46"/>
    <x v="13"/>
    <x v="1"/>
    <x v="0"/>
    <x v="610"/>
    <x v="0"/>
    <n v="1501.41"/>
    <x v="610"/>
    <x v="610"/>
    <x v="0"/>
    <x v="1"/>
  </r>
  <r>
    <x v="37"/>
    <x v="1"/>
    <x v="0"/>
    <x v="0"/>
    <x v="611"/>
    <x v="0"/>
    <n v="708.47"/>
    <x v="611"/>
    <x v="611"/>
    <x v="4"/>
    <x v="1"/>
  </r>
  <r>
    <x v="68"/>
    <x v="3"/>
    <x v="0"/>
    <x v="0"/>
    <x v="612"/>
    <x v="0"/>
    <n v="328.34"/>
    <x v="612"/>
    <x v="612"/>
    <x v="2"/>
    <x v="2"/>
  </r>
  <r>
    <x v="34"/>
    <x v="12"/>
    <x v="2"/>
    <x v="0"/>
    <x v="613"/>
    <x v="1"/>
    <n v="1068.07"/>
    <x v="613"/>
    <x v="613"/>
    <x v="0"/>
    <x v="4"/>
  </r>
  <r>
    <x v="23"/>
    <x v="6"/>
    <x v="0"/>
    <x v="1"/>
    <x v="614"/>
    <x v="0"/>
    <n v="940.48"/>
    <x v="614"/>
    <x v="614"/>
    <x v="2"/>
    <x v="3"/>
  </r>
  <r>
    <x v="3"/>
    <x v="14"/>
    <x v="2"/>
    <x v="0"/>
    <x v="615"/>
    <x v="2"/>
    <n v="924.92"/>
    <x v="615"/>
    <x v="615"/>
    <x v="0"/>
    <x v="3"/>
  </r>
  <r>
    <x v="17"/>
    <x v="2"/>
    <x v="2"/>
    <x v="2"/>
    <x v="616"/>
    <x v="0"/>
    <n v="3346.02"/>
    <x v="616"/>
    <x v="616"/>
    <x v="0"/>
    <x v="1"/>
  </r>
  <r>
    <x v="68"/>
    <x v="14"/>
    <x v="2"/>
    <x v="1"/>
    <x v="617"/>
    <x v="1"/>
    <n v="539.78"/>
    <x v="617"/>
    <x v="617"/>
    <x v="2"/>
    <x v="3"/>
  </r>
  <r>
    <x v="8"/>
    <x v="15"/>
    <x v="0"/>
    <x v="0"/>
    <x v="618"/>
    <x v="0"/>
    <n v="4407.58"/>
    <x v="618"/>
    <x v="618"/>
    <x v="0"/>
    <x v="0"/>
  </r>
  <r>
    <x v="53"/>
    <x v="10"/>
    <x v="2"/>
    <x v="1"/>
    <x v="619"/>
    <x v="0"/>
    <n v="1852.55"/>
    <x v="619"/>
    <x v="619"/>
    <x v="3"/>
    <x v="3"/>
  </r>
  <r>
    <x v="36"/>
    <x v="15"/>
    <x v="2"/>
    <x v="2"/>
    <x v="620"/>
    <x v="1"/>
    <n v="2481.0700000000002"/>
    <x v="620"/>
    <x v="620"/>
    <x v="1"/>
    <x v="0"/>
  </r>
  <r>
    <x v="58"/>
    <x v="5"/>
    <x v="2"/>
    <x v="1"/>
    <x v="621"/>
    <x v="0"/>
    <n v="657.75"/>
    <x v="621"/>
    <x v="621"/>
    <x v="5"/>
    <x v="2"/>
  </r>
  <r>
    <x v="32"/>
    <x v="2"/>
    <x v="1"/>
    <x v="1"/>
    <x v="622"/>
    <x v="0"/>
    <n v="4596.47"/>
    <x v="622"/>
    <x v="622"/>
    <x v="3"/>
    <x v="1"/>
  </r>
  <r>
    <x v="11"/>
    <x v="11"/>
    <x v="0"/>
    <x v="1"/>
    <x v="623"/>
    <x v="0"/>
    <n v="702.21"/>
    <x v="623"/>
    <x v="623"/>
    <x v="4"/>
    <x v="4"/>
  </r>
  <r>
    <x v="3"/>
    <x v="1"/>
    <x v="1"/>
    <x v="0"/>
    <x v="624"/>
    <x v="0"/>
    <n v="2036.01"/>
    <x v="624"/>
    <x v="624"/>
    <x v="0"/>
    <x v="1"/>
  </r>
  <r>
    <x v="25"/>
    <x v="3"/>
    <x v="1"/>
    <x v="0"/>
    <x v="625"/>
    <x v="0"/>
    <n v="689.44"/>
    <x v="625"/>
    <x v="625"/>
    <x v="3"/>
    <x v="2"/>
  </r>
  <r>
    <x v="60"/>
    <x v="15"/>
    <x v="2"/>
    <x v="1"/>
    <x v="626"/>
    <x v="0"/>
    <n v="514.54999999999995"/>
    <x v="626"/>
    <x v="626"/>
    <x v="4"/>
    <x v="0"/>
  </r>
  <r>
    <x v="25"/>
    <x v="5"/>
    <x v="1"/>
    <x v="0"/>
    <x v="627"/>
    <x v="0"/>
    <n v="861.6"/>
    <x v="627"/>
    <x v="627"/>
    <x v="3"/>
    <x v="2"/>
  </r>
  <r>
    <x v="26"/>
    <x v="1"/>
    <x v="2"/>
    <x v="3"/>
    <x v="628"/>
    <x v="0"/>
    <n v="1681.62"/>
    <x v="628"/>
    <x v="628"/>
    <x v="1"/>
    <x v="1"/>
  </r>
  <r>
    <x v="7"/>
    <x v="1"/>
    <x v="0"/>
    <x v="0"/>
    <x v="629"/>
    <x v="0"/>
    <n v="1146.55"/>
    <x v="629"/>
    <x v="629"/>
    <x v="0"/>
    <x v="1"/>
  </r>
  <r>
    <x v="62"/>
    <x v="8"/>
    <x v="2"/>
    <x v="2"/>
    <x v="630"/>
    <x v="0"/>
    <n v="1290.44"/>
    <x v="630"/>
    <x v="630"/>
    <x v="1"/>
    <x v="4"/>
  </r>
  <r>
    <x v="30"/>
    <x v="8"/>
    <x v="0"/>
    <x v="0"/>
    <x v="631"/>
    <x v="0"/>
    <n v="316.13"/>
    <x v="631"/>
    <x v="631"/>
    <x v="2"/>
    <x v="4"/>
  </r>
  <r>
    <x v="42"/>
    <x v="14"/>
    <x v="2"/>
    <x v="0"/>
    <x v="632"/>
    <x v="0"/>
    <n v="817.1"/>
    <x v="632"/>
    <x v="632"/>
    <x v="3"/>
    <x v="3"/>
  </r>
  <r>
    <x v="36"/>
    <x v="5"/>
    <x v="0"/>
    <x v="1"/>
    <x v="633"/>
    <x v="0"/>
    <n v="897.83"/>
    <x v="633"/>
    <x v="633"/>
    <x v="1"/>
    <x v="2"/>
  </r>
  <r>
    <x v="25"/>
    <x v="6"/>
    <x v="1"/>
    <x v="0"/>
    <x v="634"/>
    <x v="0"/>
    <n v="3300.7"/>
    <x v="634"/>
    <x v="634"/>
    <x v="3"/>
    <x v="3"/>
  </r>
  <r>
    <x v="70"/>
    <x v="1"/>
    <x v="2"/>
    <x v="0"/>
    <x v="635"/>
    <x v="0"/>
    <n v="1126.21"/>
    <x v="635"/>
    <x v="635"/>
    <x v="5"/>
    <x v="1"/>
  </r>
  <r>
    <x v="68"/>
    <x v="14"/>
    <x v="0"/>
    <x v="0"/>
    <x v="636"/>
    <x v="1"/>
    <n v="650.73"/>
    <x v="636"/>
    <x v="636"/>
    <x v="2"/>
    <x v="3"/>
  </r>
  <r>
    <x v="10"/>
    <x v="1"/>
    <x v="1"/>
    <x v="0"/>
    <x v="637"/>
    <x v="0"/>
    <n v="1742.42"/>
    <x v="637"/>
    <x v="637"/>
    <x v="2"/>
    <x v="1"/>
  </r>
  <r>
    <x v="35"/>
    <x v="5"/>
    <x v="2"/>
    <x v="0"/>
    <x v="638"/>
    <x v="0"/>
    <n v="2073.87"/>
    <x v="638"/>
    <x v="638"/>
    <x v="1"/>
    <x v="2"/>
  </r>
  <r>
    <x v="18"/>
    <x v="7"/>
    <x v="1"/>
    <x v="0"/>
    <x v="639"/>
    <x v="1"/>
    <n v="1736.82"/>
    <x v="639"/>
    <x v="639"/>
    <x v="1"/>
    <x v="0"/>
  </r>
  <r>
    <x v="39"/>
    <x v="13"/>
    <x v="1"/>
    <x v="2"/>
    <x v="640"/>
    <x v="0"/>
    <n v="1522.91"/>
    <x v="640"/>
    <x v="640"/>
    <x v="0"/>
    <x v="1"/>
  </r>
  <r>
    <x v="29"/>
    <x v="8"/>
    <x v="0"/>
    <x v="0"/>
    <x v="641"/>
    <x v="0"/>
    <n v="634.66999999999996"/>
    <x v="641"/>
    <x v="641"/>
    <x v="3"/>
    <x v="4"/>
  </r>
  <r>
    <x v="6"/>
    <x v="10"/>
    <x v="0"/>
    <x v="0"/>
    <x v="642"/>
    <x v="0"/>
    <n v="532.77"/>
    <x v="642"/>
    <x v="642"/>
    <x v="2"/>
    <x v="3"/>
  </r>
  <r>
    <x v="30"/>
    <x v="7"/>
    <x v="1"/>
    <x v="2"/>
    <x v="643"/>
    <x v="1"/>
    <n v="2026.67"/>
    <x v="643"/>
    <x v="643"/>
    <x v="2"/>
    <x v="0"/>
  </r>
  <r>
    <x v="41"/>
    <x v="8"/>
    <x v="2"/>
    <x v="1"/>
    <x v="644"/>
    <x v="0"/>
    <n v="688.8"/>
    <x v="644"/>
    <x v="644"/>
    <x v="2"/>
    <x v="4"/>
  </r>
  <r>
    <x v="65"/>
    <x v="7"/>
    <x v="0"/>
    <x v="0"/>
    <x v="645"/>
    <x v="1"/>
    <n v="426.64"/>
    <x v="645"/>
    <x v="645"/>
    <x v="3"/>
    <x v="0"/>
  </r>
  <r>
    <x v="25"/>
    <x v="1"/>
    <x v="2"/>
    <x v="0"/>
    <x v="646"/>
    <x v="0"/>
    <n v="821"/>
    <x v="646"/>
    <x v="646"/>
    <x v="3"/>
    <x v="1"/>
  </r>
  <r>
    <x v="36"/>
    <x v="9"/>
    <x v="2"/>
    <x v="1"/>
    <x v="647"/>
    <x v="1"/>
    <n v="1076.33"/>
    <x v="647"/>
    <x v="647"/>
    <x v="1"/>
    <x v="2"/>
  </r>
  <r>
    <x v="4"/>
    <x v="9"/>
    <x v="0"/>
    <x v="2"/>
    <x v="648"/>
    <x v="0"/>
    <n v="1191.58"/>
    <x v="648"/>
    <x v="648"/>
    <x v="2"/>
    <x v="2"/>
  </r>
  <r>
    <x v="49"/>
    <x v="4"/>
    <x v="0"/>
    <x v="1"/>
    <x v="649"/>
    <x v="0"/>
    <n v="1404.94"/>
    <x v="649"/>
    <x v="649"/>
    <x v="2"/>
    <x v="0"/>
  </r>
  <r>
    <x v="51"/>
    <x v="1"/>
    <x v="0"/>
    <x v="0"/>
    <x v="650"/>
    <x v="0"/>
    <n v="377.23"/>
    <x v="650"/>
    <x v="650"/>
    <x v="6"/>
    <x v="1"/>
  </r>
  <r>
    <x v="48"/>
    <x v="0"/>
    <x v="2"/>
    <x v="0"/>
    <x v="651"/>
    <x v="0"/>
    <n v="1165.32"/>
    <x v="651"/>
    <x v="651"/>
    <x v="2"/>
    <x v="0"/>
  </r>
  <r>
    <x v="72"/>
    <x v="6"/>
    <x v="1"/>
    <x v="0"/>
    <x v="652"/>
    <x v="0"/>
    <n v="322.33"/>
    <x v="652"/>
    <x v="652"/>
    <x v="6"/>
    <x v="3"/>
  </r>
  <r>
    <x v="43"/>
    <x v="12"/>
    <x v="2"/>
    <x v="0"/>
    <x v="653"/>
    <x v="0"/>
    <n v="509.85"/>
    <x v="653"/>
    <x v="653"/>
    <x v="4"/>
    <x v="4"/>
  </r>
  <r>
    <x v="48"/>
    <x v="6"/>
    <x v="0"/>
    <x v="0"/>
    <x v="654"/>
    <x v="1"/>
    <n v="909.25"/>
    <x v="654"/>
    <x v="654"/>
    <x v="2"/>
    <x v="3"/>
  </r>
  <r>
    <x v="56"/>
    <x v="5"/>
    <x v="2"/>
    <x v="0"/>
    <x v="655"/>
    <x v="0"/>
    <n v="428.11"/>
    <x v="655"/>
    <x v="655"/>
    <x v="4"/>
    <x v="2"/>
  </r>
  <r>
    <x v="32"/>
    <x v="6"/>
    <x v="0"/>
    <x v="1"/>
    <x v="656"/>
    <x v="0"/>
    <n v="894.83"/>
    <x v="656"/>
    <x v="656"/>
    <x v="3"/>
    <x v="3"/>
  </r>
  <r>
    <x v="46"/>
    <x v="11"/>
    <x v="0"/>
    <x v="0"/>
    <x v="657"/>
    <x v="0"/>
    <n v="337.79"/>
    <x v="657"/>
    <x v="657"/>
    <x v="0"/>
    <x v="4"/>
  </r>
  <r>
    <x v="15"/>
    <x v="0"/>
    <x v="0"/>
    <x v="0"/>
    <x v="658"/>
    <x v="0"/>
    <n v="192.82"/>
    <x v="658"/>
    <x v="658"/>
    <x v="5"/>
    <x v="0"/>
  </r>
  <r>
    <x v="9"/>
    <x v="10"/>
    <x v="0"/>
    <x v="0"/>
    <x v="659"/>
    <x v="0"/>
    <n v="367.43"/>
    <x v="659"/>
    <x v="659"/>
    <x v="3"/>
    <x v="3"/>
  </r>
  <r>
    <x v="46"/>
    <x v="8"/>
    <x v="1"/>
    <x v="0"/>
    <x v="660"/>
    <x v="0"/>
    <n v="1703.3"/>
    <x v="660"/>
    <x v="660"/>
    <x v="0"/>
    <x v="4"/>
  </r>
  <r>
    <x v="66"/>
    <x v="9"/>
    <x v="0"/>
    <x v="1"/>
    <x v="661"/>
    <x v="0"/>
    <n v="219.96"/>
    <x v="661"/>
    <x v="661"/>
    <x v="5"/>
    <x v="2"/>
  </r>
  <r>
    <x v="58"/>
    <x v="6"/>
    <x v="1"/>
    <x v="1"/>
    <x v="662"/>
    <x v="0"/>
    <n v="496.01"/>
    <x v="662"/>
    <x v="662"/>
    <x v="5"/>
    <x v="3"/>
  </r>
  <r>
    <x v="37"/>
    <x v="3"/>
    <x v="2"/>
    <x v="0"/>
    <x v="663"/>
    <x v="0"/>
    <n v="350.1"/>
    <x v="663"/>
    <x v="663"/>
    <x v="4"/>
    <x v="2"/>
  </r>
  <r>
    <x v="28"/>
    <x v="9"/>
    <x v="2"/>
    <x v="1"/>
    <x v="664"/>
    <x v="0"/>
    <n v="1045.6199999999999"/>
    <x v="664"/>
    <x v="664"/>
    <x v="0"/>
    <x v="2"/>
  </r>
  <r>
    <x v="38"/>
    <x v="2"/>
    <x v="2"/>
    <x v="1"/>
    <x v="665"/>
    <x v="0"/>
    <n v="2480.11"/>
    <x v="665"/>
    <x v="665"/>
    <x v="5"/>
    <x v="1"/>
  </r>
  <r>
    <x v="39"/>
    <x v="3"/>
    <x v="0"/>
    <x v="3"/>
    <x v="666"/>
    <x v="1"/>
    <n v="1592.47"/>
    <x v="666"/>
    <x v="666"/>
    <x v="0"/>
    <x v="2"/>
  </r>
  <r>
    <x v="22"/>
    <x v="3"/>
    <x v="1"/>
    <x v="1"/>
    <x v="667"/>
    <x v="0"/>
    <n v="623.49"/>
    <x v="667"/>
    <x v="667"/>
    <x v="1"/>
    <x v="2"/>
  </r>
  <r>
    <x v="25"/>
    <x v="14"/>
    <x v="0"/>
    <x v="0"/>
    <x v="668"/>
    <x v="0"/>
    <n v="736.87"/>
    <x v="668"/>
    <x v="668"/>
    <x v="3"/>
    <x v="3"/>
  </r>
  <r>
    <x v="3"/>
    <x v="10"/>
    <x v="2"/>
    <x v="0"/>
    <x v="669"/>
    <x v="0"/>
    <n v="3790.12"/>
    <x v="669"/>
    <x v="669"/>
    <x v="0"/>
    <x v="3"/>
  </r>
  <r>
    <x v="20"/>
    <x v="11"/>
    <x v="1"/>
    <x v="2"/>
    <x v="670"/>
    <x v="2"/>
    <n v="1901.74"/>
    <x v="670"/>
    <x v="670"/>
    <x v="3"/>
    <x v="4"/>
  </r>
  <r>
    <x v="15"/>
    <x v="3"/>
    <x v="0"/>
    <x v="0"/>
    <x v="671"/>
    <x v="0"/>
    <n v="459.72"/>
    <x v="671"/>
    <x v="671"/>
    <x v="5"/>
    <x v="2"/>
  </r>
  <r>
    <x v="65"/>
    <x v="1"/>
    <x v="2"/>
    <x v="0"/>
    <x v="672"/>
    <x v="1"/>
    <n v="2046.23"/>
    <x v="672"/>
    <x v="672"/>
    <x v="3"/>
    <x v="1"/>
  </r>
  <r>
    <x v="17"/>
    <x v="14"/>
    <x v="0"/>
    <x v="0"/>
    <x v="673"/>
    <x v="1"/>
    <n v="2422.15"/>
    <x v="673"/>
    <x v="673"/>
    <x v="0"/>
    <x v="3"/>
  </r>
  <r>
    <x v="2"/>
    <x v="6"/>
    <x v="0"/>
    <x v="0"/>
    <x v="674"/>
    <x v="0"/>
    <n v="726.61"/>
    <x v="674"/>
    <x v="674"/>
    <x v="0"/>
    <x v="3"/>
  </r>
  <r>
    <x v="23"/>
    <x v="4"/>
    <x v="2"/>
    <x v="0"/>
    <x v="675"/>
    <x v="0"/>
    <n v="447.85"/>
    <x v="675"/>
    <x v="675"/>
    <x v="2"/>
    <x v="0"/>
  </r>
  <r>
    <x v="23"/>
    <x v="0"/>
    <x v="0"/>
    <x v="0"/>
    <x v="676"/>
    <x v="0"/>
    <n v="817.24"/>
    <x v="676"/>
    <x v="676"/>
    <x v="2"/>
    <x v="0"/>
  </r>
  <r>
    <x v="70"/>
    <x v="5"/>
    <x v="1"/>
    <x v="1"/>
    <x v="677"/>
    <x v="0"/>
    <n v="854.6"/>
    <x v="677"/>
    <x v="677"/>
    <x v="5"/>
    <x v="2"/>
  </r>
  <r>
    <x v="20"/>
    <x v="12"/>
    <x v="0"/>
    <x v="1"/>
    <x v="678"/>
    <x v="0"/>
    <n v="1756.88"/>
    <x v="678"/>
    <x v="678"/>
    <x v="3"/>
    <x v="4"/>
  </r>
  <r>
    <x v="12"/>
    <x v="0"/>
    <x v="2"/>
    <x v="0"/>
    <x v="679"/>
    <x v="0"/>
    <n v="767.21"/>
    <x v="679"/>
    <x v="679"/>
    <x v="4"/>
    <x v="0"/>
  </r>
  <r>
    <x v="71"/>
    <x v="15"/>
    <x v="2"/>
    <x v="0"/>
    <x v="680"/>
    <x v="0"/>
    <n v="464.24"/>
    <x v="680"/>
    <x v="680"/>
    <x v="6"/>
    <x v="0"/>
  </r>
  <r>
    <x v="8"/>
    <x v="6"/>
    <x v="2"/>
    <x v="1"/>
    <x v="681"/>
    <x v="0"/>
    <n v="2058.84"/>
    <x v="681"/>
    <x v="681"/>
    <x v="0"/>
    <x v="3"/>
  </r>
  <r>
    <x v="70"/>
    <x v="11"/>
    <x v="0"/>
    <x v="1"/>
    <x v="682"/>
    <x v="0"/>
    <n v="209.26"/>
    <x v="682"/>
    <x v="682"/>
    <x v="5"/>
    <x v="4"/>
  </r>
  <r>
    <x v="24"/>
    <x v="15"/>
    <x v="2"/>
    <x v="1"/>
    <x v="683"/>
    <x v="0"/>
    <n v="2486.06"/>
    <x v="683"/>
    <x v="683"/>
    <x v="4"/>
    <x v="0"/>
  </r>
  <r>
    <x v="6"/>
    <x v="1"/>
    <x v="1"/>
    <x v="1"/>
    <x v="684"/>
    <x v="0"/>
    <n v="1090.1300000000001"/>
    <x v="684"/>
    <x v="684"/>
    <x v="2"/>
    <x v="1"/>
  </r>
  <r>
    <x v="38"/>
    <x v="10"/>
    <x v="1"/>
    <x v="0"/>
    <x v="685"/>
    <x v="0"/>
    <n v="806.4"/>
    <x v="685"/>
    <x v="685"/>
    <x v="5"/>
    <x v="3"/>
  </r>
  <r>
    <x v="5"/>
    <x v="10"/>
    <x v="0"/>
    <x v="1"/>
    <x v="686"/>
    <x v="0"/>
    <n v="1333.48"/>
    <x v="686"/>
    <x v="686"/>
    <x v="0"/>
    <x v="3"/>
  </r>
  <r>
    <x v="20"/>
    <x v="7"/>
    <x v="1"/>
    <x v="0"/>
    <x v="687"/>
    <x v="0"/>
    <n v="844.72"/>
    <x v="687"/>
    <x v="687"/>
    <x v="3"/>
    <x v="0"/>
  </r>
  <r>
    <x v="45"/>
    <x v="8"/>
    <x v="1"/>
    <x v="2"/>
    <x v="688"/>
    <x v="0"/>
    <n v="743.41"/>
    <x v="688"/>
    <x v="688"/>
    <x v="1"/>
    <x v="4"/>
  </r>
  <r>
    <x v="53"/>
    <x v="11"/>
    <x v="2"/>
    <x v="1"/>
    <x v="689"/>
    <x v="1"/>
    <n v="897.19"/>
    <x v="689"/>
    <x v="689"/>
    <x v="3"/>
    <x v="4"/>
  </r>
  <r>
    <x v="27"/>
    <x v="9"/>
    <x v="0"/>
    <x v="2"/>
    <x v="690"/>
    <x v="0"/>
    <n v="2429.41"/>
    <x v="690"/>
    <x v="690"/>
    <x v="0"/>
    <x v="2"/>
  </r>
  <r>
    <x v="54"/>
    <x v="15"/>
    <x v="2"/>
    <x v="1"/>
    <x v="691"/>
    <x v="1"/>
    <n v="1351.03"/>
    <x v="691"/>
    <x v="691"/>
    <x v="0"/>
    <x v="0"/>
  </r>
  <r>
    <x v="22"/>
    <x v="1"/>
    <x v="2"/>
    <x v="0"/>
    <x v="692"/>
    <x v="0"/>
    <n v="770.46"/>
    <x v="692"/>
    <x v="692"/>
    <x v="1"/>
    <x v="1"/>
  </r>
  <r>
    <x v="68"/>
    <x v="11"/>
    <x v="1"/>
    <x v="0"/>
    <x v="693"/>
    <x v="0"/>
    <n v="654.03"/>
    <x v="693"/>
    <x v="693"/>
    <x v="2"/>
    <x v="4"/>
  </r>
  <r>
    <x v="66"/>
    <x v="8"/>
    <x v="1"/>
    <x v="0"/>
    <x v="694"/>
    <x v="0"/>
    <n v="400.97"/>
    <x v="694"/>
    <x v="694"/>
    <x v="5"/>
    <x v="4"/>
  </r>
  <r>
    <x v="32"/>
    <x v="9"/>
    <x v="2"/>
    <x v="0"/>
    <x v="695"/>
    <x v="0"/>
    <n v="549.53"/>
    <x v="695"/>
    <x v="695"/>
    <x v="3"/>
    <x v="2"/>
  </r>
  <r>
    <x v="25"/>
    <x v="3"/>
    <x v="2"/>
    <x v="2"/>
    <x v="696"/>
    <x v="0"/>
    <n v="1686.74"/>
    <x v="696"/>
    <x v="696"/>
    <x v="3"/>
    <x v="2"/>
  </r>
  <r>
    <x v="32"/>
    <x v="9"/>
    <x v="1"/>
    <x v="2"/>
    <x v="697"/>
    <x v="1"/>
    <n v="838.39"/>
    <x v="697"/>
    <x v="697"/>
    <x v="3"/>
    <x v="2"/>
  </r>
  <r>
    <x v="23"/>
    <x v="6"/>
    <x v="0"/>
    <x v="1"/>
    <x v="698"/>
    <x v="0"/>
    <n v="495.21"/>
    <x v="698"/>
    <x v="698"/>
    <x v="2"/>
    <x v="3"/>
  </r>
  <r>
    <x v="46"/>
    <x v="10"/>
    <x v="0"/>
    <x v="0"/>
    <x v="699"/>
    <x v="0"/>
    <n v="881.96"/>
    <x v="699"/>
    <x v="699"/>
    <x v="0"/>
    <x v="3"/>
  </r>
  <r>
    <x v="47"/>
    <x v="7"/>
    <x v="1"/>
    <x v="0"/>
    <x v="700"/>
    <x v="0"/>
    <n v="394.82"/>
    <x v="700"/>
    <x v="700"/>
    <x v="5"/>
    <x v="0"/>
  </r>
  <r>
    <x v="29"/>
    <x v="7"/>
    <x v="0"/>
    <x v="0"/>
    <x v="701"/>
    <x v="1"/>
    <n v="1539.72"/>
    <x v="701"/>
    <x v="701"/>
    <x v="3"/>
    <x v="0"/>
  </r>
  <r>
    <x v="62"/>
    <x v="3"/>
    <x v="1"/>
    <x v="0"/>
    <x v="702"/>
    <x v="1"/>
    <n v="859.53"/>
    <x v="702"/>
    <x v="702"/>
    <x v="1"/>
    <x v="2"/>
  </r>
  <r>
    <x v="57"/>
    <x v="5"/>
    <x v="0"/>
    <x v="0"/>
    <x v="703"/>
    <x v="0"/>
    <n v="422.01"/>
    <x v="703"/>
    <x v="703"/>
    <x v="2"/>
    <x v="2"/>
  </r>
  <r>
    <x v="11"/>
    <x v="14"/>
    <x v="0"/>
    <x v="2"/>
    <x v="704"/>
    <x v="0"/>
    <n v="1099.06"/>
    <x v="704"/>
    <x v="704"/>
    <x v="4"/>
    <x v="3"/>
  </r>
  <r>
    <x v="14"/>
    <x v="4"/>
    <x v="0"/>
    <x v="1"/>
    <x v="705"/>
    <x v="1"/>
    <n v="727.08"/>
    <x v="705"/>
    <x v="705"/>
    <x v="5"/>
    <x v="0"/>
  </r>
  <r>
    <x v="40"/>
    <x v="15"/>
    <x v="1"/>
    <x v="0"/>
    <x v="706"/>
    <x v="0"/>
    <n v="444.23"/>
    <x v="706"/>
    <x v="706"/>
    <x v="4"/>
    <x v="0"/>
  </r>
  <r>
    <x v="33"/>
    <x v="10"/>
    <x v="1"/>
    <x v="1"/>
    <x v="707"/>
    <x v="0"/>
    <n v="1128.6199999999999"/>
    <x v="707"/>
    <x v="707"/>
    <x v="3"/>
    <x v="3"/>
  </r>
  <r>
    <x v="13"/>
    <x v="0"/>
    <x v="2"/>
    <x v="0"/>
    <x v="708"/>
    <x v="0"/>
    <n v="799.34"/>
    <x v="708"/>
    <x v="708"/>
    <x v="1"/>
    <x v="0"/>
  </r>
  <r>
    <x v="48"/>
    <x v="11"/>
    <x v="0"/>
    <x v="1"/>
    <x v="709"/>
    <x v="0"/>
    <n v="1586.23"/>
    <x v="709"/>
    <x v="709"/>
    <x v="2"/>
    <x v="4"/>
  </r>
  <r>
    <x v="41"/>
    <x v="4"/>
    <x v="2"/>
    <x v="1"/>
    <x v="710"/>
    <x v="1"/>
    <n v="1163.03"/>
    <x v="710"/>
    <x v="710"/>
    <x v="2"/>
    <x v="0"/>
  </r>
  <r>
    <x v="45"/>
    <x v="4"/>
    <x v="2"/>
    <x v="1"/>
    <x v="711"/>
    <x v="0"/>
    <n v="735.82"/>
    <x v="711"/>
    <x v="711"/>
    <x v="1"/>
    <x v="0"/>
  </r>
  <r>
    <x v="5"/>
    <x v="4"/>
    <x v="0"/>
    <x v="1"/>
    <x v="712"/>
    <x v="1"/>
    <n v="4021.5"/>
    <x v="712"/>
    <x v="712"/>
    <x v="0"/>
    <x v="0"/>
  </r>
  <r>
    <x v="29"/>
    <x v="3"/>
    <x v="2"/>
    <x v="0"/>
    <x v="713"/>
    <x v="0"/>
    <n v="1156.98"/>
    <x v="713"/>
    <x v="713"/>
    <x v="3"/>
    <x v="2"/>
  </r>
  <r>
    <x v="46"/>
    <x v="13"/>
    <x v="0"/>
    <x v="0"/>
    <x v="714"/>
    <x v="0"/>
    <n v="1432.73"/>
    <x v="714"/>
    <x v="714"/>
    <x v="0"/>
    <x v="1"/>
  </r>
  <r>
    <x v="29"/>
    <x v="14"/>
    <x v="0"/>
    <x v="0"/>
    <x v="715"/>
    <x v="0"/>
    <n v="974.32"/>
    <x v="715"/>
    <x v="715"/>
    <x v="3"/>
    <x v="3"/>
  </r>
  <r>
    <x v="58"/>
    <x v="10"/>
    <x v="0"/>
    <x v="0"/>
    <x v="716"/>
    <x v="0"/>
    <n v="447.55"/>
    <x v="716"/>
    <x v="716"/>
    <x v="5"/>
    <x v="3"/>
  </r>
  <r>
    <x v="36"/>
    <x v="10"/>
    <x v="0"/>
    <x v="0"/>
    <x v="717"/>
    <x v="1"/>
    <n v="521.04"/>
    <x v="717"/>
    <x v="717"/>
    <x v="1"/>
    <x v="3"/>
  </r>
  <r>
    <x v="53"/>
    <x v="8"/>
    <x v="1"/>
    <x v="0"/>
    <x v="718"/>
    <x v="0"/>
    <n v="361.69"/>
    <x v="718"/>
    <x v="718"/>
    <x v="3"/>
    <x v="4"/>
  </r>
  <r>
    <x v="21"/>
    <x v="13"/>
    <x v="0"/>
    <x v="1"/>
    <x v="719"/>
    <x v="0"/>
    <n v="1524.38"/>
    <x v="719"/>
    <x v="719"/>
    <x v="3"/>
    <x v="1"/>
  </r>
  <r>
    <x v="34"/>
    <x v="12"/>
    <x v="2"/>
    <x v="0"/>
    <x v="720"/>
    <x v="2"/>
    <n v="1933.99"/>
    <x v="720"/>
    <x v="720"/>
    <x v="0"/>
    <x v="4"/>
  </r>
  <r>
    <x v="32"/>
    <x v="5"/>
    <x v="1"/>
    <x v="0"/>
    <x v="721"/>
    <x v="0"/>
    <n v="1223.46"/>
    <x v="721"/>
    <x v="721"/>
    <x v="3"/>
    <x v="2"/>
  </r>
  <r>
    <x v="48"/>
    <x v="2"/>
    <x v="2"/>
    <x v="0"/>
    <x v="722"/>
    <x v="0"/>
    <n v="2096.8200000000002"/>
    <x v="722"/>
    <x v="722"/>
    <x v="2"/>
    <x v="1"/>
  </r>
  <r>
    <x v="15"/>
    <x v="12"/>
    <x v="0"/>
    <x v="1"/>
    <x v="723"/>
    <x v="0"/>
    <n v="422.84"/>
    <x v="723"/>
    <x v="723"/>
    <x v="5"/>
    <x v="4"/>
  </r>
  <r>
    <x v="14"/>
    <x v="4"/>
    <x v="0"/>
    <x v="0"/>
    <x v="724"/>
    <x v="0"/>
    <n v="503.42"/>
    <x v="724"/>
    <x v="724"/>
    <x v="5"/>
    <x v="0"/>
  </r>
  <r>
    <x v="19"/>
    <x v="14"/>
    <x v="0"/>
    <x v="2"/>
    <x v="725"/>
    <x v="0"/>
    <n v="1982.55"/>
    <x v="725"/>
    <x v="725"/>
    <x v="0"/>
    <x v="3"/>
  </r>
  <r>
    <x v="21"/>
    <x v="5"/>
    <x v="2"/>
    <x v="1"/>
    <x v="726"/>
    <x v="0"/>
    <n v="764.42"/>
    <x v="726"/>
    <x v="726"/>
    <x v="3"/>
    <x v="2"/>
  </r>
  <r>
    <x v="61"/>
    <x v="1"/>
    <x v="2"/>
    <x v="0"/>
    <x v="727"/>
    <x v="1"/>
    <n v="1620.67"/>
    <x v="727"/>
    <x v="727"/>
    <x v="5"/>
    <x v="1"/>
  </r>
  <r>
    <x v="35"/>
    <x v="15"/>
    <x v="0"/>
    <x v="0"/>
    <x v="728"/>
    <x v="1"/>
    <n v="316.41000000000003"/>
    <x v="728"/>
    <x v="728"/>
    <x v="1"/>
    <x v="0"/>
  </r>
  <r>
    <x v="57"/>
    <x v="0"/>
    <x v="1"/>
    <x v="0"/>
    <x v="729"/>
    <x v="2"/>
    <n v="1946.01"/>
    <x v="729"/>
    <x v="729"/>
    <x v="2"/>
    <x v="0"/>
  </r>
  <r>
    <x v="1"/>
    <x v="6"/>
    <x v="2"/>
    <x v="0"/>
    <x v="730"/>
    <x v="0"/>
    <n v="539.36"/>
    <x v="730"/>
    <x v="730"/>
    <x v="1"/>
    <x v="3"/>
  </r>
  <r>
    <x v="21"/>
    <x v="7"/>
    <x v="0"/>
    <x v="2"/>
    <x v="731"/>
    <x v="1"/>
    <n v="6178.44"/>
    <x v="731"/>
    <x v="731"/>
    <x v="3"/>
    <x v="0"/>
  </r>
  <r>
    <x v="72"/>
    <x v="0"/>
    <x v="1"/>
    <x v="2"/>
    <x v="732"/>
    <x v="0"/>
    <n v="1121.96"/>
    <x v="732"/>
    <x v="732"/>
    <x v="6"/>
    <x v="0"/>
  </r>
  <r>
    <x v="31"/>
    <x v="3"/>
    <x v="2"/>
    <x v="0"/>
    <x v="733"/>
    <x v="0"/>
    <n v="1344.36"/>
    <x v="733"/>
    <x v="733"/>
    <x v="0"/>
    <x v="2"/>
  </r>
  <r>
    <x v="14"/>
    <x v="8"/>
    <x v="1"/>
    <x v="1"/>
    <x v="734"/>
    <x v="0"/>
    <n v="610.07000000000005"/>
    <x v="734"/>
    <x v="734"/>
    <x v="5"/>
    <x v="4"/>
  </r>
  <r>
    <x v="64"/>
    <x v="3"/>
    <x v="0"/>
    <x v="3"/>
    <x v="735"/>
    <x v="0"/>
    <n v="1928.7"/>
    <x v="735"/>
    <x v="735"/>
    <x v="5"/>
    <x v="2"/>
  </r>
  <r>
    <x v="11"/>
    <x v="0"/>
    <x v="1"/>
    <x v="1"/>
    <x v="736"/>
    <x v="0"/>
    <n v="1136.8800000000001"/>
    <x v="736"/>
    <x v="736"/>
    <x v="4"/>
    <x v="0"/>
  </r>
  <r>
    <x v="34"/>
    <x v="11"/>
    <x v="1"/>
    <x v="0"/>
    <x v="737"/>
    <x v="0"/>
    <n v="1458.98"/>
    <x v="737"/>
    <x v="737"/>
    <x v="0"/>
    <x v="4"/>
  </r>
  <r>
    <x v="5"/>
    <x v="3"/>
    <x v="0"/>
    <x v="1"/>
    <x v="738"/>
    <x v="0"/>
    <n v="1063.01"/>
    <x v="738"/>
    <x v="738"/>
    <x v="0"/>
    <x v="2"/>
  </r>
  <r>
    <x v="28"/>
    <x v="4"/>
    <x v="0"/>
    <x v="1"/>
    <x v="739"/>
    <x v="1"/>
    <n v="1874.39"/>
    <x v="739"/>
    <x v="739"/>
    <x v="0"/>
    <x v="0"/>
  </r>
  <r>
    <x v="34"/>
    <x v="1"/>
    <x v="2"/>
    <x v="0"/>
    <x v="740"/>
    <x v="0"/>
    <n v="4064.33"/>
    <x v="740"/>
    <x v="740"/>
    <x v="0"/>
    <x v="1"/>
  </r>
  <r>
    <x v="1"/>
    <x v="2"/>
    <x v="1"/>
    <x v="0"/>
    <x v="741"/>
    <x v="1"/>
    <n v="487.19"/>
    <x v="741"/>
    <x v="741"/>
    <x v="1"/>
    <x v="1"/>
  </r>
  <r>
    <x v="0"/>
    <x v="7"/>
    <x v="0"/>
    <x v="2"/>
    <x v="742"/>
    <x v="0"/>
    <n v="1395.78"/>
    <x v="742"/>
    <x v="742"/>
    <x v="0"/>
    <x v="0"/>
  </r>
  <r>
    <x v="63"/>
    <x v="5"/>
    <x v="0"/>
    <x v="0"/>
    <x v="743"/>
    <x v="0"/>
    <n v="199.62"/>
    <x v="743"/>
    <x v="743"/>
    <x v="6"/>
    <x v="2"/>
  </r>
  <r>
    <x v="21"/>
    <x v="2"/>
    <x v="2"/>
    <x v="2"/>
    <x v="744"/>
    <x v="1"/>
    <n v="1326.35"/>
    <x v="744"/>
    <x v="744"/>
    <x v="3"/>
    <x v="1"/>
  </r>
  <r>
    <x v="6"/>
    <x v="1"/>
    <x v="0"/>
    <x v="0"/>
    <x v="745"/>
    <x v="0"/>
    <n v="491.27"/>
    <x v="745"/>
    <x v="745"/>
    <x v="2"/>
    <x v="1"/>
  </r>
  <r>
    <x v="35"/>
    <x v="4"/>
    <x v="2"/>
    <x v="0"/>
    <x v="746"/>
    <x v="0"/>
    <n v="1908.09"/>
    <x v="746"/>
    <x v="746"/>
    <x v="1"/>
    <x v="0"/>
  </r>
  <r>
    <x v="48"/>
    <x v="11"/>
    <x v="1"/>
    <x v="1"/>
    <x v="747"/>
    <x v="0"/>
    <n v="2225.7800000000002"/>
    <x v="747"/>
    <x v="747"/>
    <x v="2"/>
    <x v="4"/>
  </r>
  <r>
    <x v="57"/>
    <x v="10"/>
    <x v="2"/>
    <x v="1"/>
    <x v="748"/>
    <x v="0"/>
    <n v="812.79"/>
    <x v="748"/>
    <x v="748"/>
    <x v="2"/>
    <x v="3"/>
  </r>
  <r>
    <x v="6"/>
    <x v="9"/>
    <x v="2"/>
    <x v="0"/>
    <x v="749"/>
    <x v="0"/>
    <n v="1076.3800000000001"/>
    <x v="749"/>
    <x v="749"/>
    <x v="2"/>
    <x v="2"/>
  </r>
  <r>
    <x v="46"/>
    <x v="15"/>
    <x v="2"/>
    <x v="0"/>
    <x v="750"/>
    <x v="0"/>
    <n v="1191.18"/>
    <x v="750"/>
    <x v="750"/>
    <x v="0"/>
    <x v="0"/>
  </r>
  <r>
    <x v="60"/>
    <x v="3"/>
    <x v="0"/>
    <x v="0"/>
    <x v="751"/>
    <x v="0"/>
    <n v="385.13"/>
    <x v="751"/>
    <x v="751"/>
    <x v="4"/>
    <x v="2"/>
  </r>
  <r>
    <x v="17"/>
    <x v="13"/>
    <x v="0"/>
    <x v="1"/>
    <x v="752"/>
    <x v="1"/>
    <n v="2401.11"/>
    <x v="752"/>
    <x v="752"/>
    <x v="0"/>
    <x v="1"/>
  </r>
  <r>
    <x v="22"/>
    <x v="7"/>
    <x v="0"/>
    <x v="0"/>
    <x v="753"/>
    <x v="0"/>
    <n v="912.86"/>
    <x v="753"/>
    <x v="753"/>
    <x v="1"/>
    <x v="0"/>
  </r>
  <r>
    <x v="9"/>
    <x v="10"/>
    <x v="0"/>
    <x v="0"/>
    <x v="754"/>
    <x v="1"/>
    <n v="577"/>
    <x v="754"/>
    <x v="754"/>
    <x v="3"/>
    <x v="3"/>
  </r>
  <r>
    <x v="27"/>
    <x v="3"/>
    <x v="0"/>
    <x v="0"/>
    <x v="755"/>
    <x v="1"/>
    <n v="820.95"/>
    <x v="755"/>
    <x v="755"/>
    <x v="0"/>
    <x v="2"/>
  </r>
  <r>
    <x v="31"/>
    <x v="2"/>
    <x v="0"/>
    <x v="0"/>
    <x v="756"/>
    <x v="0"/>
    <n v="720.84"/>
    <x v="756"/>
    <x v="756"/>
    <x v="0"/>
    <x v="1"/>
  </r>
  <r>
    <x v="53"/>
    <x v="4"/>
    <x v="0"/>
    <x v="1"/>
    <x v="757"/>
    <x v="0"/>
    <n v="2518.85"/>
    <x v="757"/>
    <x v="757"/>
    <x v="3"/>
    <x v="0"/>
  </r>
  <r>
    <x v="42"/>
    <x v="7"/>
    <x v="1"/>
    <x v="0"/>
    <x v="758"/>
    <x v="2"/>
    <n v="1303.25"/>
    <x v="758"/>
    <x v="758"/>
    <x v="3"/>
    <x v="0"/>
  </r>
  <r>
    <x v="17"/>
    <x v="2"/>
    <x v="2"/>
    <x v="0"/>
    <x v="759"/>
    <x v="0"/>
    <n v="1285.6300000000001"/>
    <x v="759"/>
    <x v="759"/>
    <x v="0"/>
    <x v="1"/>
  </r>
  <r>
    <x v="47"/>
    <x v="4"/>
    <x v="0"/>
    <x v="0"/>
    <x v="760"/>
    <x v="0"/>
    <n v="421.34"/>
    <x v="760"/>
    <x v="760"/>
    <x v="5"/>
    <x v="0"/>
  </r>
  <r>
    <x v="7"/>
    <x v="1"/>
    <x v="2"/>
    <x v="0"/>
    <x v="761"/>
    <x v="0"/>
    <n v="2316.81"/>
    <x v="761"/>
    <x v="761"/>
    <x v="0"/>
    <x v="1"/>
  </r>
  <r>
    <x v="5"/>
    <x v="4"/>
    <x v="1"/>
    <x v="2"/>
    <x v="762"/>
    <x v="1"/>
    <n v="2389.56"/>
    <x v="762"/>
    <x v="762"/>
    <x v="0"/>
    <x v="0"/>
  </r>
  <r>
    <x v="37"/>
    <x v="5"/>
    <x v="1"/>
    <x v="2"/>
    <x v="763"/>
    <x v="1"/>
    <n v="868.45"/>
    <x v="763"/>
    <x v="763"/>
    <x v="4"/>
    <x v="2"/>
  </r>
  <r>
    <x v="36"/>
    <x v="4"/>
    <x v="0"/>
    <x v="0"/>
    <x v="764"/>
    <x v="0"/>
    <n v="2378.38"/>
    <x v="764"/>
    <x v="764"/>
    <x v="1"/>
    <x v="0"/>
  </r>
  <r>
    <x v="10"/>
    <x v="4"/>
    <x v="0"/>
    <x v="1"/>
    <x v="765"/>
    <x v="0"/>
    <n v="2255.96"/>
    <x v="765"/>
    <x v="765"/>
    <x v="2"/>
    <x v="0"/>
  </r>
  <r>
    <x v="23"/>
    <x v="15"/>
    <x v="2"/>
    <x v="0"/>
    <x v="766"/>
    <x v="2"/>
    <n v="1162.92"/>
    <x v="766"/>
    <x v="766"/>
    <x v="2"/>
    <x v="0"/>
  </r>
  <r>
    <x v="39"/>
    <x v="3"/>
    <x v="1"/>
    <x v="0"/>
    <x v="767"/>
    <x v="1"/>
    <n v="902.57"/>
    <x v="767"/>
    <x v="767"/>
    <x v="0"/>
    <x v="2"/>
  </r>
  <r>
    <x v="2"/>
    <x v="8"/>
    <x v="0"/>
    <x v="1"/>
    <x v="768"/>
    <x v="0"/>
    <n v="1506.04"/>
    <x v="768"/>
    <x v="768"/>
    <x v="0"/>
    <x v="4"/>
  </r>
  <r>
    <x v="47"/>
    <x v="4"/>
    <x v="0"/>
    <x v="0"/>
    <x v="769"/>
    <x v="0"/>
    <n v="544.91999999999996"/>
    <x v="769"/>
    <x v="769"/>
    <x v="5"/>
    <x v="0"/>
  </r>
  <r>
    <x v="41"/>
    <x v="15"/>
    <x v="2"/>
    <x v="1"/>
    <x v="770"/>
    <x v="0"/>
    <n v="3698.69"/>
    <x v="770"/>
    <x v="770"/>
    <x v="2"/>
    <x v="0"/>
  </r>
  <r>
    <x v="29"/>
    <x v="1"/>
    <x v="0"/>
    <x v="3"/>
    <x v="771"/>
    <x v="0"/>
    <n v="1631.47"/>
    <x v="771"/>
    <x v="771"/>
    <x v="3"/>
    <x v="1"/>
  </r>
  <r>
    <x v="6"/>
    <x v="14"/>
    <x v="2"/>
    <x v="0"/>
    <x v="772"/>
    <x v="0"/>
    <n v="866.6"/>
    <x v="772"/>
    <x v="772"/>
    <x v="2"/>
    <x v="3"/>
  </r>
  <r>
    <x v="10"/>
    <x v="14"/>
    <x v="2"/>
    <x v="1"/>
    <x v="773"/>
    <x v="1"/>
    <n v="704.36"/>
    <x v="773"/>
    <x v="773"/>
    <x v="2"/>
    <x v="3"/>
  </r>
  <r>
    <x v="57"/>
    <x v="2"/>
    <x v="0"/>
    <x v="0"/>
    <x v="774"/>
    <x v="0"/>
    <n v="1375.39"/>
    <x v="774"/>
    <x v="774"/>
    <x v="2"/>
    <x v="1"/>
  </r>
  <r>
    <x v="32"/>
    <x v="4"/>
    <x v="0"/>
    <x v="0"/>
    <x v="775"/>
    <x v="1"/>
    <n v="1919.66"/>
    <x v="775"/>
    <x v="775"/>
    <x v="3"/>
    <x v="0"/>
  </r>
  <r>
    <x v="22"/>
    <x v="13"/>
    <x v="0"/>
    <x v="1"/>
    <x v="776"/>
    <x v="0"/>
    <n v="3276.39"/>
    <x v="776"/>
    <x v="776"/>
    <x v="1"/>
    <x v="1"/>
  </r>
  <r>
    <x v="62"/>
    <x v="2"/>
    <x v="2"/>
    <x v="0"/>
    <x v="777"/>
    <x v="0"/>
    <n v="991.82"/>
    <x v="777"/>
    <x v="777"/>
    <x v="1"/>
    <x v="1"/>
  </r>
  <r>
    <x v="69"/>
    <x v="1"/>
    <x v="0"/>
    <x v="0"/>
    <x v="778"/>
    <x v="1"/>
    <n v="712.29"/>
    <x v="778"/>
    <x v="778"/>
    <x v="6"/>
    <x v="1"/>
  </r>
  <r>
    <x v="3"/>
    <x v="4"/>
    <x v="0"/>
    <x v="1"/>
    <x v="779"/>
    <x v="0"/>
    <n v="2459.67"/>
    <x v="779"/>
    <x v="779"/>
    <x v="0"/>
    <x v="0"/>
  </r>
  <r>
    <x v="27"/>
    <x v="3"/>
    <x v="1"/>
    <x v="0"/>
    <x v="780"/>
    <x v="0"/>
    <n v="1794.96"/>
    <x v="780"/>
    <x v="780"/>
    <x v="0"/>
    <x v="2"/>
  </r>
  <r>
    <x v="27"/>
    <x v="4"/>
    <x v="1"/>
    <x v="2"/>
    <x v="781"/>
    <x v="1"/>
    <n v="8479.07"/>
    <x v="781"/>
    <x v="781"/>
    <x v="0"/>
    <x v="0"/>
  </r>
  <r>
    <x v="6"/>
    <x v="4"/>
    <x v="2"/>
    <x v="0"/>
    <x v="782"/>
    <x v="0"/>
    <n v="544.79999999999995"/>
    <x v="782"/>
    <x v="782"/>
    <x v="2"/>
    <x v="0"/>
  </r>
  <r>
    <x v="37"/>
    <x v="4"/>
    <x v="0"/>
    <x v="0"/>
    <x v="783"/>
    <x v="0"/>
    <n v="1262.67"/>
    <x v="783"/>
    <x v="783"/>
    <x v="4"/>
    <x v="0"/>
  </r>
  <r>
    <x v="4"/>
    <x v="6"/>
    <x v="2"/>
    <x v="0"/>
    <x v="784"/>
    <x v="0"/>
    <n v="1193.57"/>
    <x v="784"/>
    <x v="784"/>
    <x v="2"/>
    <x v="3"/>
  </r>
  <r>
    <x v="12"/>
    <x v="3"/>
    <x v="2"/>
    <x v="0"/>
    <x v="785"/>
    <x v="0"/>
    <n v="279.54000000000002"/>
    <x v="785"/>
    <x v="785"/>
    <x v="4"/>
    <x v="2"/>
  </r>
  <r>
    <x v="2"/>
    <x v="5"/>
    <x v="2"/>
    <x v="1"/>
    <x v="786"/>
    <x v="0"/>
    <n v="1717.78"/>
    <x v="786"/>
    <x v="786"/>
    <x v="0"/>
    <x v="2"/>
  </r>
  <r>
    <x v="32"/>
    <x v="15"/>
    <x v="1"/>
    <x v="0"/>
    <x v="787"/>
    <x v="1"/>
    <n v="3251.69"/>
    <x v="787"/>
    <x v="787"/>
    <x v="3"/>
    <x v="0"/>
  </r>
  <r>
    <x v="29"/>
    <x v="15"/>
    <x v="1"/>
    <x v="1"/>
    <x v="788"/>
    <x v="1"/>
    <n v="2008.9"/>
    <x v="788"/>
    <x v="788"/>
    <x v="3"/>
    <x v="0"/>
  </r>
  <r>
    <x v="28"/>
    <x v="13"/>
    <x v="1"/>
    <x v="0"/>
    <x v="789"/>
    <x v="1"/>
    <n v="965"/>
    <x v="789"/>
    <x v="789"/>
    <x v="0"/>
    <x v="1"/>
  </r>
  <r>
    <x v="67"/>
    <x v="14"/>
    <x v="1"/>
    <x v="0"/>
    <x v="790"/>
    <x v="0"/>
    <n v="744.75"/>
    <x v="790"/>
    <x v="790"/>
    <x v="1"/>
    <x v="3"/>
  </r>
  <r>
    <x v="31"/>
    <x v="6"/>
    <x v="0"/>
    <x v="0"/>
    <x v="791"/>
    <x v="1"/>
    <n v="1264.1500000000001"/>
    <x v="791"/>
    <x v="791"/>
    <x v="0"/>
    <x v="3"/>
  </r>
  <r>
    <x v="15"/>
    <x v="10"/>
    <x v="1"/>
    <x v="0"/>
    <x v="792"/>
    <x v="0"/>
    <n v="404.24"/>
    <x v="792"/>
    <x v="792"/>
    <x v="5"/>
    <x v="3"/>
  </r>
  <r>
    <x v="21"/>
    <x v="1"/>
    <x v="0"/>
    <x v="1"/>
    <x v="793"/>
    <x v="0"/>
    <n v="2264.0100000000002"/>
    <x v="793"/>
    <x v="793"/>
    <x v="3"/>
    <x v="1"/>
  </r>
  <r>
    <x v="28"/>
    <x v="10"/>
    <x v="1"/>
    <x v="0"/>
    <x v="794"/>
    <x v="0"/>
    <n v="2282.0700000000002"/>
    <x v="794"/>
    <x v="794"/>
    <x v="0"/>
    <x v="3"/>
  </r>
  <r>
    <x v="8"/>
    <x v="13"/>
    <x v="0"/>
    <x v="2"/>
    <x v="795"/>
    <x v="1"/>
    <n v="1566.26"/>
    <x v="795"/>
    <x v="795"/>
    <x v="0"/>
    <x v="1"/>
  </r>
  <r>
    <x v="38"/>
    <x v="14"/>
    <x v="0"/>
    <x v="0"/>
    <x v="796"/>
    <x v="0"/>
    <n v="702.29"/>
    <x v="796"/>
    <x v="796"/>
    <x v="5"/>
    <x v="3"/>
  </r>
  <r>
    <x v="19"/>
    <x v="4"/>
    <x v="0"/>
    <x v="0"/>
    <x v="797"/>
    <x v="1"/>
    <n v="730.06"/>
    <x v="797"/>
    <x v="797"/>
    <x v="0"/>
    <x v="0"/>
  </r>
  <r>
    <x v="9"/>
    <x v="6"/>
    <x v="0"/>
    <x v="2"/>
    <x v="798"/>
    <x v="1"/>
    <n v="1091.57"/>
    <x v="798"/>
    <x v="798"/>
    <x v="3"/>
    <x v="3"/>
  </r>
  <r>
    <x v="33"/>
    <x v="5"/>
    <x v="0"/>
    <x v="1"/>
    <x v="799"/>
    <x v="0"/>
    <n v="919.88"/>
    <x v="799"/>
    <x v="799"/>
    <x v="3"/>
    <x v="2"/>
  </r>
  <r>
    <x v="65"/>
    <x v="9"/>
    <x v="1"/>
    <x v="1"/>
    <x v="800"/>
    <x v="0"/>
    <n v="1141.97"/>
    <x v="800"/>
    <x v="800"/>
    <x v="3"/>
    <x v="2"/>
  </r>
  <r>
    <x v="55"/>
    <x v="6"/>
    <x v="0"/>
    <x v="3"/>
    <x v="801"/>
    <x v="0"/>
    <n v="1146.6199999999999"/>
    <x v="801"/>
    <x v="801"/>
    <x v="6"/>
    <x v="3"/>
  </r>
  <r>
    <x v="17"/>
    <x v="6"/>
    <x v="0"/>
    <x v="1"/>
    <x v="802"/>
    <x v="0"/>
    <n v="2433.15"/>
    <x v="802"/>
    <x v="802"/>
    <x v="0"/>
    <x v="3"/>
  </r>
  <r>
    <x v="23"/>
    <x v="13"/>
    <x v="0"/>
    <x v="1"/>
    <x v="803"/>
    <x v="0"/>
    <n v="948.04"/>
    <x v="803"/>
    <x v="803"/>
    <x v="2"/>
    <x v="1"/>
  </r>
  <r>
    <x v="60"/>
    <x v="3"/>
    <x v="1"/>
    <x v="1"/>
    <x v="804"/>
    <x v="0"/>
    <n v="1355.81"/>
    <x v="804"/>
    <x v="804"/>
    <x v="4"/>
    <x v="2"/>
  </r>
  <r>
    <x v="30"/>
    <x v="2"/>
    <x v="0"/>
    <x v="1"/>
    <x v="805"/>
    <x v="0"/>
    <n v="1035.22"/>
    <x v="805"/>
    <x v="805"/>
    <x v="2"/>
    <x v="1"/>
  </r>
  <r>
    <x v="46"/>
    <x v="5"/>
    <x v="0"/>
    <x v="1"/>
    <x v="806"/>
    <x v="0"/>
    <n v="1275.92"/>
    <x v="806"/>
    <x v="806"/>
    <x v="0"/>
    <x v="2"/>
  </r>
  <r>
    <x v="60"/>
    <x v="15"/>
    <x v="1"/>
    <x v="2"/>
    <x v="807"/>
    <x v="0"/>
    <n v="1666.7"/>
    <x v="807"/>
    <x v="807"/>
    <x v="4"/>
    <x v="0"/>
  </r>
  <r>
    <x v="36"/>
    <x v="15"/>
    <x v="0"/>
    <x v="0"/>
    <x v="808"/>
    <x v="0"/>
    <n v="1329.88"/>
    <x v="808"/>
    <x v="808"/>
    <x v="1"/>
    <x v="0"/>
  </r>
  <r>
    <x v="59"/>
    <x v="15"/>
    <x v="0"/>
    <x v="2"/>
    <x v="809"/>
    <x v="0"/>
    <n v="791.89"/>
    <x v="809"/>
    <x v="809"/>
    <x v="5"/>
    <x v="0"/>
  </r>
  <r>
    <x v="34"/>
    <x v="11"/>
    <x v="0"/>
    <x v="0"/>
    <x v="810"/>
    <x v="1"/>
    <n v="1070.49"/>
    <x v="810"/>
    <x v="810"/>
    <x v="0"/>
    <x v="4"/>
  </r>
  <r>
    <x v="20"/>
    <x v="1"/>
    <x v="2"/>
    <x v="1"/>
    <x v="811"/>
    <x v="0"/>
    <n v="932.28"/>
    <x v="811"/>
    <x v="811"/>
    <x v="3"/>
    <x v="1"/>
  </r>
  <r>
    <x v="65"/>
    <x v="1"/>
    <x v="2"/>
    <x v="0"/>
    <x v="812"/>
    <x v="0"/>
    <n v="1030.99"/>
    <x v="812"/>
    <x v="812"/>
    <x v="3"/>
    <x v="1"/>
  </r>
  <r>
    <x v="32"/>
    <x v="10"/>
    <x v="2"/>
    <x v="1"/>
    <x v="813"/>
    <x v="0"/>
    <n v="1809.89"/>
    <x v="813"/>
    <x v="813"/>
    <x v="3"/>
    <x v="3"/>
  </r>
  <r>
    <x v="55"/>
    <x v="2"/>
    <x v="0"/>
    <x v="1"/>
    <x v="814"/>
    <x v="0"/>
    <n v="769.8"/>
    <x v="814"/>
    <x v="814"/>
    <x v="6"/>
    <x v="1"/>
  </r>
  <r>
    <x v="44"/>
    <x v="13"/>
    <x v="2"/>
    <x v="1"/>
    <x v="815"/>
    <x v="0"/>
    <n v="553.73"/>
    <x v="815"/>
    <x v="815"/>
    <x v="6"/>
    <x v="1"/>
  </r>
  <r>
    <x v="50"/>
    <x v="4"/>
    <x v="0"/>
    <x v="0"/>
    <x v="816"/>
    <x v="0"/>
    <n v="1863.58"/>
    <x v="816"/>
    <x v="816"/>
    <x v="4"/>
    <x v="0"/>
  </r>
  <r>
    <x v="60"/>
    <x v="15"/>
    <x v="2"/>
    <x v="0"/>
    <x v="817"/>
    <x v="0"/>
    <n v="609.24"/>
    <x v="817"/>
    <x v="817"/>
    <x v="4"/>
    <x v="0"/>
  </r>
  <r>
    <x v="25"/>
    <x v="15"/>
    <x v="2"/>
    <x v="0"/>
    <x v="818"/>
    <x v="0"/>
    <n v="1080.3399999999999"/>
    <x v="818"/>
    <x v="818"/>
    <x v="3"/>
    <x v="0"/>
  </r>
  <r>
    <x v="31"/>
    <x v="12"/>
    <x v="1"/>
    <x v="1"/>
    <x v="819"/>
    <x v="0"/>
    <n v="1825.31"/>
    <x v="819"/>
    <x v="819"/>
    <x v="0"/>
    <x v="4"/>
  </r>
  <r>
    <x v="52"/>
    <x v="3"/>
    <x v="2"/>
    <x v="0"/>
    <x v="820"/>
    <x v="1"/>
    <n v="872.05"/>
    <x v="820"/>
    <x v="820"/>
    <x v="0"/>
    <x v="2"/>
  </r>
  <r>
    <x v="69"/>
    <x v="15"/>
    <x v="1"/>
    <x v="0"/>
    <x v="821"/>
    <x v="0"/>
    <n v="330.28"/>
    <x v="821"/>
    <x v="821"/>
    <x v="6"/>
    <x v="0"/>
  </r>
  <r>
    <x v="30"/>
    <x v="3"/>
    <x v="1"/>
    <x v="0"/>
    <x v="822"/>
    <x v="0"/>
    <n v="594.62"/>
    <x v="822"/>
    <x v="822"/>
    <x v="2"/>
    <x v="2"/>
  </r>
  <r>
    <x v="20"/>
    <x v="3"/>
    <x v="1"/>
    <x v="0"/>
    <x v="823"/>
    <x v="0"/>
    <n v="1189.04"/>
    <x v="823"/>
    <x v="823"/>
    <x v="3"/>
    <x v="2"/>
  </r>
  <r>
    <x v="34"/>
    <x v="5"/>
    <x v="0"/>
    <x v="1"/>
    <x v="824"/>
    <x v="0"/>
    <n v="1326.37"/>
    <x v="824"/>
    <x v="824"/>
    <x v="0"/>
    <x v="2"/>
  </r>
  <r>
    <x v="27"/>
    <x v="9"/>
    <x v="2"/>
    <x v="0"/>
    <x v="825"/>
    <x v="0"/>
    <n v="1241.24"/>
    <x v="825"/>
    <x v="825"/>
    <x v="0"/>
    <x v="2"/>
  </r>
  <r>
    <x v="14"/>
    <x v="7"/>
    <x v="2"/>
    <x v="0"/>
    <x v="826"/>
    <x v="0"/>
    <n v="1066.99"/>
    <x v="826"/>
    <x v="826"/>
    <x v="5"/>
    <x v="0"/>
  </r>
  <r>
    <x v="41"/>
    <x v="15"/>
    <x v="1"/>
    <x v="0"/>
    <x v="827"/>
    <x v="0"/>
    <n v="1307.26"/>
    <x v="827"/>
    <x v="827"/>
    <x v="2"/>
    <x v="0"/>
  </r>
  <r>
    <x v="27"/>
    <x v="14"/>
    <x v="2"/>
    <x v="0"/>
    <x v="828"/>
    <x v="0"/>
    <n v="1132.1400000000001"/>
    <x v="828"/>
    <x v="828"/>
    <x v="0"/>
    <x v="3"/>
  </r>
  <r>
    <x v="21"/>
    <x v="10"/>
    <x v="1"/>
    <x v="0"/>
    <x v="829"/>
    <x v="0"/>
    <n v="796.17"/>
    <x v="829"/>
    <x v="829"/>
    <x v="3"/>
    <x v="3"/>
  </r>
  <r>
    <x v="34"/>
    <x v="6"/>
    <x v="0"/>
    <x v="0"/>
    <x v="830"/>
    <x v="0"/>
    <n v="1449.74"/>
    <x v="830"/>
    <x v="830"/>
    <x v="0"/>
    <x v="3"/>
  </r>
  <r>
    <x v="56"/>
    <x v="3"/>
    <x v="2"/>
    <x v="0"/>
    <x v="831"/>
    <x v="0"/>
    <n v="358.69"/>
    <x v="831"/>
    <x v="831"/>
    <x v="4"/>
    <x v="2"/>
  </r>
  <r>
    <x v="9"/>
    <x v="7"/>
    <x v="0"/>
    <x v="0"/>
    <x v="832"/>
    <x v="0"/>
    <n v="1332.58"/>
    <x v="832"/>
    <x v="832"/>
    <x v="3"/>
    <x v="0"/>
  </r>
  <r>
    <x v="34"/>
    <x v="8"/>
    <x v="0"/>
    <x v="0"/>
    <x v="833"/>
    <x v="0"/>
    <n v="530.57000000000005"/>
    <x v="833"/>
    <x v="833"/>
    <x v="0"/>
    <x v="4"/>
  </r>
  <r>
    <x v="32"/>
    <x v="1"/>
    <x v="0"/>
    <x v="0"/>
    <x v="834"/>
    <x v="0"/>
    <n v="828.65"/>
    <x v="834"/>
    <x v="834"/>
    <x v="3"/>
    <x v="1"/>
  </r>
  <r>
    <x v="33"/>
    <x v="7"/>
    <x v="0"/>
    <x v="0"/>
    <x v="835"/>
    <x v="0"/>
    <n v="1509.06"/>
    <x v="835"/>
    <x v="835"/>
    <x v="3"/>
    <x v="0"/>
  </r>
  <r>
    <x v="16"/>
    <x v="15"/>
    <x v="0"/>
    <x v="0"/>
    <x v="836"/>
    <x v="0"/>
    <n v="1027.18"/>
    <x v="836"/>
    <x v="836"/>
    <x v="4"/>
    <x v="0"/>
  </r>
  <r>
    <x v="15"/>
    <x v="1"/>
    <x v="0"/>
    <x v="1"/>
    <x v="837"/>
    <x v="0"/>
    <n v="473.94"/>
    <x v="837"/>
    <x v="837"/>
    <x v="5"/>
    <x v="1"/>
  </r>
  <r>
    <x v="12"/>
    <x v="12"/>
    <x v="0"/>
    <x v="0"/>
    <x v="838"/>
    <x v="1"/>
    <n v="417.95"/>
    <x v="838"/>
    <x v="838"/>
    <x v="4"/>
    <x v="4"/>
  </r>
  <r>
    <x v="41"/>
    <x v="10"/>
    <x v="2"/>
    <x v="0"/>
    <x v="839"/>
    <x v="0"/>
    <n v="710.54"/>
    <x v="839"/>
    <x v="839"/>
    <x v="2"/>
    <x v="3"/>
  </r>
  <r>
    <x v="57"/>
    <x v="15"/>
    <x v="0"/>
    <x v="0"/>
    <x v="840"/>
    <x v="1"/>
    <n v="852.46"/>
    <x v="840"/>
    <x v="840"/>
    <x v="2"/>
    <x v="0"/>
  </r>
  <r>
    <x v="60"/>
    <x v="6"/>
    <x v="0"/>
    <x v="0"/>
    <x v="841"/>
    <x v="0"/>
    <n v="621.82000000000005"/>
    <x v="841"/>
    <x v="841"/>
    <x v="4"/>
    <x v="3"/>
  </r>
  <r>
    <x v="53"/>
    <x v="11"/>
    <x v="0"/>
    <x v="2"/>
    <x v="842"/>
    <x v="0"/>
    <n v="1074.1600000000001"/>
    <x v="842"/>
    <x v="842"/>
    <x v="3"/>
    <x v="4"/>
  </r>
  <r>
    <x v="5"/>
    <x v="14"/>
    <x v="1"/>
    <x v="1"/>
    <x v="843"/>
    <x v="0"/>
    <n v="3916.44"/>
    <x v="843"/>
    <x v="843"/>
    <x v="0"/>
    <x v="3"/>
  </r>
  <r>
    <x v="67"/>
    <x v="6"/>
    <x v="2"/>
    <x v="0"/>
    <x v="844"/>
    <x v="0"/>
    <n v="949.6"/>
    <x v="844"/>
    <x v="844"/>
    <x v="1"/>
    <x v="3"/>
  </r>
  <r>
    <x v="4"/>
    <x v="10"/>
    <x v="0"/>
    <x v="0"/>
    <x v="845"/>
    <x v="0"/>
    <n v="675.17"/>
    <x v="845"/>
    <x v="845"/>
    <x v="2"/>
    <x v="3"/>
  </r>
  <r>
    <x v="28"/>
    <x v="1"/>
    <x v="0"/>
    <x v="0"/>
    <x v="846"/>
    <x v="0"/>
    <n v="2598.33"/>
    <x v="846"/>
    <x v="846"/>
    <x v="0"/>
    <x v="1"/>
  </r>
  <r>
    <x v="61"/>
    <x v="2"/>
    <x v="2"/>
    <x v="0"/>
    <x v="847"/>
    <x v="0"/>
    <n v="647.75"/>
    <x v="847"/>
    <x v="847"/>
    <x v="5"/>
    <x v="1"/>
  </r>
  <r>
    <x v="7"/>
    <x v="8"/>
    <x v="0"/>
    <x v="2"/>
    <x v="848"/>
    <x v="1"/>
    <n v="1742.36"/>
    <x v="848"/>
    <x v="848"/>
    <x v="0"/>
    <x v="4"/>
  </r>
  <r>
    <x v="19"/>
    <x v="14"/>
    <x v="0"/>
    <x v="0"/>
    <x v="849"/>
    <x v="0"/>
    <n v="782.06"/>
    <x v="849"/>
    <x v="849"/>
    <x v="0"/>
    <x v="3"/>
  </r>
  <r>
    <x v="5"/>
    <x v="8"/>
    <x v="0"/>
    <x v="1"/>
    <x v="850"/>
    <x v="1"/>
    <n v="918.96"/>
    <x v="850"/>
    <x v="850"/>
    <x v="0"/>
    <x v="4"/>
  </r>
  <r>
    <x v="62"/>
    <x v="2"/>
    <x v="0"/>
    <x v="0"/>
    <x v="851"/>
    <x v="0"/>
    <n v="459.37"/>
    <x v="851"/>
    <x v="851"/>
    <x v="1"/>
    <x v="1"/>
  </r>
  <r>
    <x v="49"/>
    <x v="2"/>
    <x v="1"/>
    <x v="0"/>
    <x v="852"/>
    <x v="0"/>
    <n v="935.33"/>
    <x v="852"/>
    <x v="852"/>
    <x v="2"/>
    <x v="1"/>
  </r>
  <r>
    <x v="13"/>
    <x v="2"/>
    <x v="0"/>
    <x v="0"/>
    <x v="853"/>
    <x v="0"/>
    <n v="1342.17"/>
    <x v="853"/>
    <x v="853"/>
    <x v="1"/>
    <x v="1"/>
  </r>
  <r>
    <x v="22"/>
    <x v="1"/>
    <x v="1"/>
    <x v="0"/>
    <x v="854"/>
    <x v="0"/>
    <n v="1544.71"/>
    <x v="854"/>
    <x v="854"/>
    <x v="1"/>
    <x v="1"/>
  </r>
  <r>
    <x v="11"/>
    <x v="5"/>
    <x v="1"/>
    <x v="1"/>
    <x v="855"/>
    <x v="0"/>
    <n v="1405.7"/>
    <x v="855"/>
    <x v="855"/>
    <x v="4"/>
    <x v="2"/>
  </r>
  <r>
    <x v="46"/>
    <x v="8"/>
    <x v="0"/>
    <x v="1"/>
    <x v="856"/>
    <x v="0"/>
    <n v="1188.83"/>
    <x v="856"/>
    <x v="856"/>
    <x v="0"/>
    <x v="4"/>
  </r>
  <r>
    <x v="40"/>
    <x v="12"/>
    <x v="1"/>
    <x v="0"/>
    <x v="857"/>
    <x v="0"/>
    <n v="583.66"/>
    <x v="857"/>
    <x v="857"/>
    <x v="4"/>
    <x v="4"/>
  </r>
  <r>
    <x v="54"/>
    <x v="7"/>
    <x v="2"/>
    <x v="0"/>
    <x v="858"/>
    <x v="0"/>
    <n v="795.67"/>
    <x v="858"/>
    <x v="858"/>
    <x v="0"/>
    <x v="0"/>
  </r>
  <r>
    <x v="35"/>
    <x v="13"/>
    <x v="0"/>
    <x v="0"/>
    <x v="859"/>
    <x v="0"/>
    <n v="501.07"/>
    <x v="859"/>
    <x v="859"/>
    <x v="1"/>
    <x v="1"/>
  </r>
  <r>
    <x v="20"/>
    <x v="8"/>
    <x v="1"/>
    <x v="0"/>
    <x v="860"/>
    <x v="0"/>
    <n v="1292.8399999999999"/>
    <x v="860"/>
    <x v="860"/>
    <x v="3"/>
    <x v="4"/>
  </r>
  <r>
    <x v="26"/>
    <x v="15"/>
    <x v="2"/>
    <x v="0"/>
    <x v="861"/>
    <x v="0"/>
    <n v="1098.5"/>
    <x v="861"/>
    <x v="861"/>
    <x v="1"/>
    <x v="0"/>
  </r>
  <r>
    <x v="35"/>
    <x v="2"/>
    <x v="2"/>
    <x v="0"/>
    <x v="862"/>
    <x v="0"/>
    <n v="550.73"/>
    <x v="862"/>
    <x v="862"/>
    <x v="1"/>
    <x v="1"/>
  </r>
  <r>
    <x v="0"/>
    <x v="10"/>
    <x v="0"/>
    <x v="1"/>
    <x v="863"/>
    <x v="0"/>
    <n v="1110"/>
    <x v="863"/>
    <x v="863"/>
    <x v="0"/>
    <x v="3"/>
  </r>
  <r>
    <x v="41"/>
    <x v="5"/>
    <x v="1"/>
    <x v="0"/>
    <x v="864"/>
    <x v="0"/>
    <n v="630.89"/>
    <x v="864"/>
    <x v="864"/>
    <x v="2"/>
    <x v="2"/>
  </r>
  <r>
    <x v="61"/>
    <x v="13"/>
    <x v="0"/>
    <x v="0"/>
    <x v="865"/>
    <x v="0"/>
    <n v="350.46"/>
    <x v="865"/>
    <x v="865"/>
    <x v="5"/>
    <x v="1"/>
  </r>
  <r>
    <x v="26"/>
    <x v="3"/>
    <x v="1"/>
    <x v="1"/>
    <x v="866"/>
    <x v="0"/>
    <n v="676.99"/>
    <x v="866"/>
    <x v="866"/>
    <x v="1"/>
    <x v="2"/>
  </r>
  <r>
    <x v="56"/>
    <x v="14"/>
    <x v="2"/>
    <x v="1"/>
    <x v="867"/>
    <x v="0"/>
    <n v="3042.28"/>
    <x v="867"/>
    <x v="867"/>
    <x v="4"/>
    <x v="3"/>
  </r>
  <r>
    <x v="41"/>
    <x v="8"/>
    <x v="0"/>
    <x v="0"/>
    <x v="868"/>
    <x v="0"/>
    <n v="845.13"/>
    <x v="868"/>
    <x v="868"/>
    <x v="2"/>
    <x v="4"/>
  </r>
  <r>
    <x v="2"/>
    <x v="13"/>
    <x v="0"/>
    <x v="0"/>
    <x v="869"/>
    <x v="1"/>
    <n v="1513.25"/>
    <x v="869"/>
    <x v="869"/>
    <x v="0"/>
    <x v="1"/>
  </r>
  <r>
    <x v="66"/>
    <x v="4"/>
    <x v="0"/>
    <x v="2"/>
    <x v="870"/>
    <x v="0"/>
    <n v="861.47"/>
    <x v="870"/>
    <x v="870"/>
    <x v="5"/>
    <x v="0"/>
  </r>
  <r>
    <x v="57"/>
    <x v="9"/>
    <x v="0"/>
    <x v="0"/>
    <x v="871"/>
    <x v="1"/>
    <n v="406.6"/>
    <x v="871"/>
    <x v="871"/>
    <x v="2"/>
    <x v="2"/>
  </r>
  <r>
    <x v="49"/>
    <x v="10"/>
    <x v="2"/>
    <x v="0"/>
    <x v="872"/>
    <x v="0"/>
    <n v="320.89"/>
    <x v="872"/>
    <x v="872"/>
    <x v="2"/>
    <x v="3"/>
  </r>
  <r>
    <x v="33"/>
    <x v="9"/>
    <x v="0"/>
    <x v="0"/>
    <x v="873"/>
    <x v="0"/>
    <n v="337.12"/>
    <x v="873"/>
    <x v="873"/>
    <x v="3"/>
    <x v="2"/>
  </r>
  <r>
    <x v="36"/>
    <x v="13"/>
    <x v="2"/>
    <x v="3"/>
    <x v="874"/>
    <x v="0"/>
    <n v="3491.56"/>
    <x v="874"/>
    <x v="874"/>
    <x v="1"/>
    <x v="1"/>
  </r>
  <r>
    <x v="40"/>
    <x v="12"/>
    <x v="0"/>
    <x v="1"/>
    <x v="875"/>
    <x v="0"/>
    <n v="430.41"/>
    <x v="875"/>
    <x v="875"/>
    <x v="4"/>
    <x v="4"/>
  </r>
  <r>
    <x v="47"/>
    <x v="7"/>
    <x v="2"/>
    <x v="2"/>
    <x v="876"/>
    <x v="0"/>
    <n v="747.05"/>
    <x v="876"/>
    <x v="876"/>
    <x v="5"/>
    <x v="0"/>
  </r>
  <r>
    <x v="11"/>
    <x v="15"/>
    <x v="2"/>
    <x v="0"/>
    <x v="877"/>
    <x v="1"/>
    <n v="567.29999999999995"/>
    <x v="877"/>
    <x v="877"/>
    <x v="4"/>
    <x v="0"/>
  </r>
  <r>
    <x v="32"/>
    <x v="3"/>
    <x v="0"/>
    <x v="0"/>
    <x v="878"/>
    <x v="0"/>
    <n v="1224.1400000000001"/>
    <x v="878"/>
    <x v="408"/>
    <x v="3"/>
    <x v="2"/>
  </r>
  <r>
    <x v="24"/>
    <x v="10"/>
    <x v="0"/>
    <x v="1"/>
    <x v="879"/>
    <x v="1"/>
    <n v="951.43"/>
    <x v="879"/>
    <x v="878"/>
    <x v="4"/>
    <x v="3"/>
  </r>
  <r>
    <x v="23"/>
    <x v="2"/>
    <x v="1"/>
    <x v="1"/>
    <x v="880"/>
    <x v="1"/>
    <n v="2355.3000000000002"/>
    <x v="880"/>
    <x v="879"/>
    <x v="2"/>
    <x v="1"/>
  </r>
  <r>
    <x v="69"/>
    <x v="14"/>
    <x v="1"/>
    <x v="0"/>
    <x v="881"/>
    <x v="0"/>
    <n v="459.05"/>
    <x v="881"/>
    <x v="880"/>
    <x v="6"/>
    <x v="3"/>
  </r>
  <r>
    <x v="19"/>
    <x v="13"/>
    <x v="0"/>
    <x v="0"/>
    <x v="882"/>
    <x v="0"/>
    <n v="730.21"/>
    <x v="882"/>
    <x v="881"/>
    <x v="0"/>
    <x v="1"/>
  </r>
  <r>
    <x v="39"/>
    <x v="2"/>
    <x v="2"/>
    <x v="1"/>
    <x v="883"/>
    <x v="0"/>
    <n v="3286.98"/>
    <x v="883"/>
    <x v="882"/>
    <x v="0"/>
    <x v="1"/>
  </r>
  <r>
    <x v="23"/>
    <x v="12"/>
    <x v="2"/>
    <x v="0"/>
    <x v="884"/>
    <x v="0"/>
    <n v="696.54"/>
    <x v="884"/>
    <x v="883"/>
    <x v="2"/>
    <x v="4"/>
  </r>
  <r>
    <x v="33"/>
    <x v="13"/>
    <x v="2"/>
    <x v="0"/>
    <x v="885"/>
    <x v="0"/>
    <n v="1368.31"/>
    <x v="885"/>
    <x v="884"/>
    <x v="3"/>
    <x v="1"/>
  </r>
  <r>
    <x v="65"/>
    <x v="4"/>
    <x v="0"/>
    <x v="0"/>
    <x v="886"/>
    <x v="0"/>
    <n v="810.05"/>
    <x v="886"/>
    <x v="885"/>
    <x v="3"/>
    <x v="0"/>
  </r>
  <r>
    <x v="10"/>
    <x v="12"/>
    <x v="0"/>
    <x v="0"/>
    <x v="887"/>
    <x v="0"/>
    <n v="640.75"/>
    <x v="887"/>
    <x v="886"/>
    <x v="2"/>
    <x v="4"/>
  </r>
  <r>
    <x v="62"/>
    <x v="0"/>
    <x v="1"/>
    <x v="1"/>
    <x v="888"/>
    <x v="1"/>
    <n v="2528.3000000000002"/>
    <x v="888"/>
    <x v="887"/>
    <x v="1"/>
    <x v="0"/>
  </r>
  <r>
    <x v="19"/>
    <x v="1"/>
    <x v="0"/>
    <x v="0"/>
    <x v="889"/>
    <x v="1"/>
    <n v="3552.08"/>
    <x v="889"/>
    <x v="888"/>
    <x v="0"/>
    <x v="1"/>
  </r>
  <r>
    <x v="13"/>
    <x v="2"/>
    <x v="0"/>
    <x v="1"/>
    <x v="890"/>
    <x v="0"/>
    <n v="572.71"/>
    <x v="890"/>
    <x v="889"/>
    <x v="1"/>
    <x v="1"/>
  </r>
  <r>
    <x v="50"/>
    <x v="6"/>
    <x v="0"/>
    <x v="1"/>
    <x v="891"/>
    <x v="0"/>
    <n v="1042.43"/>
    <x v="891"/>
    <x v="890"/>
    <x v="4"/>
    <x v="3"/>
  </r>
  <r>
    <x v="33"/>
    <x v="10"/>
    <x v="2"/>
    <x v="0"/>
    <x v="892"/>
    <x v="1"/>
    <n v="602.4"/>
    <x v="892"/>
    <x v="891"/>
    <x v="3"/>
    <x v="3"/>
  </r>
  <r>
    <x v="8"/>
    <x v="7"/>
    <x v="2"/>
    <x v="0"/>
    <x v="893"/>
    <x v="0"/>
    <n v="2633.2"/>
    <x v="893"/>
    <x v="892"/>
    <x v="0"/>
    <x v="0"/>
  </r>
  <r>
    <x v="70"/>
    <x v="0"/>
    <x v="0"/>
    <x v="1"/>
    <x v="894"/>
    <x v="0"/>
    <n v="673.58"/>
    <x v="894"/>
    <x v="893"/>
    <x v="5"/>
    <x v="0"/>
  </r>
  <r>
    <x v="54"/>
    <x v="6"/>
    <x v="1"/>
    <x v="0"/>
    <x v="895"/>
    <x v="0"/>
    <n v="590.28"/>
    <x v="895"/>
    <x v="894"/>
    <x v="0"/>
    <x v="3"/>
  </r>
  <r>
    <x v="51"/>
    <x v="1"/>
    <x v="1"/>
    <x v="0"/>
    <x v="896"/>
    <x v="0"/>
    <n v="261.06"/>
    <x v="896"/>
    <x v="895"/>
    <x v="6"/>
    <x v="1"/>
  </r>
  <r>
    <x v="27"/>
    <x v="14"/>
    <x v="1"/>
    <x v="1"/>
    <x v="897"/>
    <x v="0"/>
    <n v="2231.96"/>
    <x v="897"/>
    <x v="896"/>
    <x v="0"/>
    <x v="3"/>
  </r>
  <r>
    <x v="19"/>
    <x v="15"/>
    <x v="1"/>
    <x v="0"/>
    <x v="898"/>
    <x v="0"/>
    <n v="2331.54"/>
    <x v="898"/>
    <x v="897"/>
    <x v="0"/>
    <x v="0"/>
  </r>
  <r>
    <x v="17"/>
    <x v="3"/>
    <x v="0"/>
    <x v="1"/>
    <x v="899"/>
    <x v="0"/>
    <n v="1546.08"/>
    <x v="899"/>
    <x v="898"/>
    <x v="0"/>
    <x v="2"/>
  </r>
  <r>
    <x v="54"/>
    <x v="10"/>
    <x v="2"/>
    <x v="0"/>
    <x v="900"/>
    <x v="1"/>
    <n v="1423.63"/>
    <x v="900"/>
    <x v="899"/>
    <x v="0"/>
    <x v="3"/>
  </r>
  <r>
    <x v="36"/>
    <x v="13"/>
    <x v="2"/>
    <x v="1"/>
    <x v="901"/>
    <x v="0"/>
    <n v="683.76"/>
    <x v="901"/>
    <x v="900"/>
    <x v="1"/>
    <x v="1"/>
  </r>
  <r>
    <x v="51"/>
    <x v="10"/>
    <x v="2"/>
    <x v="0"/>
    <x v="902"/>
    <x v="0"/>
    <n v="300.05"/>
    <x v="902"/>
    <x v="901"/>
    <x v="6"/>
    <x v="3"/>
  </r>
  <r>
    <x v="38"/>
    <x v="1"/>
    <x v="2"/>
    <x v="2"/>
    <x v="903"/>
    <x v="0"/>
    <n v="1426.07"/>
    <x v="903"/>
    <x v="902"/>
    <x v="5"/>
    <x v="1"/>
  </r>
  <r>
    <x v="52"/>
    <x v="14"/>
    <x v="2"/>
    <x v="1"/>
    <x v="904"/>
    <x v="1"/>
    <n v="2817.62"/>
    <x v="904"/>
    <x v="903"/>
    <x v="0"/>
    <x v="3"/>
  </r>
  <r>
    <x v="59"/>
    <x v="8"/>
    <x v="0"/>
    <x v="1"/>
    <x v="905"/>
    <x v="0"/>
    <n v="384.24"/>
    <x v="905"/>
    <x v="904"/>
    <x v="5"/>
    <x v="4"/>
  </r>
  <r>
    <x v="25"/>
    <x v="11"/>
    <x v="0"/>
    <x v="0"/>
    <x v="906"/>
    <x v="0"/>
    <n v="653.6"/>
    <x v="906"/>
    <x v="905"/>
    <x v="3"/>
    <x v="4"/>
  </r>
  <r>
    <x v="66"/>
    <x v="7"/>
    <x v="0"/>
    <x v="0"/>
    <x v="907"/>
    <x v="0"/>
    <n v="1454.12"/>
    <x v="907"/>
    <x v="906"/>
    <x v="5"/>
    <x v="0"/>
  </r>
  <r>
    <x v="45"/>
    <x v="8"/>
    <x v="2"/>
    <x v="3"/>
    <x v="908"/>
    <x v="0"/>
    <n v="1867.36"/>
    <x v="908"/>
    <x v="907"/>
    <x v="1"/>
    <x v="4"/>
  </r>
  <r>
    <x v="19"/>
    <x v="5"/>
    <x v="0"/>
    <x v="1"/>
    <x v="909"/>
    <x v="0"/>
    <n v="1096.95"/>
    <x v="909"/>
    <x v="908"/>
    <x v="0"/>
    <x v="2"/>
  </r>
  <r>
    <x v="65"/>
    <x v="7"/>
    <x v="2"/>
    <x v="0"/>
    <x v="910"/>
    <x v="0"/>
    <n v="1924.48"/>
    <x v="910"/>
    <x v="909"/>
    <x v="3"/>
    <x v="0"/>
  </r>
  <r>
    <x v="53"/>
    <x v="6"/>
    <x v="0"/>
    <x v="1"/>
    <x v="911"/>
    <x v="0"/>
    <n v="995.28"/>
    <x v="911"/>
    <x v="910"/>
    <x v="3"/>
    <x v="3"/>
  </r>
  <r>
    <x v="65"/>
    <x v="10"/>
    <x v="0"/>
    <x v="0"/>
    <x v="912"/>
    <x v="1"/>
    <n v="2073.65"/>
    <x v="912"/>
    <x v="911"/>
    <x v="3"/>
    <x v="3"/>
  </r>
  <r>
    <x v="64"/>
    <x v="12"/>
    <x v="2"/>
    <x v="0"/>
    <x v="913"/>
    <x v="0"/>
    <n v="382.05"/>
    <x v="913"/>
    <x v="912"/>
    <x v="5"/>
    <x v="4"/>
  </r>
  <r>
    <x v="61"/>
    <x v="6"/>
    <x v="2"/>
    <x v="1"/>
    <x v="914"/>
    <x v="1"/>
    <n v="387.08"/>
    <x v="914"/>
    <x v="913"/>
    <x v="5"/>
    <x v="3"/>
  </r>
  <r>
    <x v="55"/>
    <x v="2"/>
    <x v="0"/>
    <x v="2"/>
    <x v="915"/>
    <x v="0"/>
    <n v="752.15"/>
    <x v="915"/>
    <x v="914"/>
    <x v="6"/>
    <x v="1"/>
  </r>
  <r>
    <x v="7"/>
    <x v="15"/>
    <x v="0"/>
    <x v="1"/>
    <x v="916"/>
    <x v="0"/>
    <n v="4155.99"/>
    <x v="916"/>
    <x v="915"/>
    <x v="0"/>
    <x v="0"/>
  </r>
  <r>
    <x v="63"/>
    <x v="2"/>
    <x v="0"/>
    <x v="0"/>
    <x v="917"/>
    <x v="1"/>
    <n v="554.65"/>
    <x v="917"/>
    <x v="916"/>
    <x v="6"/>
    <x v="1"/>
  </r>
  <r>
    <x v="4"/>
    <x v="10"/>
    <x v="0"/>
    <x v="0"/>
    <x v="918"/>
    <x v="0"/>
    <n v="2340.54"/>
    <x v="918"/>
    <x v="917"/>
    <x v="2"/>
    <x v="3"/>
  </r>
  <r>
    <x v="18"/>
    <x v="4"/>
    <x v="0"/>
    <x v="1"/>
    <x v="919"/>
    <x v="0"/>
    <n v="2075.54"/>
    <x v="919"/>
    <x v="918"/>
    <x v="1"/>
    <x v="0"/>
  </r>
  <r>
    <x v="33"/>
    <x v="9"/>
    <x v="0"/>
    <x v="0"/>
    <x v="920"/>
    <x v="0"/>
    <n v="841.01"/>
    <x v="920"/>
    <x v="919"/>
    <x v="3"/>
    <x v="2"/>
  </r>
  <r>
    <x v="32"/>
    <x v="3"/>
    <x v="0"/>
    <x v="0"/>
    <x v="921"/>
    <x v="1"/>
    <n v="792.57"/>
    <x v="921"/>
    <x v="920"/>
    <x v="3"/>
    <x v="2"/>
  </r>
  <r>
    <x v="67"/>
    <x v="3"/>
    <x v="1"/>
    <x v="1"/>
    <x v="922"/>
    <x v="0"/>
    <n v="416.42"/>
    <x v="922"/>
    <x v="921"/>
    <x v="1"/>
    <x v="2"/>
  </r>
  <r>
    <x v="43"/>
    <x v="1"/>
    <x v="2"/>
    <x v="0"/>
    <x v="923"/>
    <x v="0"/>
    <n v="748.64"/>
    <x v="923"/>
    <x v="922"/>
    <x v="4"/>
    <x v="1"/>
  </r>
  <r>
    <x v="6"/>
    <x v="1"/>
    <x v="1"/>
    <x v="0"/>
    <x v="924"/>
    <x v="0"/>
    <n v="1223.76"/>
    <x v="924"/>
    <x v="923"/>
    <x v="2"/>
    <x v="1"/>
  </r>
  <r>
    <x v="10"/>
    <x v="11"/>
    <x v="2"/>
    <x v="0"/>
    <x v="925"/>
    <x v="1"/>
    <n v="745.32"/>
    <x v="925"/>
    <x v="924"/>
    <x v="2"/>
    <x v="4"/>
  </r>
  <r>
    <x v="17"/>
    <x v="5"/>
    <x v="2"/>
    <x v="1"/>
    <x v="926"/>
    <x v="0"/>
    <n v="1602.66"/>
    <x v="926"/>
    <x v="925"/>
    <x v="0"/>
    <x v="2"/>
  </r>
  <r>
    <x v="30"/>
    <x v="5"/>
    <x v="1"/>
    <x v="0"/>
    <x v="927"/>
    <x v="0"/>
    <n v="678.98"/>
    <x v="927"/>
    <x v="926"/>
    <x v="2"/>
    <x v="2"/>
  </r>
  <r>
    <x v="25"/>
    <x v="1"/>
    <x v="0"/>
    <x v="0"/>
    <x v="928"/>
    <x v="0"/>
    <n v="1178.19"/>
    <x v="928"/>
    <x v="927"/>
    <x v="3"/>
    <x v="1"/>
  </r>
  <r>
    <x v="7"/>
    <x v="12"/>
    <x v="2"/>
    <x v="0"/>
    <x v="929"/>
    <x v="0"/>
    <n v="669.04"/>
    <x v="929"/>
    <x v="928"/>
    <x v="0"/>
    <x v="4"/>
  </r>
  <r>
    <x v="59"/>
    <x v="2"/>
    <x v="0"/>
    <x v="1"/>
    <x v="930"/>
    <x v="0"/>
    <n v="510.84"/>
    <x v="930"/>
    <x v="929"/>
    <x v="5"/>
    <x v="1"/>
  </r>
  <r>
    <x v="65"/>
    <x v="13"/>
    <x v="0"/>
    <x v="0"/>
    <x v="931"/>
    <x v="1"/>
    <n v="877.01"/>
    <x v="931"/>
    <x v="930"/>
    <x v="3"/>
    <x v="1"/>
  </r>
  <r>
    <x v="39"/>
    <x v="8"/>
    <x v="2"/>
    <x v="2"/>
    <x v="932"/>
    <x v="0"/>
    <n v="765.04"/>
    <x v="932"/>
    <x v="931"/>
    <x v="0"/>
    <x v="4"/>
  </r>
  <r>
    <x v="1"/>
    <x v="1"/>
    <x v="0"/>
    <x v="1"/>
    <x v="933"/>
    <x v="1"/>
    <n v="731.5"/>
    <x v="933"/>
    <x v="932"/>
    <x v="1"/>
    <x v="1"/>
  </r>
  <r>
    <x v="6"/>
    <x v="4"/>
    <x v="1"/>
    <x v="0"/>
    <x v="934"/>
    <x v="0"/>
    <n v="833.76"/>
    <x v="934"/>
    <x v="933"/>
    <x v="2"/>
    <x v="0"/>
  </r>
  <r>
    <x v="56"/>
    <x v="13"/>
    <x v="0"/>
    <x v="0"/>
    <x v="935"/>
    <x v="0"/>
    <n v="682.05"/>
    <x v="935"/>
    <x v="934"/>
    <x v="4"/>
    <x v="1"/>
  </r>
  <r>
    <x v="2"/>
    <x v="14"/>
    <x v="0"/>
    <x v="0"/>
    <x v="936"/>
    <x v="0"/>
    <n v="1885.89"/>
    <x v="936"/>
    <x v="935"/>
    <x v="0"/>
    <x v="3"/>
  </r>
  <r>
    <x v="51"/>
    <x v="2"/>
    <x v="0"/>
    <x v="1"/>
    <x v="937"/>
    <x v="0"/>
    <n v="347.44"/>
    <x v="937"/>
    <x v="936"/>
    <x v="6"/>
    <x v="1"/>
  </r>
  <r>
    <x v="23"/>
    <x v="12"/>
    <x v="2"/>
    <x v="0"/>
    <x v="938"/>
    <x v="0"/>
    <n v="656.41"/>
    <x v="938"/>
    <x v="937"/>
    <x v="2"/>
    <x v="4"/>
  </r>
  <r>
    <x v="7"/>
    <x v="6"/>
    <x v="0"/>
    <x v="0"/>
    <x v="939"/>
    <x v="0"/>
    <n v="356.49"/>
    <x v="939"/>
    <x v="938"/>
    <x v="0"/>
    <x v="3"/>
  </r>
  <r>
    <x v="30"/>
    <x v="3"/>
    <x v="0"/>
    <x v="0"/>
    <x v="940"/>
    <x v="0"/>
    <n v="802.84"/>
    <x v="940"/>
    <x v="939"/>
    <x v="2"/>
    <x v="2"/>
  </r>
  <r>
    <x v="3"/>
    <x v="6"/>
    <x v="0"/>
    <x v="0"/>
    <x v="941"/>
    <x v="1"/>
    <n v="1455.37"/>
    <x v="941"/>
    <x v="940"/>
    <x v="0"/>
    <x v="3"/>
  </r>
  <r>
    <x v="7"/>
    <x v="4"/>
    <x v="0"/>
    <x v="0"/>
    <x v="942"/>
    <x v="0"/>
    <n v="3421.64"/>
    <x v="942"/>
    <x v="941"/>
    <x v="0"/>
    <x v="0"/>
  </r>
  <r>
    <x v="46"/>
    <x v="4"/>
    <x v="2"/>
    <x v="0"/>
    <x v="943"/>
    <x v="1"/>
    <n v="1404.7"/>
    <x v="943"/>
    <x v="942"/>
    <x v="0"/>
    <x v="0"/>
  </r>
  <r>
    <x v="66"/>
    <x v="9"/>
    <x v="1"/>
    <x v="0"/>
    <x v="944"/>
    <x v="0"/>
    <n v="335.33"/>
    <x v="944"/>
    <x v="943"/>
    <x v="5"/>
    <x v="2"/>
  </r>
  <r>
    <x v="72"/>
    <x v="4"/>
    <x v="0"/>
    <x v="0"/>
    <x v="945"/>
    <x v="0"/>
    <n v="170.38"/>
    <x v="945"/>
    <x v="944"/>
    <x v="6"/>
    <x v="0"/>
  </r>
  <r>
    <x v="21"/>
    <x v="9"/>
    <x v="0"/>
    <x v="0"/>
    <x v="946"/>
    <x v="0"/>
    <n v="471.48"/>
    <x v="946"/>
    <x v="945"/>
    <x v="3"/>
    <x v="2"/>
  </r>
  <r>
    <x v="29"/>
    <x v="4"/>
    <x v="1"/>
    <x v="0"/>
    <x v="947"/>
    <x v="0"/>
    <n v="778.48"/>
    <x v="947"/>
    <x v="946"/>
    <x v="3"/>
    <x v="0"/>
  </r>
  <r>
    <x v="0"/>
    <x v="9"/>
    <x v="1"/>
    <x v="0"/>
    <x v="948"/>
    <x v="0"/>
    <n v="1316.85"/>
    <x v="948"/>
    <x v="947"/>
    <x v="0"/>
    <x v="2"/>
  </r>
  <r>
    <x v="38"/>
    <x v="13"/>
    <x v="2"/>
    <x v="0"/>
    <x v="949"/>
    <x v="1"/>
    <n v="715.34"/>
    <x v="949"/>
    <x v="948"/>
    <x v="5"/>
    <x v="1"/>
  </r>
  <r>
    <x v="6"/>
    <x v="3"/>
    <x v="0"/>
    <x v="0"/>
    <x v="950"/>
    <x v="0"/>
    <n v="1590.47"/>
    <x v="950"/>
    <x v="949"/>
    <x v="2"/>
    <x v="2"/>
  </r>
  <r>
    <x v="42"/>
    <x v="9"/>
    <x v="1"/>
    <x v="0"/>
    <x v="951"/>
    <x v="1"/>
    <n v="847.51"/>
    <x v="951"/>
    <x v="950"/>
    <x v="3"/>
    <x v="2"/>
  </r>
  <r>
    <x v="67"/>
    <x v="10"/>
    <x v="0"/>
    <x v="1"/>
    <x v="952"/>
    <x v="0"/>
    <n v="639.42999999999995"/>
    <x v="952"/>
    <x v="951"/>
    <x v="1"/>
    <x v="3"/>
  </r>
  <r>
    <x v="34"/>
    <x v="15"/>
    <x v="0"/>
    <x v="1"/>
    <x v="953"/>
    <x v="1"/>
    <n v="1673.11"/>
    <x v="953"/>
    <x v="952"/>
    <x v="0"/>
    <x v="0"/>
  </r>
  <r>
    <x v="34"/>
    <x v="6"/>
    <x v="0"/>
    <x v="0"/>
    <x v="954"/>
    <x v="0"/>
    <n v="655.25"/>
    <x v="954"/>
    <x v="953"/>
    <x v="0"/>
    <x v="3"/>
  </r>
  <r>
    <x v="29"/>
    <x v="9"/>
    <x v="2"/>
    <x v="0"/>
    <x v="955"/>
    <x v="0"/>
    <n v="1102.8499999999999"/>
    <x v="955"/>
    <x v="954"/>
    <x v="3"/>
    <x v="2"/>
  </r>
  <r>
    <x v="20"/>
    <x v="10"/>
    <x v="2"/>
    <x v="0"/>
    <x v="956"/>
    <x v="1"/>
    <n v="720.32"/>
    <x v="956"/>
    <x v="955"/>
    <x v="3"/>
    <x v="3"/>
  </r>
  <r>
    <x v="16"/>
    <x v="10"/>
    <x v="2"/>
    <x v="1"/>
    <x v="957"/>
    <x v="0"/>
    <n v="1247.8399999999999"/>
    <x v="957"/>
    <x v="956"/>
    <x v="4"/>
    <x v="3"/>
  </r>
  <r>
    <x v="3"/>
    <x v="15"/>
    <x v="1"/>
    <x v="0"/>
    <x v="958"/>
    <x v="0"/>
    <n v="2539.64"/>
    <x v="958"/>
    <x v="957"/>
    <x v="0"/>
    <x v="0"/>
  </r>
  <r>
    <x v="19"/>
    <x v="1"/>
    <x v="2"/>
    <x v="1"/>
    <x v="959"/>
    <x v="1"/>
    <n v="1180.6300000000001"/>
    <x v="959"/>
    <x v="958"/>
    <x v="0"/>
    <x v="1"/>
  </r>
  <r>
    <x v="1"/>
    <x v="2"/>
    <x v="2"/>
    <x v="2"/>
    <x v="960"/>
    <x v="0"/>
    <n v="1257.46"/>
    <x v="960"/>
    <x v="959"/>
    <x v="1"/>
    <x v="1"/>
  </r>
  <r>
    <x v="28"/>
    <x v="9"/>
    <x v="0"/>
    <x v="1"/>
    <x v="961"/>
    <x v="0"/>
    <n v="1554.9"/>
    <x v="961"/>
    <x v="960"/>
    <x v="0"/>
    <x v="2"/>
  </r>
  <r>
    <x v="25"/>
    <x v="4"/>
    <x v="1"/>
    <x v="1"/>
    <x v="962"/>
    <x v="2"/>
    <n v="2537.5"/>
    <x v="141"/>
    <x v="961"/>
    <x v="3"/>
    <x v="0"/>
  </r>
  <r>
    <x v="58"/>
    <x v="7"/>
    <x v="0"/>
    <x v="0"/>
    <x v="963"/>
    <x v="0"/>
    <n v="421.5"/>
    <x v="962"/>
    <x v="962"/>
    <x v="5"/>
    <x v="0"/>
  </r>
  <r>
    <x v="44"/>
    <x v="1"/>
    <x v="2"/>
    <x v="2"/>
    <x v="964"/>
    <x v="0"/>
    <n v="1098.99"/>
    <x v="963"/>
    <x v="963"/>
    <x v="6"/>
    <x v="1"/>
  </r>
  <r>
    <x v="60"/>
    <x v="7"/>
    <x v="2"/>
    <x v="0"/>
    <x v="965"/>
    <x v="0"/>
    <n v="536.42999999999995"/>
    <x v="964"/>
    <x v="964"/>
    <x v="4"/>
    <x v="0"/>
  </r>
  <r>
    <x v="65"/>
    <x v="2"/>
    <x v="0"/>
    <x v="0"/>
    <x v="966"/>
    <x v="0"/>
    <n v="1118.04"/>
    <x v="965"/>
    <x v="965"/>
    <x v="3"/>
    <x v="1"/>
  </r>
  <r>
    <x v="53"/>
    <x v="12"/>
    <x v="0"/>
    <x v="0"/>
    <x v="967"/>
    <x v="0"/>
    <n v="1004.15"/>
    <x v="966"/>
    <x v="966"/>
    <x v="3"/>
    <x v="4"/>
  </r>
  <r>
    <x v="28"/>
    <x v="3"/>
    <x v="1"/>
    <x v="1"/>
    <x v="968"/>
    <x v="1"/>
    <n v="1347.25"/>
    <x v="967"/>
    <x v="967"/>
    <x v="0"/>
    <x v="2"/>
  </r>
  <r>
    <x v="20"/>
    <x v="3"/>
    <x v="0"/>
    <x v="0"/>
    <x v="969"/>
    <x v="0"/>
    <n v="442.46"/>
    <x v="968"/>
    <x v="968"/>
    <x v="3"/>
    <x v="2"/>
  </r>
  <r>
    <x v="24"/>
    <x v="0"/>
    <x v="1"/>
    <x v="0"/>
    <x v="970"/>
    <x v="0"/>
    <n v="777.56"/>
    <x v="969"/>
    <x v="969"/>
    <x v="4"/>
    <x v="0"/>
  </r>
  <r>
    <x v="36"/>
    <x v="3"/>
    <x v="0"/>
    <x v="0"/>
    <x v="971"/>
    <x v="0"/>
    <n v="618.44000000000005"/>
    <x v="970"/>
    <x v="970"/>
    <x v="1"/>
    <x v="2"/>
  </r>
  <r>
    <x v="27"/>
    <x v="7"/>
    <x v="1"/>
    <x v="0"/>
    <x v="972"/>
    <x v="1"/>
    <n v="2850.06"/>
    <x v="971"/>
    <x v="971"/>
    <x v="0"/>
    <x v="0"/>
  </r>
  <r>
    <x v="23"/>
    <x v="9"/>
    <x v="2"/>
    <x v="2"/>
    <x v="973"/>
    <x v="0"/>
    <n v="887.25"/>
    <x v="972"/>
    <x v="972"/>
    <x v="2"/>
    <x v="2"/>
  </r>
  <r>
    <x v="66"/>
    <x v="6"/>
    <x v="1"/>
    <x v="0"/>
    <x v="974"/>
    <x v="0"/>
    <n v="1112.72"/>
    <x v="973"/>
    <x v="973"/>
    <x v="5"/>
    <x v="3"/>
  </r>
  <r>
    <x v="47"/>
    <x v="13"/>
    <x v="1"/>
    <x v="1"/>
    <x v="975"/>
    <x v="0"/>
    <n v="2111.31"/>
    <x v="974"/>
    <x v="974"/>
    <x v="5"/>
    <x v="1"/>
  </r>
  <r>
    <x v="9"/>
    <x v="15"/>
    <x v="1"/>
    <x v="0"/>
    <x v="976"/>
    <x v="0"/>
    <n v="1584.26"/>
    <x v="975"/>
    <x v="975"/>
    <x v="3"/>
    <x v="0"/>
  </r>
  <r>
    <x v="52"/>
    <x v="4"/>
    <x v="1"/>
    <x v="1"/>
    <x v="977"/>
    <x v="1"/>
    <n v="1831.63"/>
    <x v="976"/>
    <x v="976"/>
    <x v="0"/>
    <x v="0"/>
  </r>
  <r>
    <x v="4"/>
    <x v="11"/>
    <x v="0"/>
    <x v="2"/>
    <x v="978"/>
    <x v="0"/>
    <n v="1188.29"/>
    <x v="977"/>
    <x v="977"/>
    <x v="2"/>
    <x v="4"/>
  </r>
  <r>
    <x v="40"/>
    <x v="6"/>
    <x v="0"/>
    <x v="0"/>
    <x v="979"/>
    <x v="0"/>
    <n v="502.73"/>
    <x v="978"/>
    <x v="978"/>
    <x v="4"/>
    <x v="3"/>
  </r>
  <r>
    <x v="33"/>
    <x v="14"/>
    <x v="0"/>
    <x v="0"/>
    <x v="980"/>
    <x v="1"/>
    <n v="615.54"/>
    <x v="979"/>
    <x v="979"/>
    <x v="3"/>
    <x v="3"/>
  </r>
  <r>
    <x v="41"/>
    <x v="12"/>
    <x v="2"/>
    <x v="1"/>
    <x v="981"/>
    <x v="1"/>
    <n v="1324.27"/>
    <x v="980"/>
    <x v="980"/>
    <x v="2"/>
    <x v="4"/>
  </r>
  <r>
    <x v="53"/>
    <x v="3"/>
    <x v="1"/>
    <x v="0"/>
    <x v="982"/>
    <x v="0"/>
    <n v="1811.7"/>
    <x v="981"/>
    <x v="981"/>
    <x v="3"/>
    <x v="2"/>
  </r>
  <r>
    <x v="42"/>
    <x v="2"/>
    <x v="0"/>
    <x v="2"/>
    <x v="983"/>
    <x v="1"/>
    <n v="2403.04"/>
    <x v="982"/>
    <x v="982"/>
    <x v="3"/>
    <x v="1"/>
  </r>
  <r>
    <x v="32"/>
    <x v="13"/>
    <x v="2"/>
    <x v="2"/>
    <x v="984"/>
    <x v="1"/>
    <n v="3264.89"/>
    <x v="983"/>
    <x v="983"/>
    <x v="3"/>
    <x v="1"/>
  </r>
  <r>
    <x v="61"/>
    <x v="15"/>
    <x v="0"/>
    <x v="0"/>
    <x v="985"/>
    <x v="0"/>
    <n v="517.47"/>
    <x v="984"/>
    <x v="984"/>
    <x v="5"/>
    <x v="0"/>
  </r>
  <r>
    <x v="10"/>
    <x v="1"/>
    <x v="0"/>
    <x v="0"/>
    <x v="986"/>
    <x v="0"/>
    <n v="392.05"/>
    <x v="985"/>
    <x v="985"/>
    <x v="2"/>
    <x v="1"/>
  </r>
  <r>
    <x v="35"/>
    <x v="10"/>
    <x v="0"/>
    <x v="0"/>
    <x v="987"/>
    <x v="0"/>
    <n v="426.86"/>
    <x v="986"/>
    <x v="986"/>
    <x v="1"/>
    <x v="3"/>
  </r>
  <r>
    <x v="17"/>
    <x v="0"/>
    <x v="2"/>
    <x v="0"/>
    <x v="988"/>
    <x v="1"/>
    <n v="2195.25"/>
    <x v="987"/>
    <x v="987"/>
    <x v="0"/>
    <x v="0"/>
  </r>
  <r>
    <x v="28"/>
    <x v="2"/>
    <x v="2"/>
    <x v="0"/>
    <x v="989"/>
    <x v="0"/>
    <n v="1768.96"/>
    <x v="988"/>
    <x v="988"/>
    <x v="0"/>
    <x v="1"/>
  </r>
  <r>
    <x v="18"/>
    <x v="6"/>
    <x v="0"/>
    <x v="0"/>
    <x v="990"/>
    <x v="0"/>
    <n v="802.37"/>
    <x v="989"/>
    <x v="989"/>
    <x v="1"/>
    <x v="3"/>
  </r>
  <r>
    <x v="65"/>
    <x v="5"/>
    <x v="1"/>
    <x v="0"/>
    <x v="991"/>
    <x v="0"/>
    <n v="947.76"/>
    <x v="990"/>
    <x v="990"/>
    <x v="3"/>
    <x v="2"/>
  </r>
  <r>
    <x v="17"/>
    <x v="8"/>
    <x v="0"/>
    <x v="0"/>
    <x v="992"/>
    <x v="0"/>
    <n v="664.91"/>
    <x v="991"/>
    <x v="991"/>
    <x v="0"/>
    <x v="4"/>
  </r>
  <r>
    <x v="63"/>
    <x v="14"/>
    <x v="2"/>
    <x v="1"/>
    <x v="993"/>
    <x v="0"/>
    <n v="429.14"/>
    <x v="992"/>
    <x v="992"/>
    <x v="6"/>
    <x v="3"/>
  </r>
  <r>
    <x v="20"/>
    <x v="10"/>
    <x v="0"/>
    <x v="1"/>
    <x v="994"/>
    <x v="0"/>
    <n v="723.11"/>
    <x v="993"/>
    <x v="993"/>
    <x v="3"/>
    <x v="3"/>
  </r>
  <r>
    <x v="32"/>
    <x v="15"/>
    <x v="2"/>
    <x v="2"/>
    <x v="995"/>
    <x v="0"/>
    <n v="1496.78"/>
    <x v="994"/>
    <x v="994"/>
    <x v="3"/>
    <x v="0"/>
  </r>
  <r>
    <x v="39"/>
    <x v="5"/>
    <x v="2"/>
    <x v="0"/>
    <x v="996"/>
    <x v="0"/>
    <n v="580.73"/>
    <x v="995"/>
    <x v="995"/>
    <x v="0"/>
    <x v="2"/>
  </r>
  <r>
    <x v="53"/>
    <x v="10"/>
    <x v="1"/>
    <x v="0"/>
    <x v="997"/>
    <x v="2"/>
    <n v="1213.78"/>
    <x v="996"/>
    <x v="996"/>
    <x v="3"/>
    <x v="3"/>
  </r>
  <r>
    <x v="43"/>
    <x v="11"/>
    <x v="0"/>
    <x v="3"/>
    <x v="998"/>
    <x v="0"/>
    <n v="1314.08"/>
    <x v="997"/>
    <x v="997"/>
    <x v="4"/>
    <x v="4"/>
  </r>
  <r>
    <x v="15"/>
    <x v="3"/>
    <x v="2"/>
    <x v="0"/>
    <x v="999"/>
    <x v="0"/>
    <n v="165.49"/>
    <x v="998"/>
    <x v="998"/>
    <x v="5"/>
    <x v="2"/>
  </r>
  <r>
    <x v="25"/>
    <x v="11"/>
    <x v="2"/>
    <x v="0"/>
    <x v="1000"/>
    <x v="1"/>
    <n v="1404.05"/>
    <x v="999"/>
    <x v="999"/>
    <x v="3"/>
    <x v="4"/>
  </r>
  <r>
    <x v="28"/>
    <x v="8"/>
    <x v="1"/>
    <x v="1"/>
    <x v="1001"/>
    <x v="0"/>
    <n v="4375.9399999999996"/>
    <x v="1000"/>
    <x v="1000"/>
    <x v="0"/>
    <x v="4"/>
  </r>
  <r>
    <x v="54"/>
    <x v="7"/>
    <x v="2"/>
    <x v="0"/>
    <x v="1002"/>
    <x v="1"/>
    <n v="1160.25"/>
    <x v="1001"/>
    <x v="1001"/>
    <x v="0"/>
    <x v="0"/>
  </r>
  <r>
    <x v="3"/>
    <x v="14"/>
    <x v="0"/>
    <x v="0"/>
    <x v="1003"/>
    <x v="0"/>
    <n v="571.84"/>
    <x v="1002"/>
    <x v="1002"/>
    <x v="0"/>
    <x v="3"/>
  </r>
  <r>
    <x v="9"/>
    <x v="4"/>
    <x v="2"/>
    <x v="0"/>
    <x v="1004"/>
    <x v="0"/>
    <n v="1199.31"/>
    <x v="1003"/>
    <x v="1003"/>
    <x v="3"/>
    <x v="0"/>
  </r>
  <r>
    <x v="36"/>
    <x v="3"/>
    <x v="0"/>
    <x v="1"/>
    <x v="1005"/>
    <x v="0"/>
    <n v="918.05"/>
    <x v="1004"/>
    <x v="1004"/>
    <x v="1"/>
    <x v="2"/>
  </r>
  <r>
    <x v="39"/>
    <x v="11"/>
    <x v="0"/>
    <x v="3"/>
    <x v="1006"/>
    <x v="0"/>
    <n v="7352.02"/>
    <x v="1005"/>
    <x v="1005"/>
    <x v="0"/>
    <x v="4"/>
  </r>
  <r>
    <x v="46"/>
    <x v="13"/>
    <x v="0"/>
    <x v="0"/>
    <x v="1007"/>
    <x v="0"/>
    <n v="1995.51"/>
    <x v="1006"/>
    <x v="1006"/>
    <x v="0"/>
    <x v="1"/>
  </r>
  <r>
    <x v="31"/>
    <x v="0"/>
    <x v="1"/>
    <x v="0"/>
    <x v="1008"/>
    <x v="0"/>
    <n v="1576.55"/>
    <x v="1007"/>
    <x v="1007"/>
    <x v="0"/>
    <x v="0"/>
  </r>
  <r>
    <x v="32"/>
    <x v="7"/>
    <x v="0"/>
    <x v="0"/>
    <x v="1009"/>
    <x v="0"/>
    <n v="1699.32"/>
    <x v="1008"/>
    <x v="1008"/>
    <x v="3"/>
    <x v="0"/>
  </r>
  <r>
    <x v="57"/>
    <x v="13"/>
    <x v="1"/>
    <x v="1"/>
    <x v="1010"/>
    <x v="1"/>
    <n v="1617.62"/>
    <x v="1009"/>
    <x v="1009"/>
    <x v="2"/>
    <x v="1"/>
  </r>
  <r>
    <x v="72"/>
    <x v="5"/>
    <x v="0"/>
    <x v="0"/>
    <x v="1011"/>
    <x v="0"/>
    <n v="280.64999999999998"/>
    <x v="1010"/>
    <x v="1010"/>
    <x v="6"/>
    <x v="2"/>
  </r>
  <r>
    <x v="34"/>
    <x v="12"/>
    <x v="1"/>
    <x v="1"/>
    <x v="1012"/>
    <x v="0"/>
    <n v="1347.42"/>
    <x v="1011"/>
    <x v="1011"/>
    <x v="0"/>
    <x v="4"/>
  </r>
  <r>
    <x v="1"/>
    <x v="0"/>
    <x v="2"/>
    <x v="0"/>
    <x v="1013"/>
    <x v="0"/>
    <n v="1315.87"/>
    <x v="1012"/>
    <x v="1012"/>
    <x v="1"/>
    <x v="0"/>
  </r>
  <r>
    <x v="39"/>
    <x v="12"/>
    <x v="1"/>
    <x v="1"/>
    <x v="1014"/>
    <x v="2"/>
    <n v="3210.23"/>
    <x v="1013"/>
    <x v="1013"/>
    <x v="0"/>
    <x v="4"/>
  </r>
  <r>
    <x v="5"/>
    <x v="6"/>
    <x v="0"/>
    <x v="1"/>
    <x v="1015"/>
    <x v="2"/>
    <n v="817.35"/>
    <x v="1014"/>
    <x v="1014"/>
    <x v="0"/>
    <x v="3"/>
  </r>
  <r>
    <x v="13"/>
    <x v="15"/>
    <x v="2"/>
    <x v="0"/>
    <x v="1016"/>
    <x v="0"/>
    <n v="712.74"/>
    <x v="1015"/>
    <x v="1015"/>
    <x v="1"/>
    <x v="0"/>
  </r>
  <r>
    <x v="20"/>
    <x v="9"/>
    <x v="2"/>
    <x v="0"/>
    <x v="1017"/>
    <x v="1"/>
    <n v="868.37"/>
    <x v="1016"/>
    <x v="1016"/>
    <x v="3"/>
    <x v="2"/>
  </r>
  <r>
    <x v="63"/>
    <x v="10"/>
    <x v="1"/>
    <x v="1"/>
    <x v="1018"/>
    <x v="0"/>
    <n v="728.65"/>
    <x v="1017"/>
    <x v="1017"/>
    <x v="6"/>
    <x v="3"/>
  </r>
  <r>
    <x v="37"/>
    <x v="9"/>
    <x v="0"/>
    <x v="1"/>
    <x v="1019"/>
    <x v="0"/>
    <n v="560.66"/>
    <x v="1018"/>
    <x v="1018"/>
    <x v="4"/>
    <x v="2"/>
  </r>
  <r>
    <x v="2"/>
    <x v="15"/>
    <x v="0"/>
    <x v="0"/>
    <x v="1020"/>
    <x v="0"/>
    <n v="1601.4"/>
    <x v="1019"/>
    <x v="1019"/>
    <x v="0"/>
    <x v="0"/>
  </r>
  <r>
    <x v="10"/>
    <x v="0"/>
    <x v="0"/>
    <x v="0"/>
    <x v="1021"/>
    <x v="0"/>
    <n v="1017.48"/>
    <x v="1020"/>
    <x v="1020"/>
    <x v="2"/>
    <x v="0"/>
  </r>
  <r>
    <x v="29"/>
    <x v="12"/>
    <x v="1"/>
    <x v="2"/>
    <x v="1022"/>
    <x v="0"/>
    <n v="1904.37"/>
    <x v="1021"/>
    <x v="1021"/>
    <x v="3"/>
    <x v="4"/>
  </r>
  <r>
    <x v="36"/>
    <x v="5"/>
    <x v="0"/>
    <x v="2"/>
    <x v="1023"/>
    <x v="0"/>
    <n v="1469.41"/>
    <x v="1022"/>
    <x v="1022"/>
    <x v="1"/>
    <x v="2"/>
  </r>
  <r>
    <x v="19"/>
    <x v="13"/>
    <x v="0"/>
    <x v="0"/>
    <x v="1024"/>
    <x v="2"/>
    <n v="803.1"/>
    <x v="1023"/>
    <x v="1023"/>
    <x v="0"/>
    <x v="1"/>
  </r>
  <r>
    <x v="28"/>
    <x v="7"/>
    <x v="1"/>
    <x v="0"/>
    <x v="1025"/>
    <x v="1"/>
    <n v="4177.8100000000004"/>
    <x v="1024"/>
    <x v="1024"/>
    <x v="0"/>
    <x v="0"/>
  </r>
  <r>
    <x v="44"/>
    <x v="7"/>
    <x v="0"/>
    <x v="1"/>
    <x v="1026"/>
    <x v="0"/>
    <n v="601.79"/>
    <x v="1025"/>
    <x v="1025"/>
    <x v="6"/>
    <x v="0"/>
  </r>
  <r>
    <x v="34"/>
    <x v="11"/>
    <x v="0"/>
    <x v="1"/>
    <x v="1027"/>
    <x v="0"/>
    <n v="533.67999999999995"/>
    <x v="1026"/>
    <x v="1026"/>
    <x v="0"/>
    <x v="4"/>
  </r>
  <r>
    <x v="33"/>
    <x v="10"/>
    <x v="2"/>
    <x v="0"/>
    <x v="1028"/>
    <x v="0"/>
    <n v="1374.98"/>
    <x v="1027"/>
    <x v="1027"/>
    <x v="3"/>
    <x v="3"/>
  </r>
  <r>
    <x v="5"/>
    <x v="9"/>
    <x v="0"/>
    <x v="0"/>
    <x v="1029"/>
    <x v="0"/>
    <n v="430.83"/>
    <x v="1028"/>
    <x v="1028"/>
    <x v="0"/>
    <x v="2"/>
  </r>
  <r>
    <x v="32"/>
    <x v="2"/>
    <x v="0"/>
    <x v="0"/>
    <x v="1030"/>
    <x v="0"/>
    <n v="1803.37"/>
    <x v="1029"/>
    <x v="1029"/>
    <x v="3"/>
    <x v="1"/>
  </r>
  <r>
    <x v="0"/>
    <x v="13"/>
    <x v="0"/>
    <x v="0"/>
    <x v="1031"/>
    <x v="1"/>
    <n v="1669.65"/>
    <x v="486"/>
    <x v="1030"/>
    <x v="0"/>
    <x v="1"/>
  </r>
  <r>
    <x v="67"/>
    <x v="8"/>
    <x v="0"/>
    <x v="0"/>
    <x v="1032"/>
    <x v="0"/>
    <n v="308.83"/>
    <x v="1030"/>
    <x v="1031"/>
    <x v="1"/>
    <x v="4"/>
  </r>
  <r>
    <x v="46"/>
    <x v="12"/>
    <x v="0"/>
    <x v="1"/>
    <x v="1033"/>
    <x v="0"/>
    <n v="912.07"/>
    <x v="1031"/>
    <x v="1032"/>
    <x v="0"/>
    <x v="4"/>
  </r>
  <r>
    <x v="19"/>
    <x v="3"/>
    <x v="1"/>
    <x v="0"/>
    <x v="1034"/>
    <x v="0"/>
    <n v="1228.17"/>
    <x v="1032"/>
    <x v="1033"/>
    <x v="0"/>
    <x v="2"/>
  </r>
  <r>
    <x v="45"/>
    <x v="7"/>
    <x v="1"/>
    <x v="0"/>
    <x v="1035"/>
    <x v="0"/>
    <n v="872.52"/>
    <x v="1033"/>
    <x v="1034"/>
    <x v="1"/>
    <x v="0"/>
  </r>
  <r>
    <x v="57"/>
    <x v="9"/>
    <x v="2"/>
    <x v="0"/>
    <x v="1036"/>
    <x v="0"/>
    <n v="650.07000000000005"/>
    <x v="1034"/>
    <x v="1035"/>
    <x v="2"/>
    <x v="2"/>
  </r>
  <r>
    <x v="53"/>
    <x v="15"/>
    <x v="2"/>
    <x v="0"/>
    <x v="1037"/>
    <x v="0"/>
    <n v="740.52"/>
    <x v="1035"/>
    <x v="1036"/>
    <x v="3"/>
    <x v="0"/>
  </r>
  <r>
    <x v="23"/>
    <x v="14"/>
    <x v="0"/>
    <x v="0"/>
    <x v="1038"/>
    <x v="0"/>
    <n v="1037.92"/>
    <x v="1036"/>
    <x v="1037"/>
    <x v="2"/>
    <x v="3"/>
  </r>
  <r>
    <x v="22"/>
    <x v="13"/>
    <x v="2"/>
    <x v="0"/>
    <x v="1039"/>
    <x v="0"/>
    <n v="506.93"/>
    <x v="1037"/>
    <x v="1038"/>
    <x v="1"/>
    <x v="1"/>
  </r>
  <r>
    <x v="43"/>
    <x v="15"/>
    <x v="2"/>
    <x v="2"/>
    <x v="1040"/>
    <x v="0"/>
    <n v="1461.07"/>
    <x v="1038"/>
    <x v="1039"/>
    <x v="4"/>
    <x v="0"/>
  </r>
  <r>
    <x v="27"/>
    <x v="15"/>
    <x v="0"/>
    <x v="1"/>
    <x v="1041"/>
    <x v="0"/>
    <n v="7103.03"/>
    <x v="1039"/>
    <x v="1040"/>
    <x v="0"/>
    <x v="0"/>
  </r>
  <r>
    <x v="1"/>
    <x v="10"/>
    <x v="0"/>
    <x v="1"/>
    <x v="1042"/>
    <x v="0"/>
    <n v="677.98"/>
    <x v="1040"/>
    <x v="1041"/>
    <x v="1"/>
    <x v="3"/>
  </r>
  <r>
    <x v="6"/>
    <x v="6"/>
    <x v="0"/>
    <x v="1"/>
    <x v="1043"/>
    <x v="0"/>
    <n v="816.09"/>
    <x v="1041"/>
    <x v="1042"/>
    <x v="2"/>
    <x v="3"/>
  </r>
  <r>
    <x v="64"/>
    <x v="15"/>
    <x v="1"/>
    <x v="0"/>
    <x v="1044"/>
    <x v="0"/>
    <n v="750.78"/>
    <x v="1042"/>
    <x v="1043"/>
    <x v="5"/>
    <x v="0"/>
  </r>
  <r>
    <x v="26"/>
    <x v="5"/>
    <x v="0"/>
    <x v="0"/>
    <x v="1045"/>
    <x v="0"/>
    <n v="228.98"/>
    <x v="1043"/>
    <x v="1044"/>
    <x v="1"/>
    <x v="2"/>
  </r>
  <r>
    <x v="46"/>
    <x v="7"/>
    <x v="0"/>
    <x v="1"/>
    <x v="1046"/>
    <x v="0"/>
    <n v="2215.0300000000002"/>
    <x v="1044"/>
    <x v="1045"/>
    <x v="0"/>
    <x v="0"/>
  </r>
  <r>
    <x v="54"/>
    <x v="5"/>
    <x v="1"/>
    <x v="0"/>
    <x v="1047"/>
    <x v="0"/>
    <n v="1977"/>
    <x v="1045"/>
    <x v="1046"/>
    <x v="0"/>
    <x v="2"/>
  </r>
  <r>
    <x v="24"/>
    <x v="15"/>
    <x v="0"/>
    <x v="1"/>
    <x v="1048"/>
    <x v="0"/>
    <n v="836.13"/>
    <x v="1046"/>
    <x v="1047"/>
    <x v="4"/>
    <x v="0"/>
  </r>
  <r>
    <x v="61"/>
    <x v="3"/>
    <x v="1"/>
    <x v="0"/>
    <x v="1049"/>
    <x v="0"/>
    <n v="497.4"/>
    <x v="1047"/>
    <x v="1048"/>
    <x v="5"/>
    <x v="2"/>
  </r>
  <r>
    <x v="31"/>
    <x v="11"/>
    <x v="0"/>
    <x v="2"/>
    <x v="1050"/>
    <x v="2"/>
    <n v="903.35"/>
    <x v="1048"/>
    <x v="1049"/>
    <x v="0"/>
    <x v="4"/>
  </r>
  <r>
    <x v="3"/>
    <x v="13"/>
    <x v="0"/>
    <x v="1"/>
    <x v="1051"/>
    <x v="2"/>
    <n v="1696.24"/>
    <x v="1049"/>
    <x v="1050"/>
    <x v="0"/>
    <x v="1"/>
  </r>
  <r>
    <x v="24"/>
    <x v="15"/>
    <x v="2"/>
    <x v="2"/>
    <x v="1052"/>
    <x v="0"/>
    <n v="1825.94"/>
    <x v="1050"/>
    <x v="1051"/>
    <x v="4"/>
    <x v="0"/>
  </r>
  <r>
    <x v="5"/>
    <x v="10"/>
    <x v="1"/>
    <x v="0"/>
    <x v="1053"/>
    <x v="0"/>
    <n v="2929.64"/>
    <x v="1051"/>
    <x v="1052"/>
    <x v="0"/>
    <x v="3"/>
  </r>
  <r>
    <x v="54"/>
    <x v="10"/>
    <x v="0"/>
    <x v="0"/>
    <x v="1054"/>
    <x v="0"/>
    <n v="838.1"/>
    <x v="1052"/>
    <x v="1053"/>
    <x v="0"/>
    <x v="3"/>
  </r>
  <r>
    <x v="12"/>
    <x v="9"/>
    <x v="1"/>
    <x v="0"/>
    <x v="1055"/>
    <x v="0"/>
    <n v="448.44"/>
    <x v="1053"/>
    <x v="1054"/>
    <x v="4"/>
    <x v="2"/>
  </r>
  <r>
    <x v="32"/>
    <x v="8"/>
    <x v="2"/>
    <x v="0"/>
    <x v="1056"/>
    <x v="0"/>
    <n v="940.98"/>
    <x v="1054"/>
    <x v="1055"/>
    <x v="3"/>
    <x v="4"/>
  </r>
  <r>
    <x v="7"/>
    <x v="10"/>
    <x v="0"/>
    <x v="1"/>
    <x v="1057"/>
    <x v="2"/>
    <n v="1819.11"/>
    <x v="1055"/>
    <x v="1056"/>
    <x v="0"/>
    <x v="3"/>
  </r>
  <r>
    <x v="0"/>
    <x v="7"/>
    <x v="1"/>
    <x v="1"/>
    <x v="1058"/>
    <x v="0"/>
    <n v="2219.59"/>
    <x v="1056"/>
    <x v="1057"/>
    <x v="0"/>
    <x v="0"/>
  </r>
  <r>
    <x v="46"/>
    <x v="1"/>
    <x v="1"/>
    <x v="0"/>
    <x v="1059"/>
    <x v="0"/>
    <n v="2277.19"/>
    <x v="1057"/>
    <x v="1058"/>
    <x v="0"/>
    <x v="1"/>
  </r>
  <r>
    <x v="30"/>
    <x v="6"/>
    <x v="2"/>
    <x v="0"/>
    <x v="1060"/>
    <x v="0"/>
    <n v="979.05"/>
    <x v="1058"/>
    <x v="1059"/>
    <x v="2"/>
    <x v="3"/>
  </r>
  <r>
    <x v="65"/>
    <x v="2"/>
    <x v="0"/>
    <x v="1"/>
    <x v="1061"/>
    <x v="2"/>
    <n v="1715.49"/>
    <x v="1059"/>
    <x v="1060"/>
    <x v="3"/>
    <x v="1"/>
  </r>
  <r>
    <x v="25"/>
    <x v="3"/>
    <x v="2"/>
    <x v="1"/>
    <x v="1062"/>
    <x v="1"/>
    <n v="1089.28"/>
    <x v="1060"/>
    <x v="1061"/>
    <x v="3"/>
    <x v="2"/>
  </r>
  <r>
    <x v="58"/>
    <x v="8"/>
    <x v="1"/>
    <x v="2"/>
    <x v="1063"/>
    <x v="1"/>
    <n v="864.03"/>
    <x v="1061"/>
    <x v="1062"/>
    <x v="5"/>
    <x v="4"/>
  </r>
  <r>
    <x v="12"/>
    <x v="12"/>
    <x v="1"/>
    <x v="1"/>
    <x v="1064"/>
    <x v="1"/>
    <n v="785.36"/>
    <x v="1062"/>
    <x v="1063"/>
    <x v="4"/>
    <x v="4"/>
  </r>
  <r>
    <x v="55"/>
    <x v="1"/>
    <x v="1"/>
    <x v="1"/>
    <x v="1065"/>
    <x v="0"/>
    <n v="748.57"/>
    <x v="1063"/>
    <x v="1064"/>
    <x v="6"/>
    <x v="1"/>
  </r>
  <r>
    <x v="20"/>
    <x v="7"/>
    <x v="2"/>
    <x v="2"/>
    <x v="1066"/>
    <x v="1"/>
    <n v="2464.21"/>
    <x v="1064"/>
    <x v="1065"/>
    <x v="3"/>
    <x v="0"/>
  </r>
  <r>
    <x v="46"/>
    <x v="15"/>
    <x v="1"/>
    <x v="0"/>
    <x v="1067"/>
    <x v="0"/>
    <n v="2998.08"/>
    <x v="1065"/>
    <x v="1066"/>
    <x v="0"/>
    <x v="0"/>
  </r>
  <r>
    <x v="11"/>
    <x v="2"/>
    <x v="0"/>
    <x v="0"/>
    <x v="1068"/>
    <x v="0"/>
    <n v="1015.09"/>
    <x v="1066"/>
    <x v="1067"/>
    <x v="4"/>
    <x v="1"/>
  </r>
  <r>
    <x v="57"/>
    <x v="4"/>
    <x v="0"/>
    <x v="0"/>
    <x v="1069"/>
    <x v="0"/>
    <n v="875.28"/>
    <x v="1067"/>
    <x v="1068"/>
    <x v="2"/>
    <x v="0"/>
  </r>
  <r>
    <x v="40"/>
    <x v="14"/>
    <x v="0"/>
    <x v="1"/>
    <x v="1070"/>
    <x v="0"/>
    <n v="454.89"/>
    <x v="1068"/>
    <x v="1069"/>
    <x v="4"/>
    <x v="3"/>
  </r>
  <r>
    <x v="30"/>
    <x v="4"/>
    <x v="0"/>
    <x v="0"/>
    <x v="1071"/>
    <x v="1"/>
    <n v="1036"/>
    <x v="1069"/>
    <x v="1070"/>
    <x v="2"/>
    <x v="0"/>
  </r>
  <r>
    <x v="53"/>
    <x v="14"/>
    <x v="2"/>
    <x v="0"/>
    <x v="1072"/>
    <x v="0"/>
    <n v="912.37"/>
    <x v="1070"/>
    <x v="1071"/>
    <x v="3"/>
    <x v="3"/>
  </r>
  <r>
    <x v="4"/>
    <x v="1"/>
    <x v="0"/>
    <x v="0"/>
    <x v="1073"/>
    <x v="1"/>
    <n v="522.14"/>
    <x v="1071"/>
    <x v="1072"/>
    <x v="2"/>
    <x v="1"/>
  </r>
  <r>
    <x v="67"/>
    <x v="8"/>
    <x v="0"/>
    <x v="0"/>
    <x v="1074"/>
    <x v="0"/>
    <n v="281.02"/>
    <x v="1072"/>
    <x v="1073"/>
    <x v="1"/>
    <x v="4"/>
  </r>
  <r>
    <x v="7"/>
    <x v="5"/>
    <x v="0"/>
    <x v="0"/>
    <x v="1075"/>
    <x v="0"/>
    <n v="548.77"/>
    <x v="175"/>
    <x v="175"/>
    <x v="0"/>
    <x v="2"/>
  </r>
  <r>
    <x v="52"/>
    <x v="3"/>
    <x v="0"/>
    <x v="1"/>
    <x v="1076"/>
    <x v="0"/>
    <n v="1110.56"/>
    <x v="1073"/>
    <x v="1074"/>
    <x v="0"/>
    <x v="2"/>
  </r>
  <r>
    <x v="53"/>
    <x v="5"/>
    <x v="1"/>
    <x v="1"/>
    <x v="1077"/>
    <x v="2"/>
    <n v="1170.29"/>
    <x v="1074"/>
    <x v="1075"/>
    <x v="3"/>
    <x v="2"/>
  </r>
  <r>
    <x v="55"/>
    <x v="5"/>
    <x v="0"/>
    <x v="0"/>
    <x v="1078"/>
    <x v="1"/>
    <n v="511.2"/>
    <x v="1075"/>
    <x v="1076"/>
    <x v="6"/>
    <x v="2"/>
  </r>
  <r>
    <x v="48"/>
    <x v="4"/>
    <x v="2"/>
    <x v="0"/>
    <x v="1079"/>
    <x v="0"/>
    <n v="1132.06"/>
    <x v="1076"/>
    <x v="1077"/>
    <x v="2"/>
    <x v="0"/>
  </r>
  <r>
    <x v="35"/>
    <x v="7"/>
    <x v="0"/>
    <x v="0"/>
    <x v="1080"/>
    <x v="1"/>
    <n v="553.41"/>
    <x v="545"/>
    <x v="1078"/>
    <x v="1"/>
    <x v="0"/>
  </r>
  <r>
    <x v="20"/>
    <x v="15"/>
    <x v="1"/>
    <x v="1"/>
    <x v="1081"/>
    <x v="0"/>
    <n v="5560"/>
    <x v="1077"/>
    <x v="1079"/>
    <x v="3"/>
    <x v="0"/>
  </r>
  <r>
    <x v="45"/>
    <x v="8"/>
    <x v="1"/>
    <x v="1"/>
    <x v="1082"/>
    <x v="0"/>
    <n v="732.7"/>
    <x v="1078"/>
    <x v="1080"/>
    <x v="1"/>
    <x v="4"/>
  </r>
  <r>
    <x v="23"/>
    <x v="14"/>
    <x v="0"/>
    <x v="0"/>
    <x v="1083"/>
    <x v="0"/>
    <n v="843.56"/>
    <x v="1079"/>
    <x v="1081"/>
    <x v="2"/>
    <x v="3"/>
  </r>
  <r>
    <x v="13"/>
    <x v="3"/>
    <x v="2"/>
    <x v="0"/>
    <x v="1084"/>
    <x v="0"/>
    <n v="650.9"/>
    <x v="1080"/>
    <x v="1082"/>
    <x v="1"/>
    <x v="2"/>
  </r>
  <r>
    <x v="8"/>
    <x v="13"/>
    <x v="0"/>
    <x v="0"/>
    <x v="1085"/>
    <x v="1"/>
    <n v="1130.7"/>
    <x v="1081"/>
    <x v="1083"/>
    <x v="0"/>
    <x v="1"/>
  </r>
  <r>
    <x v="46"/>
    <x v="6"/>
    <x v="2"/>
    <x v="0"/>
    <x v="1086"/>
    <x v="0"/>
    <n v="810.87"/>
    <x v="1082"/>
    <x v="1084"/>
    <x v="0"/>
    <x v="3"/>
  </r>
  <r>
    <x v="5"/>
    <x v="3"/>
    <x v="0"/>
    <x v="0"/>
    <x v="1087"/>
    <x v="1"/>
    <n v="1274.83"/>
    <x v="1083"/>
    <x v="1085"/>
    <x v="0"/>
    <x v="2"/>
  </r>
  <r>
    <x v="39"/>
    <x v="6"/>
    <x v="0"/>
    <x v="1"/>
    <x v="1088"/>
    <x v="0"/>
    <n v="4383.8100000000004"/>
    <x v="1084"/>
    <x v="1086"/>
    <x v="0"/>
    <x v="3"/>
  </r>
  <r>
    <x v="54"/>
    <x v="10"/>
    <x v="0"/>
    <x v="1"/>
    <x v="1089"/>
    <x v="0"/>
    <n v="1306.3699999999999"/>
    <x v="1085"/>
    <x v="1087"/>
    <x v="0"/>
    <x v="3"/>
  </r>
  <r>
    <x v="6"/>
    <x v="6"/>
    <x v="1"/>
    <x v="0"/>
    <x v="1090"/>
    <x v="0"/>
    <n v="1134.94"/>
    <x v="1086"/>
    <x v="1088"/>
    <x v="2"/>
    <x v="3"/>
  </r>
  <r>
    <x v="50"/>
    <x v="9"/>
    <x v="1"/>
    <x v="0"/>
    <x v="1091"/>
    <x v="0"/>
    <n v="228.68"/>
    <x v="1087"/>
    <x v="1089"/>
    <x v="4"/>
    <x v="2"/>
  </r>
  <r>
    <x v="54"/>
    <x v="2"/>
    <x v="2"/>
    <x v="0"/>
    <x v="1092"/>
    <x v="0"/>
    <n v="1198.01"/>
    <x v="1088"/>
    <x v="1090"/>
    <x v="0"/>
    <x v="1"/>
  </r>
  <r>
    <x v="10"/>
    <x v="9"/>
    <x v="2"/>
    <x v="1"/>
    <x v="1093"/>
    <x v="0"/>
    <n v="869.25"/>
    <x v="1089"/>
    <x v="1091"/>
    <x v="2"/>
    <x v="2"/>
  </r>
  <r>
    <x v="41"/>
    <x v="13"/>
    <x v="2"/>
    <x v="0"/>
    <x v="1094"/>
    <x v="0"/>
    <n v="614.62"/>
    <x v="1090"/>
    <x v="1092"/>
    <x v="2"/>
    <x v="1"/>
  </r>
  <r>
    <x v="27"/>
    <x v="5"/>
    <x v="2"/>
    <x v="0"/>
    <x v="1095"/>
    <x v="1"/>
    <n v="1094.5999999999999"/>
    <x v="1091"/>
    <x v="1093"/>
    <x v="0"/>
    <x v="2"/>
  </r>
  <r>
    <x v="68"/>
    <x v="12"/>
    <x v="2"/>
    <x v="0"/>
    <x v="1096"/>
    <x v="0"/>
    <n v="521.46"/>
    <x v="1092"/>
    <x v="1094"/>
    <x v="2"/>
    <x v="4"/>
  </r>
  <r>
    <x v="26"/>
    <x v="3"/>
    <x v="0"/>
    <x v="0"/>
    <x v="1097"/>
    <x v="0"/>
    <n v="666.21"/>
    <x v="1093"/>
    <x v="1095"/>
    <x v="1"/>
    <x v="2"/>
  </r>
  <r>
    <x v="32"/>
    <x v="3"/>
    <x v="0"/>
    <x v="2"/>
    <x v="1098"/>
    <x v="1"/>
    <n v="2772.2"/>
    <x v="1094"/>
    <x v="1096"/>
    <x v="3"/>
    <x v="2"/>
  </r>
  <r>
    <x v="7"/>
    <x v="15"/>
    <x v="1"/>
    <x v="0"/>
    <x v="1099"/>
    <x v="1"/>
    <n v="1679.56"/>
    <x v="1095"/>
    <x v="1097"/>
    <x v="0"/>
    <x v="0"/>
  </r>
  <r>
    <x v="40"/>
    <x v="14"/>
    <x v="0"/>
    <x v="1"/>
    <x v="1100"/>
    <x v="0"/>
    <n v="765.85"/>
    <x v="1096"/>
    <x v="1098"/>
    <x v="4"/>
    <x v="3"/>
  </r>
  <r>
    <x v="32"/>
    <x v="7"/>
    <x v="0"/>
    <x v="2"/>
    <x v="1101"/>
    <x v="0"/>
    <n v="2688.86"/>
    <x v="1097"/>
    <x v="1099"/>
    <x v="3"/>
    <x v="0"/>
  </r>
  <r>
    <x v="17"/>
    <x v="15"/>
    <x v="0"/>
    <x v="0"/>
    <x v="1102"/>
    <x v="1"/>
    <n v="335.82"/>
    <x v="1098"/>
    <x v="1100"/>
    <x v="0"/>
    <x v="0"/>
  </r>
  <r>
    <x v="45"/>
    <x v="6"/>
    <x v="0"/>
    <x v="0"/>
    <x v="1103"/>
    <x v="0"/>
    <n v="360.95"/>
    <x v="1099"/>
    <x v="1101"/>
    <x v="1"/>
    <x v="3"/>
  </r>
  <r>
    <x v="17"/>
    <x v="14"/>
    <x v="0"/>
    <x v="0"/>
    <x v="1104"/>
    <x v="0"/>
    <n v="516.49"/>
    <x v="1100"/>
    <x v="1102"/>
    <x v="0"/>
    <x v="3"/>
  </r>
  <r>
    <x v="54"/>
    <x v="15"/>
    <x v="1"/>
    <x v="0"/>
    <x v="1105"/>
    <x v="0"/>
    <n v="1264.72"/>
    <x v="1101"/>
    <x v="1103"/>
    <x v="0"/>
    <x v="0"/>
  </r>
  <r>
    <x v="64"/>
    <x v="10"/>
    <x v="1"/>
    <x v="0"/>
    <x v="1106"/>
    <x v="0"/>
    <n v="343.81"/>
    <x v="1102"/>
    <x v="1104"/>
    <x v="5"/>
    <x v="3"/>
  </r>
  <r>
    <x v="38"/>
    <x v="5"/>
    <x v="0"/>
    <x v="0"/>
    <x v="1107"/>
    <x v="0"/>
    <n v="300.25"/>
    <x v="1103"/>
    <x v="1105"/>
    <x v="5"/>
    <x v="2"/>
  </r>
  <r>
    <x v="32"/>
    <x v="1"/>
    <x v="2"/>
    <x v="1"/>
    <x v="1108"/>
    <x v="0"/>
    <n v="1380.51"/>
    <x v="1104"/>
    <x v="1106"/>
    <x v="3"/>
    <x v="1"/>
  </r>
  <r>
    <x v="28"/>
    <x v="13"/>
    <x v="2"/>
    <x v="0"/>
    <x v="1109"/>
    <x v="1"/>
    <n v="2674.39"/>
    <x v="1105"/>
    <x v="1107"/>
    <x v="0"/>
    <x v="1"/>
  </r>
  <r>
    <x v="69"/>
    <x v="13"/>
    <x v="1"/>
    <x v="0"/>
    <x v="1110"/>
    <x v="0"/>
    <n v="687.83"/>
    <x v="1106"/>
    <x v="1108"/>
    <x v="6"/>
    <x v="1"/>
  </r>
  <r>
    <x v="70"/>
    <x v="7"/>
    <x v="2"/>
    <x v="0"/>
    <x v="1111"/>
    <x v="0"/>
    <n v="432.51"/>
    <x v="1107"/>
    <x v="1109"/>
    <x v="5"/>
    <x v="0"/>
  </r>
  <r>
    <x v="46"/>
    <x v="9"/>
    <x v="0"/>
    <x v="0"/>
    <x v="1112"/>
    <x v="0"/>
    <n v="1460.46"/>
    <x v="1108"/>
    <x v="1110"/>
    <x v="0"/>
    <x v="2"/>
  </r>
  <r>
    <x v="27"/>
    <x v="3"/>
    <x v="0"/>
    <x v="1"/>
    <x v="1113"/>
    <x v="1"/>
    <n v="887.15"/>
    <x v="1109"/>
    <x v="1111"/>
    <x v="0"/>
    <x v="2"/>
  </r>
  <r>
    <x v="49"/>
    <x v="3"/>
    <x v="1"/>
    <x v="1"/>
    <x v="1114"/>
    <x v="0"/>
    <n v="984.31"/>
    <x v="1110"/>
    <x v="1112"/>
    <x v="2"/>
    <x v="2"/>
  </r>
  <r>
    <x v="58"/>
    <x v="1"/>
    <x v="0"/>
    <x v="0"/>
    <x v="1115"/>
    <x v="1"/>
    <n v="1184.6500000000001"/>
    <x v="1111"/>
    <x v="1113"/>
    <x v="5"/>
    <x v="1"/>
  </r>
  <r>
    <x v="17"/>
    <x v="3"/>
    <x v="0"/>
    <x v="0"/>
    <x v="1116"/>
    <x v="0"/>
    <n v="958.34"/>
    <x v="1112"/>
    <x v="1114"/>
    <x v="0"/>
    <x v="2"/>
  </r>
  <r>
    <x v="34"/>
    <x v="10"/>
    <x v="0"/>
    <x v="0"/>
    <x v="1117"/>
    <x v="0"/>
    <n v="888.39"/>
    <x v="1113"/>
    <x v="1115"/>
    <x v="0"/>
    <x v="3"/>
  </r>
  <r>
    <x v="23"/>
    <x v="1"/>
    <x v="2"/>
    <x v="1"/>
    <x v="1118"/>
    <x v="1"/>
    <n v="2011.36"/>
    <x v="1114"/>
    <x v="1116"/>
    <x v="2"/>
    <x v="1"/>
  </r>
  <r>
    <x v="30"/>
    <x v="0"/>
    <x v="0"/>
    <x v="1"/>
    <x v="1119"/>
    <x v="1"/>
    <n v="818.32"/>
    <x v="1115"/>
    <x v="1117"/>
    <x v="2"/>
    <x v="0"/>
  </r>
  <r>
    <x v="45"/>
    <x v="5"/>
    <x v="2"/>
    <x v="0"/>
    <x v="1120"/>
    <x v="1"/>
    <n v="297.29000000000002"/>
    <x v="1116"/>
    <x v="1118"/>
    <x v="1"/>
    <x v="2"/>
  </r>
  <r>
    <x v="27"/>
    <x v="4"/>
    <x v="1"/>
    <x v="0"/>
    <x v="1121"/>
    <x v="0"/>
    <n v="1782.19"/>
    <x v="1117"/>
    <x v="1119"/>
    <x v="0"/>
    <x v="0"/>
  </r>
  <r>
    <x v="23"/>
    <x v="10"/>
    <x v="0"/>
    <x v="0"/>
    <x v="1122"/>
    <x v="1"/>
    <n v="1642.02"/>
    <x v="1118"/>
    <x v="1120"/>
    <x v="2"/>
    <x v="3"/>
  </r>
  <r>
    <x v="11"/>
    <x v="7"/>
    <x v="0"/>
    <x v="0"/>
    <x v="1123"/>
    <x v="0"/>
    <n v="565.71"/>
    <x v="1119"/>
    <x v="1121"/>
    <x v="4"/>
    <x v="0"/>
  </r>
  <r>
    <x v="27"/>
    <x v="12"/>
    <x v="1"/>
    <x v="0"/>
    <x v="1124"/>
    <x v="0"/>
    <n v="1596.78"/>
    <x v="1120"/>
    <x v="1122"/>
    <x v="0"/>
    <x v="4"/>
  </r>
  <r>
    <x v="57"/>
    <x v="13"/>
    <x v="2"/>
    <x v="0"/>
    <x v="1125"/>
    <x v="1"/>
    <n v="673.45"/>
    <x v="1121"/>
    <x v="1123"/>
    <x v="2"/>
    <x v="1"/>
  </r>
  <r>
    <x v="26"/>
    <x v="7"/>
    <x v="2"/>
    <x v="0"/>
    <x v="1126"/>
    <x v="0"/>
    <n v="1120.94"/>
    <x v="1122"/>
    <x v="1124"/>
    <x v="1"/>
    <x v="0"/>
  </r>
  <r>
    <x v="7"/>
    <x v="15"/>
    <x v="0"/>
    <x v="0"/>
    <x v="1127"/>
    <x v="0"/>
    <n v="1212.18"/>
    <x v="1123"/>
    <x v="1125"/>
    <x v="0"/>
    <x v="0"/>
  </r>
  <r>
    <x v="5"/>
    <x v="5"/>
    <x v="1"/>
    <x v="0"/>
    <x v="1128"/>
    <x v="0"/>
    <n v="805.58"/>
    <x v="1124"/>
    <x v="1126"/>
    <x v="0"/>
    <x v="2"/>
  </r>
  <r>
    <x v="71"/>
    <x v="9"/>
    <x v="1"/>
    <x v="1"/>
    <x v="1129"/>
    <x v="0"/>
    <n v="327.58999999999997"/>
    <x v="1125"/>
    <x v="1127"/>
    <x v="6"/>
    <x v="2"/>
  </r>
  <r>
    <x v="63"/>
    <x v="14"/>
    <x v="0"/>
    <x v="0"/>
    <x v="1130"/>
    <x v="0"/>
    <n v="196.19"/>
    <x v="1126"/>
    <x v="1128"/>
    <x v="6"/>
    <x v="3"/>
  </r>
  <r>
    <x v="19"/>
    <x v="4"/>
    <x v="2"/>
    <x v="0"/>
    <x v="1131"/>
    <x v="0"/>
    <n v="2501.19"/>
    <x v="1127"/>
    <x v="1129"/>
    <x v="0"/>
    <x v="0"/>
  </r>
  <r>
    <x v="16"/>
    <x v="5"/>
    <x v="0"/>
    <x v="2"/>
    <x v="1132"/>
    <x v="1"/>
    <n v="325.52"/>
    <x v="1128"/>
    <x v="1130"/>
    <x v="4"/>
    <x v="2"/>
  </r>
  <r>
    <x v="59"/>
    <x v="1"/>
    <x v="2"/>
    <x v="1"/>
    <x v="1133"/>
    <x v="0"/>
    <n v="1273.3499999999999"/>
    <x v="1129"/>
    <x v="1131"/>
    <x v="5"/>
    <x v="1"/>
  </r>
  <r>
    <x v="64"/>
    <x v="10"/>
    <x v="2"/>
    <x v="1"/>
    <x v="1134"/>
    <x v="0"/>
    <n v="837.57"/>
    <x v="1130"/>
    <x v="1132"/>
    <x v="5"/>
    <x v="3"/>
  </r>
  <r>
    <x v="5"/>
    <x v="1"/>
    <x v="0"/>
    <x v="0"/>
    <x v="1135"/>
    <x v="0"/>
    <n v="1337.17"/>
    <x v="1131"/>
    <x v="1133"/>
    <x v="0"/>
    <x v="1"/>
  </r>
  <r>
    <x v="40"/>
    <x v="10"/>
    <x v="1"/>
    <x v="1"/>
    <x v="1136"/>
    <x v="0"/>
    <n v="851.8"/>
    <x v="1132"/>
    <x v="1134"/>
    <x v="4"/>
    <x v="3"/>
  </r>
  <r>
    <x v="10"/>
    <x v="10"/>
    <x v="0"/>
    <x v="0"/>
    <x v="1137"/>
    <x v="0"/>
    <n v="707.77"/>
    <x v="1133"/>
    <x v="1135"/>
    <x v="2"/>
    <x v="3"/>
  </r>
  <r>
    <x v="38"/>
    <x v="10"/>
    <x v="1"/>
    <x v="0"/>
    <x v="1138"/>
    <x v="0"/>
    <n v="1000.7"/>
    <x v="1134"/>
    <x v="1136"/>
    <x v="5"/>
    <x v="3"/>
  </r>
  <r>
    <x v="52"/>
    <x v="11"/>
    <x v="0"/>
    <x v="2"/>
    <x v="1139"/>
    <x v="0"/>
    <n v="1502.87"/>
    <x v="1135"/>
    <x v="1137"/>
    <x v="0"/>
    <x v="4"/>
  </r>
  <r>
    <x v="24"/>
    <x v="15"/>
    <x v="0"/>
    <x v="1"/>
    <x v="1140"/>
    <x v="0"/>
    <n v="1482.9"/>
    <x v="1136"/>
    <x v="1138"/>
    <x v="4"/>
    <x v="0"/>
  </r>
  <r>
    <x v="27"/>
    <x v="15"/>
    <x v="0"/>
    <x v="1"/>
    <x v="1141"/>
    <x v="0"/>
    <n v="3583.48"/>
    <x v="1137"/>
    <x v="1139"/>
    <x v="0"/>
    <x v="0"/>
  </r>
  <r>
    <x v="34"/>
    <x v="14"/>
    <x v="0"/>
    <x v="1"/>
    <x v="1142"/>
    <x v="2"/>
    <n v="1491.7"/>
    <x v="1138"/>
    <x v="1140"/>
    <x v="0"/>
    <x v="3"/>
  </r>
  <r>
    <x v="56"/>
    <x v="13"/>
    <x v="1"/>
    <x v="0"/>
    <x v="1143"/>
    <x v="0"/>
    <n v="515.73"/>
    <x v="1139"/>
    <x v="1141"/>
    <x v="4"/>
    <x v="1"/>
  </r>
  <r>
    <x v="15"/>
    <x v="1"/>
    <x v="2"/>
    <x v="0"/>
    <x v="1144"/>
    <x v="0"/>
    <n v="395.76"/>
    <x v="1140"/>
    <x v="1142"/>
    <x v="5"/>
    <x v="1"/>
  </r>
  <r>
    <x v="8"/>
    <x v="10"/>
    <x v="1"/>
    <x v="0"/>
    <x v="1145"/>
    <x v="0"/>
    <n v="2273.64"/>
    <x v="1141"/>
    <x v="1143"/>
    <x v="0"/>
    <x v="3"/>
  </r>
  <r>
    <x v="64"/>
    <x v="8"/>
    <x v="0"/>
    <x v="2"/>
    <x v="1146"/>
    <x v="0"/>
    <n v="710.76"/>
    <x v="1142"/>
    <x v="1144"/>
    <x v="5"/>
    <x v="4"/>
  </r>
  <r>
    <x v="9"/>
    <x v="4"/>
    <x v="0"/>
    <x v="0"/>
    <x v="1147"/>
    <x v="1"/>
    <n v="281.64"/>
    <x v="1143"/>
    <x v="1145"/>
    <x v="3"/>
    <x v="0"/>
  </r>
  <r>
    <x v="24"/>
    <x v="5"/>
    <x v="0"/>
    <x v="1"/>
    <x v="1148"/>
    <x v="0"/>
    <n v="1071.19"/>
    <x v="1144"/>
    <x v="1146"/>
    <x v="4"/>
    <x v="2"/>
  </r>
  <r>
    <x v="10"/>
    <x v="15"/>
    <x v="0"/>
    <x v="0"/>
    <x v="1149"/>
    <x v="0"/>
    <n v="887.02"/>
    <x v="1145"/>
    <x v="1147"/>
    <x v="2"/>
    <x v="0"/>
  </r>
  <r>
    <x v="68"/>
    <x v="12"/>
    <x v="0"/>
    <x v="1"/>
    <x v="1150"/>
    <x v="0"/>
    <n v="1489.46"/>
    <x v="1146"/>
    <x v="1148"/>
    <x v="2"/>
    <x v="4"/>
  </r>
  <r>
    <x v="48"/>
    <x v="15"/>
    <x v="0"/>
    <x v="0"/>
    <x v="1151"/>
    <x v="0"/>
    <n v="743.54"/>
    <x v="1147"/>
    <x v="1149"/>
    <x v="2"/>
    <x v="0"/>
  </r>
  <r>
    <x v="63"/>
    <x v="15"/>
    <x v="0"/>
    <x v="2"/>
    <x v="1152"/>
    <x v="1"/>
    <n v="1189.3699999999999"/>
    <x v="1148"/>
    <x v="1150"/>
    <x v="6"/>
    <x v="0"/>
  </r>
  <r>
    <x v="37"/>
    <x v="6"/>
    <x v="0"/>
    <x v="0"/>
    <x v="1153"/>
    <x v="0"/>
    <n v="971.49"/>
    <x v="1149"/>
    <x v="1151"/>
    <x v="4"/>
    <x v="3"/>
  </r>
  <r>
    <x v="67"/>
    <x v="7"/>
    <x v="1"/>
    <x v="0"/>
    <x v="1154"/>
    <x v="1"/>
    <n v="788.54"/>
    <x v="1150"/>
    <x v="1152"/>
    <x v="1"/>
    <x v="0"/>
  </r>
  <r>
    <x v="47"/>
    <x v="14"/>
    <x v="1"/>
    <x v="0"/>
    <x v="1155"/>
    <x v="0"/>
    <n v="916.72"/>
    <x v="1151"/>
    <x v="1153"/>
    <x v="5"/>
    <x v="3"/>
  </r>
  <r>
    <x v="3"/>
    <x v="14"/>
    <x v="0"/>
    <x v="1"/>
    <x v="1156"/>
    <x v="1"/>
    <n v="2543.35"/>
    <x v="1152"/>
    <x v="1154"/>
    <x v="0"/>
    <x v="3"/>
  </r>
  <r>
    <x v="51"/>
    <x v="10"/>
    <x v="2"/>
    <x v="1"/>
    <x v="1157"/>
    <x v="1"/>
    <n v="810.8"/>
    <x v="1153"/>
    <x v="1155"/>
    <x v="6"/>
    <x v="3"/>
  </r>
  <r>
    <x v="64"/>
    <x v="9"/>
    <x v="0"/>
    <x v="1"/>
    <x v="1158"/>
    <x v="0"/>
    <n v="718.95"/>
    <x v="1154"/>
    <x v="1156"/>
    <x v="5"/>
    <x v="2"/>
  </r>
  <r>
    <x v="32"/>
    <x v="4"/>
    <x v="0"/>
    <x v="1"/>
    <x v="1159"/>
    <x v="0"/>
    <n v="878.64"/>
    <x v="1155"/>
    <x v="1157"/>
    <x v="3"/>
    <x v="0"/>
  </r>
  <r>
    <x v="54"/>
    <x v="6"/>
    <x v="0"/>
    <x v="0"/>
    <x v="1160"/>
    <x v="0"/>
    <n v="622.30999999999995"/>
    <x v="1156"/>
    <x v="1158"/>
    <x v="0"/>
    <x v="3"/>
  </r>
  <r>
    <x v="1"/>
    <x v="14"/>
    <x v="0"/>
    <x v="1"/>
    <x v="1161"/>
    <x v="1"/>
    <n v="1313.46"/>
    <x v="1157"/>
    <x v="1159"/>
    <x v="1"/>
    <x v="3"/>
  </r>
  <r>
    <x v="0"/>
    <x v="1"/>
    <x v="2"/>
    <x v="0"/>
    <x v="1162"/>
    <x v="1"/>
    <n v="1661.32"/>
    <x v="1158"/>
    <x v="1160"/>
    <x v="0"/>
    <x v="1"/>
  </r>
  <r>
    <x v="41"/>
    <x v="10"/>
    <x v="0"/>
    <x v="0"/>
    <x v="1163"/>
    <x v="0"/>
    <n v="376.09"/>
    <x v="1159"/>
    <x v="1161"/>
    <x v="2"/>
    <x v="3"/>
  </r>
  <r>
    <x v="1"/>
    <x v="3"/>
    <x v="0"/>
    <x v="1"/>
    <x v="1164"/>
    <x v="0"/>
    <n v="1104.28"/>
    <x v="1160"/>
    <x v="1162"/>
    <x v="1"/>
    <x v="2"/>
  </r>
  <r>
    <x v="43"/>
    <x v="5"/>
    <x v="1"/>
    <x v="0"/>
    <x v="1165"/>
    <x v="0"/>
    <n v="303.27"/>
    <x v="1161"/>
    <x v="1163"/>
    <x v="4"/>
    <x v="2"/>
  </r>
  <r>
    <x v="2"/>
    <x v="4"/>
    <x v="2"/>
    <x v="0"/>
    <x v="1166"/>
    <x v="0"/>
    <n v="2036.01"/>
    <x v="624"/>
    <x v="624"/>
    <x v="0"/>
    <x v="0"/>
  </r>
  <r>
    <x v="59"/>
    <x v="9"/>
    <x v="0"/>
    <x v="0"/>
    <x v="1167"/>
    <x v="1"/>
    <n v="253.87"/>
    <x v="1162"/>
    <x v="1164"/>
    <x v="5"/>
    <x v="2"/>
  </r>
  <r>
    <x v="0"/>
    <x v="9"/>
    <x v="2"/>
    <x v="1"/>
    <x v="1168"/>
    <x v="1"/>
    <n v="2593.46"/>
    <x v="1163"/>
    <x v="1165"/>
    <x v="0"/>
    <x v="2"/>
  </r>
  <r>
    <x v="19"/>
    <x v="13"/>
    <x v="0"/>
    <x v="1"/>
    <x v="1169"/>
    <x v="0"/>
    <n v="1808.04"/>
    <x v="1164"/>
    <x v="1166"/>
    <x v="0"/>
    <x v="1"/>
  </r>
  <r>
    <x v="18"/>
    <x v="1"/>
    <x v="2"/>
    <x v="2"/>
    <x v="1170"/>
    <x v="0"/>
    <n v="1316.67"/>
    <x v="1165"/>
    <x v="1167"/>
    <x v="1"/>
    <x v="1"/>
  </r>
  <r>
    <x v="65"/>
    <x v="2"/>
    <x v="2"/>
    <x v="0"/>
    <x v="1171"/>
    <x v="0"/>
    <n v="932.91"/>
    <x v="1166"/>
    <x v="1168"/>
    <x v="3"/>
    <x v="1"/>
  </r>
  <r>
    <x v="28"/>
    <x v="13"/>
    <x v="0"/>
    <x v="2"/>
    <x v="1172"/>
    <x v="0"/>
    <n v="3433.15"/>
    <x v="1167"/>
    <x v="1169"/>
    <x v="0"/>
    <x v="1"/>
  </r>
  <r>
    <x v="44"/>
    <x v="7"/>
    <x v="2"/>
    <x v="0"/>
    <x v="1173"/>
    <x v="0"/>
    <n v="1639.95"/>
    <x v="1168"/>
    <x v="1170"/>
    <x v="6"/>
    <x v="0"/>
  </r>
  <r>
    <x v="21"/>
    <x v="1"/>
    <x v="1"/>
    <x v="0"/>
    <x v="1174"/>
    <x v="0"/>
    <n v="786.41"/>
    <x v="1169"/>
    <x v="1171"/>
    <x v="3"/>
    <x v="1"/>
  </r>
  <r>
    <x v="70"/>
    <x v="13"/>
    <x v="2"/>
    <x v="0"/>
    <x v="1175"/>
    <x v="1"/>
    <n v="973.92"/>
    <x v="1170"/>
    <x v="1172"/>
    <x v="5"/>
    <x v="1"/>
  </r>
  <r>
    <x v="6"/>
    <x v="3"/>
    <x v="1"/>
    <x v="0"/>
    <x v="1176"/>
    <x v="0"/>
    <n v="731.57"/>
    <x v="1171"/>
    <x v="1173"/>
    <x v="2"/>
    <x v="2"/>
  </r>
  <r>
    <x v="44"/>
    <x v="0"/>
    <x v="0"/>
    <x v="0"/>
    <x v="1177"/>
    <x v="0"/>
    <n v="492.4"/>
    <x v="1172"/>
    <x v="1174"/>
    <x v="6"/>
    <x v="0"/>
  </r>
  <r>
    <x v="45"/>
    <x v="13"/>
    <x v="0"/>
    <x v="0"/>
    <x v="1178"/>
    <x v="0"/>
    <n v="678.97"/>
    <x v="1173"/>
    <x v="1175"/>
    <x v="1"/>
    <x v="1"/>
  </r>
  <r>
    <x v="62"/>
    <x v="8"/>
    <x v="2"/>
    <x v="0"/>
    <x v="1179"/>
    <x v="0"/>
    <n v="666.39"/>
    <x v="1174"/>
    <x v="1176"/>
    <x v="1"/>
    <x v="4"/>
  </r>
  <r>
    <x v="31"/>
    <x v="15"/>
    <x v="0"/>
    <x v="0"/>
    <x v="1180"/>
    <x v="0"/>
    <n v="2860.11"/>
    <x v="1175"/>
    <x v="1177"/>
    <x v="0"/>
    <x v="0"/>
  </r>
  <r>
    <x v="65"/>
    <x v="7"/>
    <x v="0"/>
    <x v="0"/>
    <x v="1181"/>
    <x v="0"/>
    <n v="1066.6600000000001"/>
    <x v="1176"/>
    <x v="1178"/>
    <x v="3"/>
    <x v="0"/>
  </r>
  <r>
    <x v="0"/>
    <x v="13"/>
    <x v="2"/>
    <x v="0"/>
    <x v="1182"/>
    <x v="0"/>
    <n v="1319.5"/>
    <x v="1177"/>
    <x v="1179"/>
    <x v="0"/>
    <x v="1"/>
  </r>
  <r>
    <x v="34"/>
    <x v="7"/>
    <x v="2"/>
    <x v="0"/>
    <x v="1183"/>
    <x v="0"/>
    <n v="1097.1500000000001"/>
    <x v="1178"/>
    <x v="1180"/>
    <x v="0"/>
    <x v="0"/>
  </r>
  <r>
    <x v="66"/>
    <x v="13"/>
    <x v="0"/>
    <x v="0"/>
    <x v="1184"/>
    <x v="0"/>
    <n v="362.83"/>
    <x v="1179"/>
    <x v="1181"/>
    <x v="5"/>
    <x v="1"/>
  </r>
  <r>
    <x v="52"/>
    <x v="9"/>
    <x v="2"/>
    <x v="0"/>
    <x v="1185"/>
    <x v="0"/>
    <n v="1433.95"/>
    <x v="1180"/>
    <x v="1182"/>
    <x v="0"/>
    <x v="2"/>
  </r>
  <r>
    <x v="65"/>
    <x v="8"/>
    <x v="1"/>
    <x v="1"/>
    <x v="1186"/>
    <x v="0"/>
    <n v="1662.3"/>
    <x v="1181"/>
    <x v="1183"/>
    <x v="3"/>
    <x v="4"/>
  </r>
  <r>
    <x v="54"/>
    <x v="10"/>
    <x v="1"/>
    <x v="1"/>
    <x v="1187"/>
    <x v="1"/>
    <n v="2527.17"/>
    <x v="1182"/>
    <x v="1184"/>
    <x v="0"/>
    <x v="3"/>
  </r>
  <r>
    <x v="68"/>
    <x v="15"/>
    <x v="0"/>
    <x v="0"/>
    <x v="1188"/>
    <x v="0"/>
    <n v="677.52"/>
    <x v="1183"/>
    <x v="1185"/>
    <x v="2"/>
    <x v="0"/>
  </r>
  <r>
    <x v="23"/>
    <x v="1"/>
    <x v="2"/>
    <x v="0"/>
    <x v="1189"/>
    <x v="0"/>
    <n v="1037.54"/>
    <x v="1184"/>
    <x v="1186"/>
    <x v="2"/>
    <x v="1"/>
  </r>
  <r>
    <x v="52"/>
    <x v="4"/>
    <x v="0"/>
    <x v="1"/>
    <x v="1190"/>
    <x v="0"/>
    <n v="3586.57"/>
    <x v="1185"/>
    <x v="1187"/>
    <x v="0"/>
    <x v="0"/>
  </r>
  <r>
    <x v="8"/>
    <x v="11"/>
    <x v="2"/>
    <x v="0"/>
    <x v="1191"/>
    <x v="0"/>
    <n v="1709.35"/>
    <x v="1186"/>
    <x v="1188"/>
    <x v="0"/>
    <x v="4"/>
  </r>
  <r>
    <x v="34"/>
    <x v="14"/>
    <x v="2"/>
    <x v="0"/>
    <x v="1192"/>
    <x v="1"/>
    <n v="1292.21"/>
    <x v="1187"/>
    <x v="1189"/>
    <x v="0"/>
    <x v="3"/>
  </r>
  <r>
    <x v="53"/>
    <x v="4"/>
    <x v="2"/>
    <x v="1"/>
    <x v="1193"/>
    <x v="0"/>
    <n v="1807.88"/>
    <x v="1188"/>
    <x v="1190"/>
    <x v="3"/>
    <x v="0"/>
  </r>
  <r>
    <x v="48"/>
    <x v="0"/>
    <x v="0"/>
    <x v="0"/>
    <x v="1194"/>
    <x v="0"/>
    <n v="429.4"/>
    <x v="1189"/>
    <x v="1191"/>
    <x v="2"/>
    <x v="0"/>
  </r>
  <r>
    <x v="33"/>
    <x v="1"/>
    <x v="0"/>
    <x v="1"/>
    <x v="1195"/>
    <x v="0"/>
    <n v="799.07"/>
    <x v="1190"/>
    <x v="1192"/>
    <x v="3"/>
    <x v="1"/>
  </r>
  <r>
    <x v="36"/>
    <x v="3"/>
    <x v="0"/>
    <x v="1"/>
    <x v="1196"/>
    <x v="0"/>
    <n v="1495.89"/>
    <x v="1191"/>
    <x v="1193"/>
    <x v="1"/>
    <x v="2"/>
  </r>
  <r>
    <x v="15"/>
    <x v="15"/>
    <x v="2"/>
    <x v="1"/>
    <x v="1197"/>
    <x v="0"/>
    <n v="1337.16"/>
    <x v="1192"/>
    <x v="1194"/>
    <x v="5"/>
    <x v="0"/>
  </r>
  <r>
    <x v="4"/>
    <x v="8"/>
    <x v="0"/>
    <x v="0"/>
    <x v="1198"/>
    <x v="0"/>
    <n v="508.38"/>
    <x v="1193"/>
    <x v="1195"/>
    <x v="2"/>
    <x v="4"/>
  </r>
  <r>
    <x v="14"/>
    <x v="4"/>
    <x v="0"/>
    <x v="0"/>
    <x v="1199"/>
    <x v="0"/>
    <n v="580.57000000000005"/>
    <x v="1194"/>
    <x v="1196"/>
    <x v="5"/>
    <x v="0"/>
  </r>
  <r>
    <x v="4"/>
    <x v="13"/>
    <x v="0"/>
    <x v="0"/>
    <x v="1200"/>
    <x v="0"/>
    <n v="432.78"/>
    <x v="1195"/>
    <x v="1197"/>
    <x v="2"/>
    <x v="1"/>
  </r>
  <r>
    <x v="24"/>
    <x v="4"/>
    <x v="0"/>
    <x v="0"/>
    <x v="1201"/>
    <x v="0"/>
    <n v="905.37"/>
    <x v="1196"/>
    <x v="1198"/>
    <x v="4"/>
    <x v="0"/>
  </r>
  <r>
    <x v="22"/>
    <x v="2"/>
    <x v="2"/>
    <x v="1"/>
    <x v="1202"/>
    <x v="0"/>
    <n v="1551.13"/>
    <x v="1197"/>
    <x v="1199"/>
    <x v="1"/>
    <x v="1"/>
  </r>
  <r>
    <x v="3"/>
    <x v="10"/>
    <x v="0"/>
    <x v="2"/>
    <x v="1203"/>
    <x v="1"/>
    <n v="5832.72"/>
    <x v="1198"/>
    <x v="1200"/>
    <x v="0"/>
    <x v="3"/>
  </r>
  <r>
    <x v="41"/>
    <x v="15"/>
    <x v="1"/>
    <x v="0"/>
    <x v="1204"/>
    <x v="1"/>
    <n v="945.26"/>
    <x v="1199"/>
    <x v="1201"/>
    <x v="2"/>
    <x v="0"/>
  </r>
  <r>
    <x v="41"/>
    <x v="4"/>
    <x v="0"/>
    <x v="0"/>
    <x v="1205"/>
    <x v="0"/>
    <n v="719.9"/>
    <x v="1200"/>
    <x v="1202"/>
    <x v="2"/>
    <x v="0"/>
  </r>
  <r>
    <x v="63"/>
    <x v="10"/>
    <x v="2"/>
    <x v="0"/>
    <x v="1206"/>
    <x v="1"/>
    <n v="282.92"/>
    <x v="1201"/>
    <x v="1203"/>
    <x v="6"/>
    <x v="3"/>
  </r>
  <r>
    <x v="32"/>
    <x v="10"/>
    <x v="2"/>
    <x v="0"/>
    <x v="1207"/>
    <x v="0"/>
    <n v="891.05"/>
    <x v="1202"/>
    <x v="1204"/>
    <x v="3"/>
    <x v="3"/>
  </r>
  <r>
    <x v="70"/>
    <x v="7"/>
    <x v="2"/>
    <x v="1"/>
    <x v="1208"/>
    <x v="0"/>
    <n v="592.94000000000005"/>
    <x v="1203"/>
    <x v="1205"/>
    <x v="5"/>
    <x v="0"/>
  </r>
  <r>
    <x v="65"/>
    <x v="3"/>
    <x v="0"/>
    <x v="0"/>
    <x v="1209"/>
    <x v="0"/>
    <n v="707.1"/>
    <x v="1204"/>
    <x v="1206"/>
    <x v="3"/>
    <x v="2"/>
  </r>
  <r>
    <x v="32"/>
    <x v="1"/>
    <x v="2"/>
    <x v="0"/>
    <x v="1210"/>
    <x v="0"/>
    <n v="2330.6"/>
    <x v="1205"/>
    <x v="1207"/>
    <x v="3"/>
    <x v="1"/>
  </r>
  <r>
    <x v="13"/>
    <x v="0"/>
    <x v="2"/>
    <x v="1"/>
    <x v="1211"/>
    <x v="0"/>
    <n v="1084.94"/>
    <x v="0"/>
    <x v="0"/>
    <x v="1"/>
    <x v="0"/>
  </r>
  <r>
    <x v="5"/>
    <x v="4"/>
    <x v="2"/>
    <x v="0"/>
    <x v="1212"/>
    <x v="0"/>
    <n v="3165.95"/>
    <x v="1206"/>
    <x v="1208"/>
    <x v="0"/>
    <x v="0"/>
  </r>
  <r>
    <x v="41"/>
    <x v="12"/>
    <x v="0"/>
    <x v="0"/>
    <x v="1213"/>
    <x v="0"/>
    <n v="269.39999999999998"/>
    <x v="1207"/>
    <x v="1209"/>
    <x v="2"/>
    <x v="4"/>
  </r>
  <r>
    <x v="46"/>
    <x v="7"/>
    <x v="0"/>
    <x v="0"/>
    <x v="1214"/>
    <x v="0"/>
    <n v="1819.55"/>
    <x v="1208"/>
    <x v="1210"/>
    <x v="0"/>
    <x v="0"/>
  </r>
  <r>
    <x v="63"/>
    <x v="1"/>
    <x v="0"/>
    <x v="0"/>
    <x v="1215"/>
    <x v="0"/>
    <n v="326.35000000000002"/>
    <x v="1209"/>
    <x v="1211"/>
    <x v="6"/>
    <x v="1"/>
  </r>
  <r>
    <x v="25"/>
    <x v="12"/>
    <x v="0"/>
    <x v="0"/>
    <x v="1216"/>
    <x v="0"/>
    <n v="762.84"/>
    <x v="1210"/>
    <x v="1212"/>
    <x v="3"/>
    <x v="4"/>
  </r>
  <r>
    <x v="5"/>
    <x v="8"/>
    <x v="1"/>
    <x v="0"/>
    <x v="1217"/>
    <x v="2"/>
    <n v="1063.3"/>
    <x v="1211"/>
    <x v="1213"/>
    <x v="0"/>
    <x v="4"/>
  </r>
  <r>
    <x v="41"/>
    <x v="12"/>
    <x v="0"/>
    <x v="0"/>
    <x v="1218"/>
    <x v="0"/>
    <n v="407.83"/>
    <x v="1212"/>
    <x v="1214"/>
    <x v="2"/>
    <x v="4"/>
  </r>
  <r>
    <x v="45"/>
    <x v="8"/>
    <x v="0"/>
    <x v="1"/>
    <x v="1219"/>
    <x v="0"/>
    <n v="1491.15"/>
    <x v="1213"/>
    <x v="1215"/>
    <x v="1"/>
    <x v="4"/>
  </r>
  <r>
    <x v="32"/>
    <x v="14"/>
    <x v="2"/>
    <x v="0"/>
    <x v="1220"/>
    <x v="0"/>
    <n v="960.77"/>
    <x v="1214"/>
    <x v="1216"/>
    <x v="3"/>
    <x v="3"/>
  </r>
  <r>
    <x v="39"/>
    <x v="10"/>
    <x v="0"/>
    <x v="0"/>
    <x v="1221"/>
    <x v="1"/>
    <n v="1651.19"/>
    <x v="1215"/>
    <x v="1217"/>
    <x v="0"/>
    <x v="3"/>
  </r>
  <r>
    <x v="15"/>
    <x v="13"/>
    <x v="0"/>
    <x v="2"/>
    <x v="1222"/>
    <x v="0"/>
    <n v="605.64"/>
    <x v="1216"/>
    <x v="1218"/>
    <x v="5"/>
    <x v="1"/>
  </r>
  <r>
    <x v="27"/>
    <x v="3"/>
    <x v="1"/>
    <x v="0"/>
    <x v="1223"/>
    <x v="0"/>
    <n v="1183.82"/>
    <x v="1217"/>
    <x v="1219"/>
    <x v="0"/>
    <x v="2"/>
  </r>
  <r>
    <x v="27"/>
    <x v="14"/>
    <x v="1"/>
    <x v="0"/>
    <x v="1224"/>
    <x v="2"/>
    <n v="1497.28"/>
    <x v="1218"/>
    <x v="1220"/>
    <x v="0"/>
    <x v="3"/>
  </r>
  <r>
    <x v="66"/>
    <x v="15"/>
    <x v="0"/>
    <x v="0"/>
    <x v="1225"/>
    <x v="0"/>
    <n v="954.28"/>
    <x v="1219"/>
    <x v="1221"/>
    <x v="5"/>
    <x v="0"/>
  </r>
  <r>
    <x v="65"/>
    <x v="14"/>
    <x v="1"/>
    <x v="0"/>
    <x v="1226"/>
    <x v="0"/>
    <n v="1071.5899999999999"/>
    <x v="1220"/>
    <x v="1222"/>
    <x v="3"/>
    <x v="3"/>
  </r>
  <r>
    <x v="2"/>
    <x v="0"/>
    <x v="1"/>
    <x v="0"/>
    <x v="1227"/>
    <x v="1"/>
    <n v="1723.02"/>
    <x v="1221"/>
    <x v="1223"/>
    <x v="0"/>
    <x v="0"/>
  </r>
  <r>
    <x v="54"/>
    <x v="10"/>
    <x v="0"/>
    <x v="0"/>
    <x v="1228"/>
    <x v="2"/>
    <n v="969.65"/>
    <x v="1222"/>
    <x v="1224"/>
    <x v="0"/>
    <x v="3"/>
  </r>
  <r>
    <x v="57"/>
    <x v="10"/>
    <x v="0"/>
    <x v="0"/>
    <x v="1229"/>
    <x v="2"/>
    <n v="585.55999999999995"/>
    <x v="1223"/>
    <x v="1225"/>
    <x v="2"/>
    <x v="3"/>
  </r>
  <r>
    <x v="0"/>
    <x v="10"/>
    <x v="1"/>
    <x v="0"/>
    <x v="1230"/>
    <x v="0"/>
    <n v="1437.12"/>
    <x v="1224"/>
    <x v="1226"/>
    <x v="0"/>
    <x v="3"/>
  </r>
  <r>
    <x v="71"/>
    <x v="10"/>
    <x v="1"/>
    <x v="0"/>
    <x v="1231"/>
    <x v="0"/>
    <n v="423.58"/>
    <x v="1225"/>
    <x v="1227"/>
    <x v="6"/>
    <x v="3"/>
  </r>
  <r>
    <x v="28"/>
    <x v="14"/>
    <x v="2"/>
    <x v="0"/>
    <x v="1232"/>
    <x v="0"/>
    <n v="351.3"/>
    <x v="1226"/>
    <x v="1228"/>
    <x v="0"/>
    <x v="3"/>
  </r>
  <r>
    <x v="47"/>
    <x v="5"/>
    <x v="2"/>
    <x v="0"/>
    <x v="1233"/>
    <x v="0"/>
    <n v="354.71"/>
    <x v="1227"/>
    <x v="1229"/>
    <x v="5"/>
    <x v="2"/>
  </r>
  <r>
    <x v="36"/>
    <x v="14"/>
    <x v="1"/>
    <x v="0"/>
    <x v="1234"/>
    <x v="0"/>
    <n v="751.19"/>
    <x v="1228"/>
    <x v="1230"/>
    <x v="1"/>
    <x v="3"/>
  </r>
  <r>
    <x v="36"/>
    <x v="7"/>
    <x v="0"/>
    <x v="0"/>
    <x v="1235"/>
    <x v="0"/>
    <n v="442.1"/>
    <x v="1229"/>
    <x v="1231"/>
    <x v="1"/>
    <x v="0"/>
  </r>
  <r>
    <x v="5"/>
    <x v="5"/>
    <x v="2"/>
    <x v="1"/>
    <x v="1236"/>
    <x v="0"/>
    <n v="4514.71"/>
    <x v="1230"/>
    <x v="1232"/>
    <x v="0"/>
    <x v="2"/>
  </r>
  <r>
    <x v="43"/>
    <x v="10"/>
    <x v="0"/>
    <x v="0"/>
    <x v="1237"/>
    <x v="0"/>
    <n v="931.74"/>
    <x v="1231"/>
    <x v="1233"/>
    <x v="4"/>
    <x v="3"/>
  </r>
  <r>
    <x v="27"/>
    <x v="2"/>
    <x v="2"/>
    <x v="1"/>
    <x v="1238"/>
    <x v="0"/>
    <n v="1872.18"/>
    <x v="1232"/>
    <x v="1234"/>
    <x v="0"/>
    <x v="1"/>
  </r>
  <r>
    <x v="63"/>
    <x v="12"/>
    <x v="0"/>
    <x v="0"/>
    <x v="1239"/>
    <x v="0"/>
    <n v="321.35000000000002"/>
    <x v="1233"/>
    <x v="1235"/>
    <x v="6"/>
    <x v="4"/>
  </r>
  <r>
    <x v="49"/>
    <x v="2"/>
    <x v="2"/>
    <x v="0"/>
    <x v="1240"/>
    <x v="0"/>
    <n v="509.37"/>
    <x v="1234"/>
    <x v="1236"/>
    <x v="2"/>
    <x v="1"/>
  </r>
  <r>
    <x v="56"/>
    <x v="6"/>
    <x v="1"/>
    <x v="1"/>
    <x v="1241"/>
    <x v="1"/>
    <n v="544.62"/>
    <x v="1235"/>
    <x v="1237"/>
    <x v="4"/>
    <x v="3"/>
  </r>
  <r>
    <x v="3"/>
    <x v="2"/>
    <x v="0"/>
    <x v="0"/>
    <x v="1242"/>
    <x v="0"/>
    <n v="1495.02"/>
    <x v="1236"/>
    <x v="1238"/>
    <x v="0"/>
    <x v="1"/>
  </r>
  <r>
    <x v="5"/>
    <x v="3"/>
    <x v="1"/>
    <x v="0"/>
    <x v="1243"/>
    <x v="0"/>
    <n v="2652.5"/>
    <x v="1237"/>
    <x v="1239"/>
    <x v="0"/>
    <x v="2"/>
  </r>
  <r>
    <x v="47"/>
    <x v="14"/>
    <x v="1"/>
    <x v="2"/>
    <x v="1244"/>
    <x v="0"/>
    <n v="901.9"/>
    <x v="1238"/>
    <x v="1240"/>
    <x v="5"/>
    <x v="3"/>
  </r>
  <r>
    <x v="69"/>
    <x v="0"/>
    <x v="2"/>
    <x v="1"/>
    <x v="1245"/>
    <x v="0"/>
    <n v="806.22"/>
    <x v="1239"/>
    <x v="1241"/>
    <x v="6"/>
    <x v="0"/>
  </r>
  <r>
    <x v="3"/>
    <x v="14"/>
    <x v="1"/>
    <x v="1"/>
    <x v="1246"/>
    <x v="0"/>
    <n v="1451.04"/>
    <x v="1240"/>
    <x v="1242"/>
    <x v="0"/>
    <x v="3"/>
  </r>
  <r>
    <x v="53"/>
    <x v="15"/>
    <x v="0"/>
    <x v="0"/>
    <x v="1247"/>
    <x v="0"/>
    <n v="1424.33"/>
    <x v="1241"/>
    <x v="1243"/>
    <x v="3"/>
    <x v="0"/>
  </r>
  <r>
    <x v="42"/>
    <x v="2"/>
    <x v="0"/>
    <x v="0"/>
    <x v="1248"/>
    <x v="2"/>
    <n v="1068.68"/>
    <x v="1242"/>
    <x v="1244"/>
    <x v="3"/>
    <x v="1"/>
  </r>
  <r>
    <x v="7"/>
    <x v="3"/>
    <x v="0"/>
    <x v="0"/>
    <x v="1249"/>
    <x v="1"/>
    <n v="1277.5999999999999"/>
    <x v="1243"/>
    <x v="1245"/>
    <x v="0"/>
    <x v="2"/>
  </r>
  <r>
    <x v="61"/>
    <x v="3"/>
    <x v="1"/>
    <x v="1"/>
    <x v="1250"/>
    <x v="0"/>
    <n v="273.04000000000002"/>
    <x v="1244"/>
    <x v="1246"/>
    <x v="5"/>
    <x v="2"/>
  </r>
  <r>
    <x v="55"/>
    <x v="2"/>
    <x v="2"/>
    <x v="1"/>
    <x v="1251"/>
    <x v="0"/>
    <n v="718.68"/>
    <x v="1245"/>
    <x v="1247"/>
    <x v="6"/>
    <x v="1"/>
  </r>
  <r>
    <x v="39"/>
    <x v="1"/>
    <x v="2"/>
    <x v="0"/>
    <x v="1252"/>
    <x v="1"/>
    <n v="532.11"/>
    <x v="1246"/>
    <x v="1248"/>
    <x v="0"/>
    <x v="1"/>
  </r>
  <r>
    <x v="45"/>
    <x v="1"/>
    <x v="0"/>
    <x v="0"/>
    <x v="1253"/>
    <x v="0"/>
    <n v="264.07"/>
    <x v="1247"/>
    <x v="1249"/>
    <x v="1"/>
    <x v="1"/>
  </r>
  <r>
    <x v="18"/>
    <x v="2"/>
    <x v="2"/>
    <x v="0"/>
    <x v="1254"/>
    <x v="2"/>
    <n v="751.18"/>
    <x v="1248"/>
    <x v="1250"/>
    <x v="1"/>
    <x v="1"/>
  </r>
  <r>
    <x v="62"/>
    <x v="6"/>
    <x v="2"/>
    <x v="0"/>
    <x v="1255"/>
    <x v="2"/>
    <n v="733.26"/>
    <x v="1249"/>
    <x v="1251"/>
    <x v="1"/>
    <x v="3"/>
  </r>
  <r>
    <x v="35"/>
    <x v="6"/>
    <x v="2"/>
    <x v="2"/>
    <x v="1256"/>
    <x v="0"/>
    <n v="1603.58"/>
    <x v="1250"/>
    <x v="1252"/>
    <x v="1"/>
    <x v="3"/>
  </r>
  <r>
    <x v="3"/>
    <x v="12"/>
    <x v="0"/>
    <x v="0"/>
    <x v="1257"/>
    <x v="0"/>
    <n v="1941.85"/>
    <x v="1251"/>
    <x v="1253"/>
    <x v="0"/>
    <x v="4"/>
  </r>
  <r>
    <x v="67"/>
    <x v="0"/>
    <x v="0"/>
    <x v="1"/>
    <x v="1258"/>
    <x v="0"/>
    <n v="798.03"/>
    <x v="1252"/>
    <x v="1254"/>
    <x v="1"/>
    <x v="0"/>
  </r>
  <r>
    <x v="42"/>
    <x v="6"/>
    <x v="1"/>
    <x v="0"/>
    <x v="1259"/>
    <x v="1"/>
    <n v="2068.41"/>
    <x v="1253"/>
    <x v="1255"/>
    <x v="3"/>
    <x v="3"/>
  </r>
  <r>
    <x v="10"/>
    <x v="4"/>
    <x v="1"/>
    <x v="1"/>
    <x v="1260"/>
    <x v="1"/>
    <n v="2406.2800000000002"/>
    <x v="1254"/>
    <x v="1256"/>
    <x v="2"/>
    <x v="0"/>
  </r>
  <r>
    <x v="14"/>
    <x v="6"/>
    <x v="1"/>
    <x v="1"/>
    <x v="1261"/>
    <x v="0"/>
    <n v="574.83000000000004"/>
    <x v="1255"/>
    <x v="1257"/>
    <x v="5"/>
    <x v="3"/>
  </r>
  <r>
    <x v="24"/>
    <x v="7"/>
    <x v="1"/>
    <x v="0"/>
    <x v="1262"/>
    <x v="0"/>
    <n v="3165.63"/>
    <x v="1256"/>
    <x v="1258"/>
    <x v="4"/>
    <x v="0"/>
  </r>
  <r>
    <x v="27"/>
    <x v="0"/>
    <x v="0"/>
    <x v="0"/>
    <x v="1263"/>
    <x v="0"/>
    <n v="2458.9299999999998"/>
    <x v="1257"/>
    <x v="1259"/>
    <x v="0"/>
    <x v="0"/>
  </r>
  <r>
    <x v="37"/>
    <x v="10"/>
    <x v="0"/>
    <x v="1"/>
    <x v="1264"/>
    <x v="0"/>
    <n v="447.53"/>
    <x v="1258"/>
    <x v="1260"/>
    <x v="4"/>
    <x v="3"/>
  </r>
  <r>
    <x v="34"/>
    <x v="9"/>
    <x v="2"/>
    <x v="0"/>
    <x v="1265"/>
    <x v="1"/>
    <n v="1625.55"/>
    <x v="1259"/>
    <x v="1261"/>
    <x v="0"/>
    <x v="2"/>
  </r>
  <r>
    <x v="33"/>
    <x v="2"/>
    <x v="2"/>
    <x v="1"/>
    <x v="1266"/>
    <x v="0"/>
    <n v="1301.8499999999999"/>
    <x v="1260"/>
    <x v="1262"/>
    <x v="3"/>
    <x v="1"/>
  </r>
  <r>
    <x v="4"/>
    <x v="2"/>
    <x v="0"/>
    <x v="1"/>
    <x v="1267"/>
    <x v="0"/>
    <n v="2141.2800000000002"/>
    <x v="1261"/>
    <x v="1263"/>
    <x v="2"/>
    <x v="1"/>
  </r>
  <r>
    <x v="2"/>
    <x v="3"/>
    <x v="0"/>
    <x v="2"/>
    <x v="1268"/>
    <x v="0"/>
    <n v="1920.55"/>
    <x v="1262"/>
    <x v="1264"/>
    <x v="0"/>
    <x v="2"/>
  </r>
  <r>
    <x v="14"/>
    <x v="10"/>
    <x v="2"/>
    <x v="1"/>
    <x v="1269"/>
    <x v="1"/>
    <n v="513.92999999999995"/>
    <x v="1263"/>
    <x v="1265"/>
    <x v="5"/>
    <x v="3"/>
  </r>
  <r>
    <x v="17"/>
    <x v="15"/>
    <x v="0"/>
    <x v="1"/>
    <x v="1270"/>
    <x v="1"/>
    <n v="2190.44"/>
    <x v="1264"/>
    <x v="1266"/>
    <x v="0"/>
    <x v="0"/>
  </r>
  <r>
    <x v="21"/>
    <x v="11"/>
    <x v="0"/>
    <x v="0"/>
    <x v="1271"/>
    <x v="1"/>
    <n v="641.33000000000004"/>
    <x v="1265"/>
    <x v="1267"/>
    <x v="3"/>
    <x v="4"/>
  </r>
  <r>
    <x v="45"/>
    <x v="13"/>
    <x v="0"/>
    <x v="0"/>
    <x v="1272"/>
    <x v="0"/>
    <n v="238.52"/>
    <x v="1266"/>
    <x v="1268"/>
    <x v="1"/>
    <x v="1"/>
  </r>
  <r>
    <x v="27"/>
    <x v="14"/>
    <x v="0"/>
    <x v="0"/>
    <x v="1273"/>
    <x v="0"/>
    <n v="930.01"/>
    <x v="1267"/>
    <x v="1269"/>
    <x v="0"/>
    <x v="3"/>
  </r>
  <r>
    <x v="7"/>
    <x v="2"/>
    <x v="0"/>
    <x v="0"/>
    <x v="1274"/>
    <x v="1"/>
    <n v="3597.16"/>
    <x v="1268"/>
    <x v="1270"/>
    <x v="0"/>
    <x v="1"/>
  </r>
  <r>
    <x v="38"/>
    <x v="1"/>
    <x v="0"/>
    <x v="1"/>
    <x v="1275"/>
    <x v="0"/>
    <n v="652.49"/>
    <x v="1269"/>
    <x v="1271"/>
    <x v="5"/>
    <x v="1"/>
  </r>
  <r>
    <x v="53"/>
    <x v="8"/>
    <x v="0"/>
    <x v="1"/>
    <x v="1276"/>
    <x v="0"/>
    <n v="782.65"/>
    <x v="1270"/>
    <x v="1272"/>
    <x v="3"/>
    <x v="4"/>
  </r>
  <r>
    <x v="13"/>
    <x v="13"/>
    <x v="0"/>
    <x v="0"/>
    <x v="1277"/>
    <x v="0"/>
    <n v="1195.77"/>
    <x v="1271"/>
    <x v="1273"/>
    <x v="1"/>
    <x v="1"/>
  </r>
  <r>
    <x v="39"/>
    <x v="1"/>
    <x v="0"/>
    <x v="2"/>
    <x v="1278"/>
    <x v="0"/>
    <n v="2417.9499999999998"/>
    <x v="1272"/>
    <x v="1274"/>
    <x v="0"/>
    <x v="1"/>
  </r>
  <r>
    <x v="29"/>
    <x v="0"/>
    <x v="0"/>
    <x v="2"/>
    <x v="1279"/>
    <x v="3"/>
    <n v="2020.54"/>
    <x v="1273"/>
    <x v="1275"/>
    <x v="3"/>
    <x v="0"/>
  </r>
  <r>
    <x v="46"/>
    <x v="3"/>
    <x v="2"/>
    <x v="1"/>
    <x v="1280"/>
    <x v="0"/>
    <n v="1652.41"/>
    <x v="1274"/>
    <x v="1276"/>
    <x v="0"/>
    <x v="2"/>
  </r>
  <r>
    <x v="2"/>
    <x v="12"/>
    <x v="2"/>
    <x v="0"/>
    <x v="1281"/>
    <x v="0"/>
    <n v="937.48"/>
    <x v="1275"/>
    <x v="1277"/>
    <x v="0"/>
    <x v="4"/>
  </r>
  <r>
    <x v="55"/>
    <x v="7"/>
    <x v="2"/>
    <x v="0"/>
    <x v="1282"/>
    <x v="0"/>
    <n v="564.52"/>
    <x v="1276"/>
    <x v="1278"/>
    <x v="6"/>
    <x v="0"/>
  </r>
  <r>
    <x v="72"/>
    <x v="12"/>
    <x v="1"/>
    <x v="0"/>
    <x v="1283"/>
    <x v="0"/>
    <n v="368.51"/>
    <x v="1277"/>
    <x v="1279"/>
    <x v="6"/>
    <x v="4"/>
  </r>
  <r>
    <x v="54"/>
    <x v="3"/>
    <x v="2"/>
    <x v="0"/>
    <x v="1284"/>
    <x v="1"/>
    <n v="631.83000000000004"/>
    <x v="1278"/>
    <x v="1280"/>
    <x v="0"/>
    <x v="2"/>
  </r>
  <r>
    <x v="47"/>
    <x v="13"/>
    <x v="1"/>
    <x v="1"/>
    <x v="1285"/>
    <x v="2"/>
    <n v="1016.36"/>
    <x v="1279"/>
    <x v="1281"/>
    <x v="5"/>
    <x v="1"/>
  </r>
  <r>
    <x v="0"/>
    <x v="1"/>
    <x v="0"/>
    <x v="0"/>
    <x v="1286"/>
    <x v="0"/>
    <n v="2335.8000000000002"/>
    <x v="1280"/>
    <x v="1282"/>
    <x v="0"/>
    <x v="1"/>
  </r>
  <r>
    <x v="2"/>
    <x v="12"/>
    <x v="0"/>
    <x v="1"/>
    <x v="1287"/>
    <x v="0"/>
    <n v="1671.32"/>
    <x v="1281"/>
    <x v="1283"/>
    <x v="0"/>
    <x v="4"/>
  </r>
  <r>
    <x v="1"/>
    <x v="6"/>
    <x v="0"/>
    <x v="0"/>
    <x v="1288"/>
    <x v="0"/>
    <n v="549.38"/>
    <x v="1282"/>
    <x v="1284"/>
    <x v="1"/>
    <x v="3"/>
  </r>
  <r>
    <x v="32"/>
    <x v="14"/>
    <x v="0"/>
    <x v="1"/>
    <x v="1289"/>
    <x v="0"/>
    <n v="2523.29"/>
    <x v="1283"/>
    <x v="1285"/>
    <x v="3"/>
    <x v="3"/>
  </r>
  <r>
    <x v="0"/>
    <x v="11"/>
    <x v="0"/>
    <x v="1"/>
    <x v="1290"/>
    <x v="0"/>
    <n v="1109.03"/>
    <x v="1284"/>
    <x v="1286"/>
    <x v="0"/>
    <x v="4"/>
  </r>
  <r>
    <x v="16"/>
    <x v="15"/>
    <x v="0"/>
    <x v="2"/>
    <x v="1291"/>
    <x v="0"/>
    <n v="1904.54"/>
    <x v="1285"/>
    <x v="1287"/>
    <x v="4"/>
    <x v="0"/>
  </r>
  <r>
    <x v="64"/>
    <x v="8"/>
    <x v="1"/>
    <x v="0"/>
    <x v="1292"/>
    <x v="0"/>
    <n v="388.55"/>
    <x v="1286"/>
    <x v="1288"/>
    <x v="5"/>
    <x v="4"/>
  </r>
  <r>
    <x v="16"/>
    <x v="10"/>
    <x v="2"/>
    <x v="1"/>
    <x v="1293"/>
    <x v="1"/>
    <n v="1274.53"/>
    <x v="1287"/>
    <x v="1289"/>
    <x v="4"/>
    <x v="3"/>
  </r>
  <r>
    <x v="35"/>
    <x v="6"/>
    <x v="0"/>
    <x v="0"/>
    <x v="1294"/>
    <x v="0"/>
    <n v="618.66"/>
    <x v="1288"/>
    <x v="1290"/>
    <x v="1"/>
    <x v="3"/>
  </r>
  <r>
    <x v="1"/>
    <x v="3"/>
    <x v="1"/>
    <x v="0"/>
    <x v="1295"/>
    <x v="0"/>
    <n v="1014.69"/>
    <x v="1289"/>
    <x v="1291"/>
    <x v="1"/>
    <x v="2"/>
  </r>
  <r>
    <x v="37"/>
    <x v="13"/>
    <x v="2"/>
    <x v="0"/>
    <x v="1296"/>
    <x v="0"/>
    <n v="480.74"/>
    <x v="1290"/>
    <x v="1292"/>
    <x v="4"/>
    <x v="1"/>
  </r>
  <r>
    <x v="42"/>
    <x v="12"/>
    <x v="0"/>
    <x v="0"/>
    <x v="1297"/>
    <x v="0"/>
    <n v="662.44"/>
    <x v="1291"/>
    <x v="1293"/>
    <x v="3"/>
    <x v="4"/>
  </r>
  <r>
    <x v="55"/>
    <x v="15"/>
    <x v="0"/>
    <x v="2"/>
    <x v="1298"/>
    <x v="0"/>
    <n v="777.41"/>
    <x v="1292"/>
    <x v="1294"/>
    <x v="6"/>
    <x v="0"/>
  </r>
  <r>
    <x v="31"/>
    <x v="1"/>
    <x v="0"/>
    <x v="0"/>
    <x v="1299"/>
    <x v="0"/>
    <n v="1184.71"/>
    <x v="1293"/>
    <x v="1295"/>
    <x v="0"/>
    <x v="1"/>
  </r>
  <r>
    <x v="10"/>
    <x v="9"/>
    <x v="2"/>
    <x v="1"/>
    <x v="1300"/>
    <x v="0"/>
    <n v="432.45"/>
    <x v="1294"/>
    <x v="1296"/>
    <x v="2"/>
    <x v="2"/>
  </r>
  <r>
    <x v="52"/>
    <x v="0"/>
    <x v="2"/>
    <x v="1"/>
    <x v="1301"/>
    <x v="2"/>
    <n v="4454"/>
    <x v="1295"/>
    <x v="1297"/>
    <x v="0"/>
    <x v="0"/>
  </r>
  <r>
    <x v="36"/>
    <x v="7"/>
    <x v="0"/>
    <x v="0"/>
    <x v="1302"/>
    <x v="2"/>
    <n v="491.73"/>
    <x v="1296"/>
    <x v="1298"/>
    <x v="1"/>
    <x v="0"/>
  </r>
  <r>
    <x v="27"/>
    <x v="9"/>
    <x v="0"/>
    <x v="3"/>
    <x v="1303"/>
    <x v="0"/>
    <n v="2410.09"/>
    <x v="1297"/>
    <x v="1299"/>
    <x v="0"/>
    <x v="2"/>
  </r>
  <r>
    <x v="69"/>
    <x v="9"/>
    <x v="0"/>
    <x v="0"/>
    <x v="1304"/>
    <x v="0"/>
    <n v="227.36"/>
    <x v="1298"/>
    <x v="1300"/>
    <x v="6"/>
    <x v="2"/>
  </r>
  <r>
    <x v="17"/>
    <x v="1"/>
    <x v="2"/>
    <x v="0"/>
    <x v="1305"/>
    <x v="0"/>
    <n v="977.39"/>
    <x v="1299"/>
    <x v="1301"/>
    <x v="0"/>
    <x v="1"/>
  </r>
  <r>
    <x v="19"/>
    <x v="10"/>
    <x v="0"/>
    <x v="1"/>
    <x v="1306"/>
    <x v="0"/>
    <n v="2860.13"/>
    <x v="1300"/>
    <x v="1302"/>
    <x v="0"/>
    <x v="3"/>
  </r>
  <r>
    <x v="61"/>
    <x v="2"/>
    <x v="2"/>
    <x v="0"/>
    <x v="1307"/>
    <x v="0"/>
    <n v="344.43"/>
    <x v="1301"/>
    <x v="1303"/>
    <x v="5"/>
    <x v="1"/>
  </r>
  <r>
    <x v="46"/>
    <x v="9"/>
    <x v="1"/>
    <x v="1"/>
    <x v="1308"/>
    <x v="0"/>
    <n v="1593.31"/>
    <x v="1302"/>
    <x v="1304"/>
    <x v="0"/>
    <x v="2"/>
  </r>
  <r>
    <x v="38"/>
    <x v="4"/>
    <x v="0"/>
    <x v="1"/>
    <x v="1309"/>
    <x v="0"/>
    <n v="1299.27"/>
    <x v="1303"/>
    <x v="1305"/>
    <x v="5"/>
    <x v="0"/>
  </r>
  <r>
    <x v="30"/>
    <x v="13"/>
    <x v="1"/>
    <x v="0"/>
    <x v="1310"/>
    <x v="0"/>
    <n v="524.30999999999995"/>
    <x v="1304"/>
    <x v="1306"/>
    <x v="2"/>
    <x v="1"/>
  </r>
  <r>
    <x v="3"/>
    <x v="3"/>
    <x v="1"/>
    <x v="1"/>
    <x v="1311"/>
    <x v="1"/>
    <n v="4221.49"/>
    <x v="1305"/>
    <x v="1307"/>
    <x v="0"/>
    <x v="2"/>
  </r>
  <r>
    <x v="43"/>
    <x v="12"/>
    <x v="0"/>
    <x v="0"/>
    <x v="1312"/>
    <x v="0"/>
    <n v="596.59"/>
    <x v="1306"/>
    <x v="1308"/>
    <x v="4"/>
    <x v="4"/>
  </r>
  <r>
    <x v="46"/>
    <x v="12"/>
    <x v="0"/>
    <x v="1"/>
    <x v="1313"/>
    <x v="0"/>
    <n v="609.04"/>
    <x v="1307"/>
    <x v="1309"/>
    <x v="0"/>
    <x v="4"/>
  </r>
  <r>
    <x v="60"/>
    <x v="14"/>
    <x v="0"/>
    <x v="0"/>
    <x v="1314"/>
    <x v="0"/>
    <n v="352.09"/>
    <x v="1308"/>
    <x v="1310"/>
    <x v="4"/>
    <x v="3"/>
  </r>
  <r>
    <x v="24"/>
    <x v="5"/>
    <x v="1"/>
    <x v="0"/>
    <x v="1315"/>
    <x v="0"/>
    <n v="917.52"/>
    <x v="1309"/>
    <x v="1311"/>
    <x v="4"/>
    <x v="2"/>
  </r>
  <r>
    <x v="25"/>
    <x v="7"/>
    <x v="1"/>
    <x v="0"/>
    <x v="1316"/>
    <x v="0"/>
    <n v="795.6"/>
    <x v="1310"/>
    <x v="1312"/>
    <x v="3"/>
    <x v="0"/>
  </r>
  <r>
    <x v="27"/>
    <x v="1"/>
    <x v="2"/>
    <x v="0"/>
    <x v="1317"/>
    <x v="0"/>
    <n v="1636.15"/>
    <x v="1311"/>
    <x v="1313"/>
    <x v="0"/>
    <x v="1"/>
  </r>
  <r>
    <x v="55"/>
    <x v="1"/>
    <x v="1"/>
    <x v="1"/>
    <x v="1318"/>
    <x v="0"/>
    <n v="1240.5899999999999"/>
    <x v="1312"/>
    <x v="1314"/>
    <x v="6"/>
    <x v="1"/>
  </r>
  <r>
    <x v="47"/>
    <x v="5"/>
    <x v="0"/>
    <x v="1"/>
    <x v="1319"/>
    <x v="0"/>
    <n v="417.53"/>
    <x v="1313"/>
    <x v="1315"/>
    <x v="5"/>
    <x v="2"/>
  </r>
  <r>
    <x v="1"/>
    <x v="0"/>
    <x v="1"/>
    <x v="0"/>
    <x v="1320"/>
    <x v="1"/>
    <n v="934.17"/>
    <x v="1314"/>
    <x v="1316"/>
    <x v="1"/>
    <x v="0"/>
  </r>
  <r>
    <x v="3"/>
    <x v="10"/>
    <x v="1"/>
    <x v="1"/>
    <x v="1321"/>
    <x v="0"/>
    <n v="2278.9499999999998"/>
    <x v="1315"/>
    <x v="1317"/>
    <x v="0"/>
    <x v="3"/>
  </r>
  <r>
    <x v="15"/>
    <x v="8"/>
    <x v="0"/>
    <x v="0"/>
    <x v="1322"/>
    <x v="1"/>
    <n v="223.84"/>
    <x v="1316"/>
    <x v="1318"/>
    <x v="5"/>
    <x v="4"/>
  </r>
  <r>
    <x v="68"/>
    <x v="2"/>
    <x v="0"/>
    <x v="0"/>
    <x v="1323"/>
    <x v="0"/>
    <n v="1147.2"/>
    <x v="1317"/>
    <x v="1319"/>
    <x v="2"/>
    <x v="1"/>
  </r>
  <r>
    <x v="31"/>
    <x v="13"/>
    <x v="2"/>
    <x v="1"/>
    <x v="1324"/>
    <x v="0"/>
    <n v="1012.46"/>
    <x v="1318"/>
    <x v="1320"/>
    <x v="0"/>
    <x v="1"/>
  </r>
  <r>
    <x v="11"/>
    <x v="1"/>
    <x v="0"/>
    <x v="1"/>
    <x v="1325"/>
    <x v="0"/>
    <n v="443.24"/>
    <x v="1319"/>
    <x v="1321"/>
    <x v="4"/>
    <x v="1"/>
  </r>
  <r>
    <x v="23"/>
    <x v="1"/>
    <x v="2"/>
    <x v="0"/>
    <x v="1326"/>
    <x v="0"/>
    <n v="2272.04"/>
    <x v="1320"/>
    <x v="1322"/>
    <x v="2"/>
    <x v="1"/>
  </r>
  <r>
    <x v="19"/>
    <x v="10"/>
    <x v="0"/>
    <x v="1"/>
    <x v="1327"/>
    <x v="0"/>
    <n v="1319.36"/>
    <x v="1321"/>
    <x v="1323"/>
    <x v="0"/>
    <x v="3"/>
  </r>
  <r>
    <x v="2"/>
    <x v="12"/>
    <x v="2"/>
    <x v="0"/>
    <x v="1328"/>
    <x v="0"/>
    <n v="3146.19"/>
    <x v="1322"/>
    <x v="1324"/>
    <x v="0"/>
    <x v="4"/>
  </r>
  <r>
    <x v="6"/>
    <x v="4"/>
    <x v="1"/>
    <x v="1"/>
    <x v="1329"/>
    <x v="0"/>
    <n v="3034.17"/>
    <x v="1323"/>
    <x v="1325"/>
    <x v="2"/>
    <x v="0"/>
  </r>
  <r>
    <x v="52"/>
    <x v="8"/>
    <x v="1"/>
    <x v="0"/>
    <x v="1330"/>
    <x v="0"/>
    <n v="2326.7399999999998"/>
    <x v="1324"/>
    <x v="1326"/>
    <x v="0"/>
    <x v="4"/>
  </r>
  <r>
    <x v="16"/>
    <x v="7"/>
    <x v="0"/>
    <x v="1"/>
    <x v="1331"/>
    <x v="0"/>
    <n v="716.63"/>
    <x v="1325"/>
    <x v="1327"/>
    <x v="4"/>
    <x v="0"/>
  </r>
  <r>
    <x v="16"/>
    <x v="14"/>
    <x v="1"/>
    <x v="0"/>
    <x v="1332"/>
    <x v="0"/>
    <n v="464.74"/>
    <x v="1326"/>
    <x v="1328"/>
    <x v="4"/>
    <x v="3"/>
  </r>
  <r>
    <x v="3"/>
    <x v="1"/>
    <x v="1"/>
    <x v="1"/>
    <x v="1333"/>
    <x v="0"/>
    <n v="3607.15"/>
    <x v="1327"/>
    <x v="1329"/>
    <x v="0"/>
    <x v="1"/>
  </r>
  <r>
    <x v="31"/>
    <x v="1"/>
    <x v="2"/>
    <x v="0"/>
    <x v="1334"/>
    <x v="0"/>
    <n v="3344.49"/>
    <x v="1328"/>
    <x v="1330"/>
    <x v="0"/>
    <x v="1"/>
  </r>
  <r>
    <x v="58"/>
    <x v="2"/>
    <x v="0"/>
    <x v="0"/>
    <x v="1335"/>
    <x v="1"/>
    <n v="411.4"/>
    <x v="1329"/>
    <x v="1331"/>
    <x v="5"/>
    <x v="1"/>
  </r>
  <r>
    <x v="20"/>
    <x v="14"/>
    <x v="0"/>
    <x v="0"/>
    <x v="1336"/>
    <x v="0"/>
    <n v="1136.03"/>
    <x v="1330"/>
    <x v="1332"/>
    <x v="3"/>
    <x v="3"/>
  </r>
  <r>
    <x v="32"/>
    <x v="1"/>
    <x v="2"/>
    <x v="0"/>
    <x v="1337"/>
    <x v="1"/>
    <n v="783.78"/>
    <x v="1331"/>
    <x v="1333"/>
    <x v="3"/>
    <x v="1"/>
  </r>
  <r>
    <x v="23"/>
    <x v="8"/>
    <x v="1"/>
    <x v="3"/>
    <x v="1338"/>
    <x v="0"/>
    <n v="2671.03"/>
    <x v="1332"/>
    <x v="1334"/>
    <x v="2"/>
    <x v="4"/>
  </r>
  <r>
    <x v="35"/>
    <x v="15"/>
    <x v="2"/>
    <x v="1"/>
    <x v="1339"/>
    <x v="0"/>
    <n v="1577.12"/>
    <x v="1333"/>
    <x v="1335"/>
    <x v="1"/>
    <x v="0"/>
  </r>
  <r>
    <x v="39"/>
    <x v="6"/>
    <x v="0"/>
    <x v="2"/>
    <x v="1340"/>
    <x v="0"/>
    <n v="4350.49"/>
    <x v="1334"/>
    <x v="1336"/>
    <x v="0"/>
    <x v="3"/>
  </r>
  <r>
    <x v="26"/>
    <x v="14"/>
    <x v="1"/>
    <x v="1"/>
    <x v="1341"/>
    <x v="0"/>
    <n v="938.52"/>
    <x v="1335"/>
    <x v="1337"/>
    <x v="1"/>
    <x v="3"/>
  </r>
  <r>
    <x v="28"/>
    <x v="11"/>
    <x v="0"/>
    <x v="0"/>
    <x v="1342"/>
    <x v="0"/>
    <n v="710.17"/>
    <x v="1336"/>
    <x v="1338"/>
    <x v="0"/>
    <x v="4"/>
  </r>
  <r>
    <x v="65"/>
    <x v="1"/>
    <x v="0"/>
    <x v="0"/>
    <x v="1343"/>
    <x v="0"/>
    <n v="1012.96"/>
    <x v="1337"/>
    <x v="1339"/>
    <x v="3"/>
    <x v="1"/>
  </r>
  <r>
    <x v="4"/>
    <x v="1"/>
    <x v="0"/>
    <x v="1"/>
    <x v="1344"/>
    <x v="0"/>
    <n v="2136.96"/>
    <x v="1338"/>
    <x v="1340"/>
    <x v="2"/>
    <x v="1"/>
  </r>
  <r>
    <x v="31"/>
    <x v="2"/>
    <x v="1"/>
    <x v="0"/>
    <x v="1345"/>
    <x v="0"/>
    <n v="2751.4"/>
    <x v="1339"/>
    <x v="1341"/>
    <x v="0"/>
    <x v="1"/>
  </r>
  <r>
    <x v="34"/>
    <x v="5"/>
    <x v="2"/>
    <x v="0"/>
    <x v="1346"/>
    <x v="0"/>
    <n v="1034.49"/>
    <x v="1340"/>
    <x v="1342"/>
    <x v="0"/>
    <x v="2"/>
  </r>
  <r>
    <x v="30"/>
    <x v="9"/>
    <x v="2"/>
    <x v="0"/>
    <x v="1347"/>
    <x v="0"/>
    <n v="1284.79"/>
    <x v="1341"/>
    <x v="1343"/>
    <x v="2"/>
    <x v="2"/>
  </r>
  <r>
    <x v="40"/>
    <x v="12"/>
    <x v="2"/>
    <x v="1"/>
    <x v="1348"/>
    <x v="0"/>
    <n v="545.87"/>
    <x v="1342"/>
    <x v="1344"/>
    <x v="4"/>
    <x v="4"/>
  </r>
  <r>
    <x v="22"/>
    <x v="7"/>
    <x v="1"/>
    <x v="1"/>
    <x v="1349"/>
    <x v="0"/>
    <n v="861.05"/>
    <x v="319"/>
    <x v="319"/>
    <x v="1"/>
    <x v="0"/>
  </r>
  <r>
    <x v="20"/>
    <x v="7"/>
    <x v="0"/>
    <x v="1"/>
    <x v="1350"/>
    <x v="1"/>
    <n v="613.36"/>
    <x v="1343"/>
    <x v="1345"/>
    <x v="3"/>
    <x v="0"/>
  </r>
  <r>
    <x v="66"/>
    <x v="13"/>
    <x v="2"/>
    <x v="0"/>
    <x v="1351"/>
    <x v="0"/>
    <n v="676.94"/>
    <x v="1344"/>
    <x v="1346"/>
    <x v="5"/>
    <x v="1"/>
  </r>
  <r>
    <x v="30"/>
    <x v="2"/>
    <x v="1"/>
    <x v="0"/>
    <x v="1352"/>
    <x v="0"/>
    <n v="710.6"/>
    <x v="1345"/>
    <x v="1347"/>
    <x v="2"/>
    <x v="1"/>
  </r>
  <r>
    <x v="50"/>
    <x v="11"/>
    <x v="0"/>
    <x v="0"/>
    <x v="1353"/>
    <x v="0"/>
    <n v="193.49"/>
    <x v="1346"/>
    <x v="1348"/>
    <x v="4"/>
    <x v="4"/>
  </r>
  <r>
    <x v="16"/>
    <x v="2"/>
    <x v="1"/>
    <x v="0"/>
    <x v="1354"/>
    <x v="1"/>
    <n v="1548.53"/>
    <x v="1347"/>
    <x v="1349"/>
    <x v="4"/>
    <x v="1"/>
  </r>
  <r>
    <x v="0"/>
    <x v="6"/>
    <x v="0"/>
    <x v="0"/>
    <x v="1355"/>
    <x v="0"/>
    <n v="1140.71"/>
    <x v="1348"/>
    <x v="1350"/>
    <x v="0"/>
    <x v="3"/>
  </r>
  <r>
    <x v="43"/>
    <x v="1"/>
    <x v="2"/>
    <x v="0"/>
    <x v="1356"/>
    <x v="1"/>
    <n v="385.9"/>
    <x v="1349"/>
    <x v="1351"/>
    <x v="4"/>
    <x v="1"/>
  </r>
  <r>
    <x v="4"/>
    <x v="3"/>
    <x v="2"/>
    <x v="1"/>
    <x v="1357"/>
    <x v="0"/>
    <n v="3747"/>
    <x v="1350"/>
    <x v="1352"/>
    <x v="2"/>
    <x v="2"/>
  </r>
  <r>
    <x v="41"/>
    <x v="7"/>
    <x v="0"/>
    <x v="1"/>
    <x v="1358"/>
    <x v="0"/>
    <n v="1878.71"/>
    <x v="1351"/>
    <x v="1353"/>
    <x v="2"/>
    <x v="0"/>
  </r>
  <r>
    <x v="17"/>
    <x v="7"/>
    <x v="1"/>
    <x v="0"/>
    <x v="1359"/>
    <x v="0"/>
    <n v="2234.4699999999998"/>
    <x v="1352"/>
    <x v="1354"/>
    <x v="0"/>
    <x v="0"/>
  </r>
  <r>
    <x v="34"/>
    <x v="15"/>
    <x v="2"/>
    <x v="0"/>
    <x v="1360"/>
    <x v="0"/>
    <n v="1500.2"/>
    <x v="1353"/>
    <x v="1355"/>
    <x v="0"/>
    <x v="0"/>
  </r>
  <r>
    <x v="34"/>
    <x v="15"/>
    <x v="2"/>
    <x v="3"/>
    <x v="1361"/>
    <x v="1"/>
    <n v="13053.95"/>
    <x v="1354"/>
    <x v="1356"/>
    <x v="0"/>
    <x v="0"/>
  </r>
  <r>
    <x v="65"/>
    <x v="11"/>
    <x v="2"/>
    <x v="1"/>
    <x v="1362"/>
    <x v="0"/>
    <n v="1349.12"/>
    <x v="1355"/>
    <x v="1357"/>
    <x v="3"/>
    <x v="4"/>
  </r>
  <r>
    <x v="22"/>
    <x v="12"/>
    <x v="1"/>
    <x v="0"/>
    <x v="1363"/>
    <x v="0"/>
    <n v="507.48"/>
    <x v="1356"/>
    <x v="1358"/>
    <x v="1"/>
    <x v="4"/>
  </r>
  <r>
    <x v="72"/>
    <x v="12"/>
    <x v="2"/>
    <x v="1"/>
    <x v="1364"/>
    <x v="0"/>
    <n v="761.65"/>
    <x v="1357"/>
    <x v="1359"/>
    <x v="6"/>
    <x v="4"/>
  </r>
  <r>
    <x v="13"/>
    <x v="10"/>
    <x v="1"/>
    <x v="0"/>
    <x v="1365"/>
    <x v="0"/>
    <n v="920.04"/>
    <x v="1358"/>
    <x v="1360"/>
    <x v="1"/>
    <x v="3"/>
  </r>
  <r>
    <x v="50"/>
    <x v="7"/>
    <x v="1"/>
    <x v="0"/>
    <x v="1366"/>
    <x v="0"/>
    <n v="1557.43"/>
    <x v="1359"/>
    <x v="1361"/>
    <x v="4"/>
    <x v="0"/>
  </r>
  <r>
    <x v="28"/>
    <x v="9"/>
    <x v="0"/>
    <x v="0"/>
    <x v="1367"/>
    <x v="0"/>
    <n v="1684.27"/>
    <x v="1360"/>
    <x v="1362"/>
    <x v="0"/>
    <x v="2"/>
  </r>
  <r>
    <x v="19"/>
    <x v="12"/>
    <x v="1"/>
    <x v="1"/>
    <x v="1368"/>
    <x v="0"/>
    <n v="2845.61"/>
    <x v="1361"/>
    <x v="1363"/>
    <x v="0"/>
    <x v="4"/>
  </r>
  <r>
    <x v="29"/>
    <x v="14"/>
    <x v="2"/>
    <x v="0"/>
    <x v="1369"/>
    <x v="0"/>
    <n v="1246.67"/>
    <x v="1362"/>
    <x v="1364"/>
    <x v="3"/>
    <x v="3"/>
  </r>
  <r>
    <x v="30"/>
    <x v="8"/>
    <x v="1"/>
    <x v="0"/>
    <x v="1370"/>
    <x v="0"/>
    <n v="145.47999999999999"/>
    <x v="1363"/>
    <x v="1365"/>
    <x v="2"/>
    <x v="4"/>
  </r>
  <r>
    <x v="68"/>
    <x v="13"/>
    <x v="0"/>
    <x v="2"/>
    <x v="1371"/>
    <x v="0"/>
    <n v="1079.55"/>
    <x v="1364"/>
    <x v="1366"/>
    <x v="2"/>
    <x v="1"/>
  </r>
  <r>
    <x v="17"/>
    <x v="9"/>
    <x v="0"/>
    <x v="1"/>
    <x v="1372"/>
    <x v="0"/>
    <n v="1114.71"/>
    <x v="1365"/>
    <x v="1367"/>
    <x v="0"/>
    <x v="2"/>
  </r>
  <r>
    <x v="47"/>
    <x v="7"/>
    <x v="0"/>
    <x v="0"/>
    <x v="1373"/>
    <x v="0"/>
    <n v="635.73"/>
    <x v="1366"/>
    <x v="1368"/>
    <x v="5"/>
    <x v="0"/>
  </r>
  <r>
    <x v="28"/>
    <x v="6"/>
    <x v="2"/>
    <x v="0"/>
    <x v="1374"/>
    <x v="0"/>
    <n v="1216.6199999999999"/>
    <x v="1367"/>
    <x v="1369"/>
    <x v="0"/>
    <x v="3"/>
  </r>
  <r>
    <x v="0"/>
    <x v="3"/>
    <x v="1"/>
    <x v="1"/>
    <x v="1375"/>
    <x v="0"/>
    <n v="1510.7"/>
    <x v="1368"/>
    <x v="1370"/>
    <x v="0"/>
    <x v="2"/>
  </r>
  <r>
    <x v="72"/>
    <x v="12"/>
    <x v="0"/>
    <x v="1"/>
    <x v="1376"/>
    <x v="0"/>
    <n v="282.64999999999998"/>
    <x v="1369"/>
    <x v="1371"/>
    <x v="6"/>
    <x v="4"/>
  </r>
  <r>
    <x v="43"/>
    <x v="6"/>
    <x v="2"/>
    <x v="0"/>
    <x v="1377"/>
    <x v="0"/>
    <n v="1228.29"/>
    <x v="1370"/>
    <x v="1372"/>
    <x v="4"/>
    <x v="3"/>
  </r>
  <r>
    <x v="29"/>
    <x v="1"/>
    <x v="0"/>
    <x v="0"/>
    <x v="1378"/>
    <x v="0"/>
    <n v="1516.76"/>
    <x v="1371"/>
    <x v="1373"/>
    <x v="3"/>
    <x v="1"/>
  </r>
  <r>
    <x v="35"/>
    <x v="15"/>
    <x v="0"/>
    <x v="0"/>
    <x v="1379"/>
    <x v="0"/>
    <n v="737.14"/>
    <x v="1372"/>
    <x v="1374"/>
    <x v="1"/>
    <x v="0"/>
  </r>
  <r>
    <x v="58"/>
    <x v="11"/>
    <x v="0"/>
    <x v="1"/>
    <x v="1380"/>
    <x v="0"/>
    <n v="318.56"/>
    <x v="1373"/>
    <x v="1375"/>
    <x v="5"/>
    <x v="4"/>
  </r>
  <r>
    <x v="21"/>
    <x v="7"/>
    <x v="2"/>
    <x v="1"/>
    <x v="1381"/>
    <x v="0"/>
    <n v="669.7"/>
    <x v="1374"/>
    <x v="1376"/>
    <x v="3"/>
    <x v="0"/>
  </r>
  <r>
    <x v="14"/>
    <x v="14"/>
    <x v="0"/>
    <x v="0"/>
    <x v="1382"/>
    <x v="0"/>
    <n v="381.17"/>
    <x v="1375"/>
    <x v="1377"/>
    <x v="5"/>
    <x v="3"/>
  </r>
  <r>
    <x v="19"/>
    <x v="7"/>
    <x v="0"/>
    <x v="0"/>
    <x v="1383"/>
    <x v="0"/>
    <n v="2195.96"/>
    <x v="1376"/>
    <x v="1378"/>
    <x v="0"/>
    <x v="0"/>
  </r>
  <r>
    <x v="23"/>
    <x v="2"/>
    <x v="2"/>
    <x v="0"/>
    <x v="1384"/>
    <x v="0"/>
    <n v="464.13"/>
    <x v="1377"/>
    <x v="1379"/>
    <x v="2"/>
    <x v="1"/>
  </r>
  <r>
    <x v="38"/>
    <x v="15"/>
    <x v="0"/>
    <x v="0"/>
    <x v="1385"/>
    <x v="1"/>
    <n v="357.61"/>
    <x v="1378"/>
    <x v="1380"/>
    <x v="5"/>
    <x v="0"/>
  </r>
  <r>
    <x v="66"/>
    <x v="10"/>
    <x v="0"/>
    <x v="0"/>
    <x v="1386"/>
    <x v="0"/>
    <n v="222.53"/>
    <x v="1379"/>
    <x v="1381"/>
    <x v="5"/>
    <x v="3"/>
  </r>
  <r>
    <x v="15"/>
    <x v="7"/>
    <x v="0"/>
    <x v="0"/>
    <x v="1387"/>
    <x v="1"/>
    <n v="367.72"/>
    <x v="1380"/>
    <x v="1382"/>
    <x v="5"/>
    <x v="0"/>
  </r>
  <r>
    <x v="56"/>
    <x v="15"/>
    <x v="0"/>
    <x v="0"/>
    <x v="1388"/>
    <x v="0"/>
    <n v="1324.99"/>
    <x v="1381"/>
    <x v="1383"/>
    <x v="4"/>
    <x v="0"/>
  </r>
  <r>
    <x v="31"/>
    <x v="14"/>
    <x v="0"/>
    <x v="0"/>
    <x v="1389"/>
    <x v="0"/>
    <n v="1970.21"/>
    <x v="1382"/>
    <x v="1384"/>
    <x v="0"/>
    <x v="3"/>
  </r>
  <r>
    <x v="55"/>
    <x v="9"/>
    <x v="0"/>
    <x v="0"/>
    <x v="1390"/>
    <x v="0"/>
    <n v="322.82"/>
    <x v="1383"/>
    <x v="1385"/>
    <x v="6"/>
    <x v="2"/>
  </r>
  <r>
    <x v="18"/>
    <x v="15"/>
    <x v="0"/>
    <x v="0"/>
    <x v="1391"/>
    <x v="0"/>
    <n v="903.27"/>
    <x v="1384"/>
    <x v="1386"/>
    <x v="1"/>
    <x v="0"/>
  </r>
  <r>
    <x v="58"/>
    <x v="10"/>
    <x v="1"/>
    <x v="1"/>
    <x v="1392"/>
    <x v="0"/>
    <n v="1895.71"/>
    <x v="1385"/>
    <x v="1387"/>
    <x v="5"/>
    <x v="3"/>
  </r>
  <r>
    <x v="17"/>
    <x v="1"/>
    <x v="2"/>
    <x v="0"/>
    <x v="1393"/>
    <x v="0"/>
    <n v="1180.1199999999999"/>
    <x v="1386"/>
    <x v="1388"/>
    <x v="0"/>
    <x v="1"/>
  </r>
  <r>
    <x v="21"/>
    <x v="2"/>
    <x v="0"/>
    <x v="1"/>
    <x v="1394"/>
    <x v="0"/>
    <n v="2227.12"/>
    <x v="1387"/>
    <x v="1389"/>
    <x v="3"/>
    <x v="1"/>
  </r>
  <r>
    <x v="9"/>
    <x v="6"/>
    <x v="0"/>
    <x v="0"/>
    <x v="1395"/>
    <x v="0"/>
    <n v="360.18"/>
    <x v="1388"/>
    <x v="1390"/>
    <x v="3"/>
    <x v="3"/>
  </r>
  <r>
    <x v="53"/>
    <x v="2"/>
    <x v="0"/>
    <x v="0"/>
    <x v="1396"/>
    <x v="1"/>
    <n v="899.26"/>
    <x v="1389"/>
    <x v="1391"/>
    <x v="3"/>
    <x v="1"/>
  </r>
  <r>
    <x v="39"/>
    <x v="7"/>
    <x v="0"/>
    <x v="2"/>
    <x v="1397"/>
    <x v="0"/>
    <n v="5852.48"/>
    <x v="1390"/>
    <x v="1392"/>
    <x v="0"/>
    <x v="0"/>
  </r>
  <r>
    <x v="30"/>
    <x v="2"/>
    <x v="0"/>
    <x v="0"/>
    <x v="1398"/>
    <x v="0"/>
    <n v="1875.36"/>
    <x v="1391"/>
    <x v="1393"/>
    <x v="2"/>
    <x v="1"/>
  </r>
  <r>
    <x v="23"/>
    <x v="12"/>
    <x v="0"/>
    <x v="0"/>
    <x v="1399"/>
    <x v="0"/>
    <n v="702.37"/>
    <x v="1392"/>
    <x v="1394"/>
    <x v="2"/>
    <x v="4"/>
  </r>
  <r>
    <x v="46"/>
    <x v="9"/>
    <x v="1"/>
    <x v="1"/>
    <x v="1400"/>
    <x v="0"/>
    <n v="3559.37"/>
    <x v="1393"/>
    <x v="1395"/>
    <x v="0"/>
    <x v="2"/>
  </r>
  <r>
    <x v="44"/>
    <x v="9"/>
    <x v="0"/>
    <x v="0"/>
    <x v="1401"/>
    <x v="0"/>
    <n v="448.14"/>
    <x v="1394"/>
    <x v="1396"/>
    <x v="6"/>
    <x v="2"/>
  </r>
  <r>
    <x v="54"/>
    <x v="2"/>
    <x v="0"/>
    <x v="0"/>
    <x v="1402"/>
    <x v="0"/>
    <n v="1161.92"/>
    <x v="1395"/>
    <x v="1397"/>
    <x v="0"/>
    <x v="1"/>
  </r>
  <r>
    <x v="1"/>
    <x v="13"/>
    <x v="1"/>
    <x v="1"/>
    <x v="1403"/>
    <x v="0"/>
    <n v="553.82000000000005"/>
    <x v="1396"/>
    <x v="1398"/>
    <x v="1"/>
    <x v="1"/>
  </r>
  <r>
    <x v="60"/>
    <x v="13"/>
    <x v="0"/>
    <x v="0"/>
    <x v="1404"/>
    <x v="0"/>
    <n v="333.67"/>
    <x v="1397"/>
    <x v="1399"/>
    <x v="4"/>
    <x v="1"/>
  </r>
  <r>
    <x v="38"/>
    <x v="14"/>
    <x v="0"/>
    <x v="0"/>
    <x v="1405"/>
    <x v="0"/>
    <n v="198.85"/>
    <x v="1398"/>
    <x v="1400"/>
    <x v="5"/>
    <x v="3"/>
  </r>
  <r>
    <x v="37"/>
    <x v="5"/>
    <x v="0"/>
    <x v="0"/>
    <x v="1406"/>
    <x v="0"/>
    <n v="845.55"/>
    <x v="1399"/>
    <x v="1401"/>
    <x v="4"/>
    <x v="2"/>
  </r>
  <r>
    <x v="45"/>
    <x v="14"/>
    <x v="2"/>
    <x v="0"/>
    <x v="1407"/>
    <x v="0"/>
    <n v="444.98"/>
    <x v="1400"/>
    <x v="1402"/>
    <x v="1"/>
    <x v="3"/>
  </r>
  <r>
    <x v="23"/>
    <x v="1"/>
    <x v="0"/>
    <x v="2"/>
    <x v="1408"/>
    <x v="0"/>
    <n v="1930.39"/>
    <x v="1401"/>
    <x v="1403"/>
    <x v="2"/>
    <x v="1"/>
  </r>
  <r>
    <x v="50"/>
    <x v="7"/>
    <x v="0"/>
    <x v="0"/>
    <x v="1409"/>
    <x v="0"/>
    <n v="629.5"/>
    <x v="1402"/>
    <x v="1404"/>
    <x v="4"/>
    <x v="0"/>
  </r>
  <r>
    <x v="11"/>
    <x v="14"/>
    <x v="2"/>
    <x v="0"/>
    <x v="1410"/>
    <x v="0"/>
    <n v="509.95"/>
    <x v="1403"/>
    <x v="1405"/>
    <x v="4"/>
    <x v="3"/>
  </r>
  <r>
    <x v="0"/>
    <x v="9"/>
    <x v="0"/>
    <x v="1"/>
    <x v="1411"/>
    <x v="0"/>
    <n v="878.75"/>
    <x v="1404"/>
    <x v="1406"/>
    <x v="0"/>
    <x v="2"/>
  </r>
  <r>
    <x v="64"/>
    <x v="14"/>
    <x v="1"/>
    <x v="0"/>
    <x v="1412"/>
    <x v="0"/>
    <n v="524.23"/>
    <x v="1405"/>
    <x v="1407"/>
    <x v="5"/>
    <x v="3"/>
  </r>
  <r>
    <x v="19"/>
    <x v="4"/>
    <x v="0"/>
    <x v="0"/>
    <x v="1413"/>
    <x v="1"/>
    <n v="1008.29"/>
    <x v="1406"/>
    <x v="1408"/>
    <x v="0"/>
    <x v="0"/>
  </r>
  <r>
    <x v="72"/>
    <x v="7"/>
    <x v="0"/>
    <x v="0"/>
    <x v="1414"/>
    <x v="2"/>
    <n v="413.51"/>
    <x v="1407"/>
    <x v="1409"/>
    <x v="6"/>
    <x v="0"/>
  </r>
  <r>
    <x v="11"/>
    <x v="0"/>
    <x v="0"/>
    <x v="1"/>
    <x v="1415"/>
    <x v="0"/>
    <n v="830.34"/>
    <x v="1408"/>
    <x v="1410"/>
    <x v="4"/>
    <x v="0"/>
  </r>
  <r>
    <x v="1"/>
    <x v="15"/>
    <x v="2"/>
    <x v="2"/>
    <x v="1416"/>
    <x v="0"/>
    <n v="1554.61"/>
    <x v="1409"/>
    <x v="1411"/>
    <x v="1"/>
    <x v="0"/>
  </r>
  <r>
    <x v="45"/>
    <x v="6"/>
    <x v="2"/>
    <x v="0"/>
    <x v="1417"/>
    <x v="0"/>
    <n v="339.82"/>
    <x v="1410"/>
    <x v="1412"/>
    <x v="1"/>
    <x v="3"/>
  </r>
  <r>
    <x v="34"/>
    <x v="8"/>
    <x v="0"/>
    <x v="1"/>
    <x v="1418"/>
    <x v="1"/>
    <n v="933.55"/>
    <x v="1411"/>
    <x v="1413"/>
    <x v="0"/>
    <x v="4"/>
  </r>
  <r>
    <x v="3"/>
    <x v="8"/>
    <x v="0"/>
    <x v="0"/>
    <x v="1419"/>
    <x v="0"/>
    <n v="1080.73"/>
    <x v="1412"/>
    <x v="1414"/>
    <x v="0"/>
    <x v="4"/>
  </r>
  <r>
    <x v="49"/>
    <x v="7"/>
    <x v="0"/>
    <x v="0"/>
    <x v="1420"/>
    <x v="0"/>
    <n v="513.97"/>
    <x v="1413"/>
    <x v="1415"/>
    <x v="2"/>
    <x v="0"/>
  </r>
  <r>
    <x v="15"/>
    <x v="0"/>
    <x v="1"/>
    <x v="0"/>
    <x v="1421"/>
    <x v="0"/>
    <n v="1034.4100000000001"/>
    <x v="1414"/>
    <x v="1416"/>
    <x v="5"/>
    <x v="0"/>
  </r>
  <r>
    <x v="9"/>
    <x v="2"/>
    <x v="2"/>
    <x v="0"/>
    <x v="1422"/>
    <x v="1"/>
    <n v="906.08"/>
    <x v="1415"/>
    <x v="1417"/>
    <x v="3"/>
    <x v="1"/>
  </r>
  <r>
    <x v="33"/>
    <x v="13"/>
    <x v="1"/>
    <x v="0"/>
    <x v="1423"/>
    <x v="0"/>
    <n v="1505.02"/>
    <x v="1416"/>
    <x v="1418"/>
    <x v="3"/>
    <x v="1"/>
  </r>
  <r>
    <x v="29"/>
    <x v="14"/>
    <x v="2"/>
    <x v="0"/>
    <x v="1424"/>
    <x v="0"/>
    <n v="588.27"/>
    <x v="1417"/>
    <x v="1419"/>
    <x v="3"/>
    <x v="3"/>
  </r>
  <r>
    <x v="56"/>
    <x v="14"/>
    <x v="0"/>
    <x v="0"/>
    <x v="1425"/>
    <x v="0"/>
    <n v="556.39"/>
    <x v="1418"/>
    <x v="1420"/>
    <x v="4"/>
    <x v="3"/>
  </r>
  <r>
    <x v="8"/>
    <x v="8"/>
    <x v="2"/>
    <x v="0"/>
    <x v="1426"/>
    <x v="0"/>
    <n v="1676.74"/>
    <x v="1419"/>
    <x v="1421"/>
    <x v="0"/>
    <x v="4"/>
  </r>
  <r>
    <x v="3"/>
    <x v="5"/>
    <x v="2"/>
    <x v="0"/>
    <x v="1427"/>
    <x v="0"/>
    <n v="1188.5899999999999"/>
    <x v="1420"/>
    <x v="1422"/>
    <x v="0"/>
    <x v="2"/>
  </r>
  <r>
    <x v="5"/>
    <x v="5"/>
    <x v="2"/>
    <x v="2"/>
    <x v="1428"/>
    <x v="1"/>
    <n v="5477.2"/>
    <x v="1421"/>
    <x v="1423"/>
    <x v="0"/>
    <x v="2"/>
  </r>
  <r>
    <x v="5"/>
    <x v="1"/>
    <x v="0"/>
    <x v="1"/>
    <x v="1429"/>
    <x v="0"/>
    <n v="2664.2"/>
    <x v="1422"/>
    <x v="1424"/>
    <x v="0"/>
    <x v="1"/>
  </r>
  <r>
    <x v="61"/>
    <x v="15"/>
    <x v="2"/>
    <x v="1"/>
    <x v="1430"/>
    <x v="0"/>
    <n v="1876.05"/>
    <x v="1423"/>
    <x v="1425"/>
    <x v="5"/>
    <x v="0"/>
  </r>
  <r>
    <x v="55"/>
    <x v="4"/>
    <x v="1"/>
    <x v="3"/>
    <x v="1431"/>
    <x v="0"/>
    <n v="779.11"/>
    <x v="1424"/>
    <x v="1426"/>
    <x v="6"/>
    <x v="0"/>
  </r>
  <r>
    <x v="67"/>
    <x v="12"/>
    <x v="0"/>
    <x v="0"/>
    <x v="1432"/>
    <x v="0"/>
    <n v="325.16000000000003"/>
    <x v="1425"/>
    <x v="1427"/>
    <x v="1"/>
    <x v="4"/>
  </r>
  <r>
    <x v="41"/>
    <x v="6"/>
    <x v="0"/>
    <x v="1"/>
    <x v="1433"/>
    <x v="0"/>
    <n v="1636.93"/>
    <x v="1426"/>
    <x v="1428"/>
    <x v="2"/>
    <x v="3"/>
  </r>
  <r>
    <x v="6"/>
    <x v="13"/>
    <x v="0"/>
    <x v="0"/>
    <x v="1434"/>
    <x v="0"/>
    <n v="2296.88"/>
    <x v="1427"/>
    <x v="1429"/>
    <x v="2"/>
    <x v="1"/>
  </r>
  <r>
    <x v="56"/>
    <x v="14"/>
    <x v="1"/>
    <x v="0"/>
    <x v="1435"/>
    <x v="0"/>
    <n v="524.52"/>
    <x v="1428"/>
    <x v="1430"/>
    <x v="4"/>
    <x v="3"/>
  </r>
  <r>
    <x v="30"/>
    <x v="2"/>
    <x v="1"/>
    <x v="1"/>
    <x v="1436"/>
    <x v="0"/>
    <n v="1427.83"/>
    <x v="1429"/>
    <x v="1431"/>
    <x v="2"/>
    <x v="1"/>
  </r>
  <r>
    <x v="69"/>
    <x v="15"/>
    <x v="0"/>
    <x v="1"/>
    <x v="1437"/>
    <x v="0"/>
    <n v="397.84"/>
    <x v="1430"/>
    <x v="1432"/>
    <x v="6"/>
    <x v="0"/>
  </r>
  <r>
    <x v="9"/>
    <x v="14"/>
    <x v="0"/>
    <x v="0"/>
    <x v="1438"/>
    <x v="0"/>
    <n v="1221.68"/>
    <x v="1431"/>
    <x v="1433"/>
    <x v="3"/>
    <x v="3"/>
  </r>
  <r>
    <x v="44"/>
    <x v="2"/>
    <x v="2"/>
    <x v="0"/>
    <x v="1439"/>
    <x v="0"/>
    <n v="301.45999999999998"/>
    <x v="1432"/>
    <x v="1434"/>
    <x v="6"/>
    <x v="1"/>
  </r>
  <r>
    <x v="45"/>
    <x v="4"/>
    <x v="0"/>
    <x v="0"/>
    <x v="1440"/>
    <x v="0"/>
    <n v="713.45"/>
    <x v="1433"/>
    <x v="1435"/>
    <x v="1"/>
    <x v="0"/>
  </r>
  <r>
    <x v="11"/>
    <x v="4"/>
    <x v="0"/>
    <x v="1"/>
    <x v="1441"/>
    <x v="0"/>
    <n v="1829.85"/>
    <x v="1434"/>
    <x v="1436"/>
    <x v="4"/>
    <x v="0"/>
  </r>
  <r>
    <x v="17"/>
    <x v="8"/>
    <x v="2"/>
    <x v="1"/>
    <x v="1442"/>
    <x v="0"/>
    <n v="1850.74"/>
    <x v="1435"/>
    <x v="1437"/>
    <x v="0"/>
    <x v="4"/>
  </r>
  <r>
    <x v="60"/>
    <x v="7"/>
    <x v="0"/>
    <x v="1"/>
    <x v="1443"/>
    <x v="0"/>
    <n v="1202.06"/>
    <x v="1436"/>
    <x v="1438"/>
    <x v="4"/>
    <x v="0"/>
  </r>
  <r>
    <x v="34"/>
    <x v="13"/>
    <x v="1"/>
    <x v="0"/>
    <x v="1444"/>
    <x v="0"/>
    <n v="1631.44"/>
    <x v="1437"/>
    <x v="1439"/>
    <x v="0"/>
    <x v="1"/>
  </r>
  <r>
    <x v="40"/>
    <x v="5"/>
    <x v="0"/>
    <x v="2"/>
    <x v="1445"/>
    <x v="0"/>
    <n v="1266.3399999999999"/>
    <x v="1438"/>
    <x v="1440"/>
    <x v="4"/>
    <x v="2"/>
  </r>
  <r>
    <x v="48"/>
    <x v="2"/>
    <x v="1"/>
    <x v="0"/>
    <x v="1446"/>
    <x v="0"/>
    <n v="855.1"/>
    <x v="1439"/>
    <x v="1441"/>
    <x v="2"/>
    <x v="1"/>
  </r>
  <r>
    <x v="67"/>
    <x v="5"/>
    <x v="2"/>
    <x v="1"/>
    <x v="1447"/>
    <x v="1"/>
    <n v="1009.44"/>
    <x v="1440"/>
    <x v="1442"/>
    <x v="1"/>
    <x v="2"/>
  </r>
  <r>
    <x v="34"/>
    <x v="14"/>
    <x v="0"/>
    <x v="2"/>
    <x v="1448"/>
    <x v="1"/>
    <n v="2292.29"/>
    <x v="1441"/>
    <x v="1443"/>
    <x v="0"/>
    <x v="3"/>
  </r>
  <r>
    <x v="65"/>
    <x v="3"/>
    <x v="0"/>
    <x v="0"/>
    <x v="1449"/>
    <x v="0"/>
    <n v="273.69"/>
    <x v="1442"/>
    <x v="1444"/>
    <x v="3"/>
    <x v="2"/>
  </r>
  <r>
    <x v="19"/>
    <x v="12"/>
    <x v="1"/>
    <x v="1"/>
    <x v="1450"/>
    <x v="0"/>
    <n v="821.82"/>
    <x v="1443"/>
    <x v="1445"/>
    <x v="0"/>
    <x v="4"/>
  </r>
  <r>
    <x v="70"/>
    <x v="9"/>
    <x v="0"/>
    <x v="0"/>
    <x v="1451"/>
    <x v="0"/>
    <n v="192.45"/>
    <x v="1444"/>
    <x v="1446"/>
    <x v="5"/>
    <x v="2"/>
  </r>
  <r>
    <x v="54"/>
    <x v="7"/>
    <x v="2"/>
    <x v="1"/>
    <x v="1452"/>
    <x v="2"/>
    <n v="1870.79"/>
    <x v="1445"/>
    <x v="1447"/>
    <x v="0"/>
    <x v="0"/>
  </r>
  <r>
    <x v="46"/>
    <x v="6"/>
    <x v="0"/>
    <x v="0"/>
    <x v="1453"/>
    <x v="1"/>
    <n v="756.06"/>
    <x v="1446"/>
    <x v="1448"/>
    <x v="0"/>
    <x v="3"/>
  </r>
  <r>
    <x v="10"/>
    <x v="14"/>
    <x v="0"/>
    <x v="0"/>
    <x v="1454"/>
    <x v="0"/>
    <n v="834.17"/>
    <x v="1447"/>
    <x v="1449"/>
    <x v="2"/>
    <x v="3"/>
  </r>
  <r>
    <x v="9"/>
    <x v="13"/>
    <x v="2"/>
    <x v="0"/>
    <x v="1455"/>
    <x v="0"/>
    <n v="1046.44"/>
    <x v="1448"/>
    <x v="1450"/>
    <x v="3"/>
    <x v="1"/>
  </r>
  <r>
    <x v="30"/>
    <x v="15"/>
    <x v="0"/>
    <x v="0"/>
    <x v="1456"/>
    <x v="0"/>
    <n v="1673.3"/>
    <x v="1449"/>
    <x v="1451"/>
    <x v="2"/>
    <x v="0"/>
  </r>
  <r>
    <x v="13"/>
    <x v="9"/>
    <x v="0"/>
    <x v="0"/>
    <x v="1457"/>
    <x v="0"/>
    <n v="405.9"/>
    <x v="1450"/>
    <x v="1452"/>
    <x v="1"/>
    <x v="2"/>
  </r>
  <r>
    <x v="57"/>
    <x v="12"/>
    <x v="0"/>
    <x v="0"/>
    <x v="1458"/>
    <x v="0"/>
    <n v="823.19"/>
    <x v="1451"/>
    <x v="1453"/>
    <x v="2"/>
    <x v="4"/>
  </r>
  <r>
    <x v="6"/>
    <x v="1"/>
    <x v="0"/>
    <x v="0"/>
    <x v="1459"/>
    <x v="0"/>
    <n v="2150.6799999999998"/>
    <x v="1452"/>
    <x v="1454"/>
    <x v="2"/>
    <x v="1"/>
  </r>
  <r>
    <x v="6"/>
    <x v="14"/>
    <x v="0"/>
    <x v="0"/>
    <x v="1460"/>
    <x v="1"/>
    <n v="1884.02"/>
    <x v="1453"/>
    <x v="1455"/>
    <x v="2"/>
    <x v="3"/>
  </r>
  <r>
    <x v="31"/>
    <x v="15"/>
    <x v="1"/>
    <x v="1"/>
    <x v="1461"/>
    <x v="1"/>
    <n v="2386.9699999999998"/>
    <x v="1454"/>
    <x v="1456"/>
    <x v="0"/>
    <x v="0"/>
  </r>
  <r>
    <x v="8"/>
    <x v="14"/>
    <x v="2"/>
    <x v="1"/>
    <x v="1462"/>
    <x v="0"/>
    <n v="3169.61"/>
    <x v="1455"/>
    <x v="1457"/>
    <x v="0"/>
    <x v="3"/>
  </r>
  <r>
    <x v="42"/>
    <x v="13"/>
    <x v="0"/>
    <x v="0"/>
    <x v="1463"/>
    <x v="0"/>
    <n v="469.91"/>
    <x v="1456"/>
    <x v="1458"/>
    <x v="3"/>
    <x v="1"/>
  </r>
  <r>
    <x v="24"/>
    <x v="12"/>
    <x v="0"/>
    <x v="1"/>
    <x v="1464"/>
    <x v="0"/>
    <n v="393.52"/>
    <x v="1457"/>
    <x v="1459"/>
    <x v="4"/>
    <x v="4"/>
  </r>
  <r>
    <x v="58"/>
    <x v="15"/>
    <x v="1"/>
    <x v="0"/>
    <x v="1465"/>
    <x v="1"/>
    <n v="627.51"/>
    <x v="1458"/>
    <x v="1460"/>
    <x v="5"/>
    <x v="0"/>
  </r>
  <r>
    <x v="10"/>
    <x v="2"/>
    <x v="0"/>
    <x v="0"/>
    <x v="1466"/>
    <x v="0"/>
    <n v="820.41"/>
    <x v="1459"/>
    <x v="1461"/>
    <x v="2"/>
    <x v="1"/>
  </r>
  <r>
    <x v="9"/>
    <x v="13"/>
    <x v="1"/>
    <x v="0"/>
    <x v="1467"/>
    <x v="0"/>
    <n v="1170.8"/>
    <x v="1460"/>
    <x v="1462"/>
    <x v="3"/>
    <x v="1"/>
  </r>
  <r>
    <x v="53"/>
    <x v="2"/>
    <x v="2"/>
    <x v="0"/>
    <x v="1468"/>
    <x v="0"/>
    <n v="1723.57"/>
    <x v="1461"/>
    <x v="1463"/>
    <x v="3"/>
    <x v="1"/>
  </r>
  <r>
    <x v="53"/>
    <x v="2"/>
    <x v="2"/>
    <x v="0"/>
    <x v="1469"/>
    <x v="0"/>
    <n v="1225.6199999999999"/>
    <x v="1462"/>
    <x v="1464"/>
    <x v="3"/>
    <x v="1"/>
  </r>
  <r>
    <x v="21"/>
    <x v="7"/>
    <x v="0"/>
    <x v="0"/>
    <x v="1470"/>
    <x v="3"/>
    <n v="783.4"/>
    <x v="1463"/>
    <x v="1465"/>
    <x v="3"/>
    <x v="0"/>
  </r>
  <r>
    <x v="18"/>
    <x v="6"/>
    <x v="2"/>
    <x v="2"/>
    <x v="1471"/>
    <x v="0"/>
    <n v="1494.6"/>
    <x v="1464"/>
    <x v="1466"/>
    <x v="1"/>
    <x v="3"/>
  </r>
  <r>
    <x v="29"/>
    <x v="15"/>
    <x v="0"/>
    <x v="0"/>
    <x v="1472"/>
    <x v="0"/>
    <n v="1422.71"/>
    <x v="1465"/>
    <x v="1467"/>
    <x v="3"/>
    <x v="0"/>
  </r>
  <r>
    <x v="50"/>
    <x v="10"/>
    <x v="2"/>
    <x v="1"/>
    <x v="1473"/>
    <x v="1"/>
    <n v="1411.48"/>
    <x v="1466"/>
    <x v="1468"/>
    <x v="4"/>
    <x v="3"/>
  </r>
  <r>
    <x v="28"/>
    <x v="0"/>
    <x v="0"/>
    <x v="0"/>
    <x v="1474"/>
    <x v="2"/>
    <n v="1673.01"/>
    <x v="1467"/>
    <x v="1469"/>
    <x v="0"/>
    <x v="0"/>
  </r>
  <r>
    <x v="23"/>
    <x v="2"/>
    <x v="0"/>
    <x v="0"/>
    <x v="1475"/>
    <x v="0"/>
    <n v="483.05"/>
    <x v="1468"/>
    <x v="1470"/>
    <x v="2"/>
    <x v="1"/>
  </r>
  <r>
    <x v="1"/>
    <x v="7"/>
    <x v="0"/>
    <x v="1"/>
    <x v="1476"/>
    <x v="0"/>
    <n v="1396.4"/>
    <x v="1469"/>
    <x v="1471"/>
    <x v="1"/>
    <x v="0"/>
  </r>
  <r>
    <x v="47"/>
    <x v="15"/>
    <x v="1"/>
    <x v="0"/>
    <x v="1477"/>
    <x v="0"/>
    <n v="862.24"/>
    <x v="1470"/>
    <x v="1472"/>
    <x v="5"/>
    <x v="0"/>
  </r>
  <r>
    <x v="27"/>
    <x v="1"/>
    <x v="1"/>
    <x v="0"/>
    <x v="1478"/>
    <x v="0"/>
    <n v="1172.6400000000001"/>
    <x v="1471"/>
    <x v="1473"/>
    <x v="0"/>
    <x v="1"/>
  </r>
  <r>
    <x v="39"/>
    <x v="10"/>
    <x v="0"/>
    <x v="1"/>
    <x v="1479"/>
    <x v="0"/>
    <n v="2832.17"/>
    <x v="1472"/>
    <x v="1474"/>
    <x v="0"/>
    <x v="3"/>
  </r>
  <r>
    <x v="23"/>
    <x v="4"/>
    <x v="0"/>
    <x v="0"/>
    <x v="1480"/>
    <x v="1"/>
    <n v="1240.31"/>
    <x v="1473"/>
    <x v="1475"/>
    <x v="2"/>
    <x v="0"/>
  </r>
  <r>
    <x v="42"/>
    <x v="15"/>
    <x v="0"/>
    <x v="0"/>
    <x v="1481"/>
    <x v="0"/>
    <n v="2647.62"/>
    <x v="1474"/>
    <x v="1476"/>
    <x v="3"/>
    <x v="0"/>
  </r>
  <r>
    <x v="36"/>
    <x v="0"/>
    <x v="0"/>
    <x v="1"/>
    <x v="1482"/>
    <x v="0"/>
    <n v="2310.1799999999998"/>
    <x v="1475"/>
    <x v="1477"/>
    <x v="1"/>
    <x v="0"/>
  </r>
  <r>
    <x v="13"/>
    <x v="13"/>
    <x v="0"/>
    <x v="2"/>
    <x v="1483"/>
    <x v="0"/>
    <n v="645.83000000000004"/>
    <x v="1476"/>
    <x v="1478"/>
    <x v="1"/>
    <x v="1"/>
  </r>
  <r>
    <x v="30"/>
    <x v="14"/>
    <x v="1"/>
    <x v="0"/>
    <x v="1484"/>
    <x v="0"/>
    <n v="802.81"/>
    <x v="1477"/>
    <x v="1479"/>
    <x v="2"/>
    <x v="3"/>
  </r>
  <r>
    <x v="14"/>
    <x v="0"/>
    <x v="0"/>
    <x v="0"/>
    <x v="1485"/>
    <x v="0"/>
    <n v="1112.3599999999999"/>
    <x v="1478"/>
    <x v="1480"/>
    <x v="5"/>
    <x v="0"/>
  </r>
  <r>
    <x v="43"/>
    <x v="13"/>
    <x v="1"/>
    <x v="2"/>
    <x v="1486"/>
    <x v="0"/>
    <n v="1502.54"/>
    <x v="1479"/>
    <x v="1481"/>
    <x v="4"/>
    <x v="1"/>
  </r>
  <r>
    <x v="49"/>
    <x v="1"/>
    <x v="0"/>
    <x v="0"/>
    <x v="1487"/>
    <x v="0"/>
    <n v="1121.25"/>
    <x v="1480"/>
    <x v="1482"/>
    <x v="2"/>
    <x v="1"/>
  </r>
  <r>
    <x v="27"/>
    <x v="7"/>
    <x v="1"/>
    <x v="0"/>
    <x v="1488"/>
    <x v="2"/>
    <n v="2522.23"/>
    <x v="1481"/>
    <x v="1483"/>
    <x v="0"/>
    <x v="0"/>
  </r>
  <r>
    <x v="14"/>
    <x v="12"/>
    <x v="0"/>
    <x v="0"/>
    <x v="1489"/>
    <x v="0"/>
    <n v="207.73"/>
    <x v="1482"/>
    <x v="1484"/>
    <x v="5"/>
    <x v="4"/>
  </r>
  <r>
    <x v="32"/>
    <x v="7"/>
    <x v="0"/>
    <x v="0"/>
    <x v="1490"/>
    <x v="0"/>
    <n v="1021.77"/>
    <x v="1483"/>
    <x v="1485"/>
    <x v="3"/>
    <x v="0"/>
  </r>
  <r>
    <x v="32"/>
    <x v="15"/>
    <x v="0"/>
    <x v="0"/>
    <x v="1491"/>
    <x v="0"/>
    <n v="815.45"/>
    <x v="1484"/>
    <x v="1486"/>
    <x v="3"/>
    <x v="0"/>
  </r>
  <r>
    <x v="44"/>
    <x v="15"/>
    <x v="0"/>
    <x v="2"/>
    <x v="1492"/>
    <x v="0"/>
    <n v="855.06"/>
    <x v="1485"/>
    <x v="1487"/>
    <x v="6"/>
    <x v="0"/>
  </r>
  <r>
    <x v="1"/>
    <x v="15"/>
    <x v="0"/>
    <x v="0"/>
    <x v="1493"/>
    <x v="1"/>
    <n v="603.16"/>
    <x v="1486"/>
    <x v="1488"/>
    <x v="1"/>
    <x v="0"/>
  </r>
  <r>
    <x v="69"/>
    <x v="6"/>
    <x v="1"/>
    <x v="1"/>
    <x v="1494"/>
    <x v="0"/>
    <n v="303.99"/>
    <x v="1487"/>
    <x v="1489"/>
    <x v="6"/>
    <x v="3"/>
  </r>
  <r>
    <x v="9"/>
    <x v="14"/>
    <x v="2"/>
    <x v="0"/>
    <x v="1495"/>
    <x v="0"/>
    <n v="1605.1"/>
    <x v="1488"/>
    <x v="1490"/>
    <x v="3"/>
    <x v="3"/>
  </r>
  <r>
    <x v="35"/>
    <x v="1"/>
    <x v="0"/>
    <x v="0"/>
    <x v="1496"/>
    <x v="0"/>
    <n v="433.68"/>
    <x v="1489"/>
    <x v="1491"/>
    <x v="1"/>
    <x v="1"/>
  </r>
  <r>
    <x v="41"/>
    <x v="4"/>
    <x v="1"/>
    <x v="0"/>
    <x v="1497"/>
    <x v="0"/>
    <n v="826.03"/>
    <x v="1490"/>
    <x v="1492"/>
    <x v="2"/>
    <x v="0"/>
  </r>
  <r>
    <x v="53"/>
    <x v="5"/>
    <x v="1"/>
    <x v="0"/>
    <x v="1498"/>
    <x v="0"/>
    <n v="1089.1199999999999"/>
    <x v="98"/>
    <x v="98"/>
    <x v="3"/>
    <x v="2"/>
  </r>
  <r>
    <x v="32"/>
    <x v="5"/>
    <x v="0"/>
    <x v="1"/>
    <x v="1499"/>
    <x v="0"/>
    <n v="997.97"/>
    <x v="1491"/>
    <x v="1493"/>
    <x v="3"/>
    <x v="2"/>
  </r>
  <r>
    <x v="29"/>
    <x v="9"/>
    <x v="0"/>
    <x v="0"/>
    <x v="1500"/>
    <x v="0"/>
    <n v="427.09"/>
    <x v="1492"/>
    <x v="1494"/>
    <x v="3"/>
    <x v="2"/>
  </r>
  <r>
    <x v="9"/>
    <x v="3"/>
    <x v="2"/>
    <x v="0"/>
    <x v="1501"/>
    <x v="0"/>
    <n v="393.75"/>
    <x v="1493"/>
    <x v="1495"/>
    <x v="3"/>
    <x v="2"/>
  </r>
  <r>
    <x v="27"/>
    <x v="9"/>
    <x v="2"/>
    <x v="0"/>
    <x v="1502"/>
    <x v="0"/>
    <n v="1491.3"/>
    <x v="1494"/>
    <x v="1496"/>
    <x v="0"/>
    <x v="2"/>
  </r>
  <r>
    <x v="70"/>
    <x v="7"/>
    <x v="2"/>
    <x v="0"/>
    <x v="1503"/>
    <x v="0"/>
    <n v="787.44"/>
    <x v="1495"/>
    <x v="1497"/>
    <x v="5"/>
    <x v="0"/>
  </r>
  <r>
    <x v="14"/>
    <x v="10"/>
    <x v="0"/>
    <x v="0"/>
    <x v="1504"/>
    <x v="0"/>
    <n v="350.07"/>
    <x v="1496"/>
    <x v="1498"/>
    <x v="5"/>
    <x v="3"/>
  </r>
  <r>
    <x v="69"/>
    <x v="1"/>
    <x v="0"/>
    <x v="0"/>
    <x v="1505"/>
    <x v="0"/>
    <n v="836.87"/>
    <x v="1497"/>
    <x v="1499"/>
    <x v="6"/>
    <x v="1"/>
  </r>
  <r>
    <x v="34"/>
    <x v="15"/>
    <x v="0"/>
    <x v="0"/>
    <x v="1506"/>
    <x v="0"/>
    <n v="1838.53"/>
    <x v="1498"/>
    <x v="1500"/>
    <x v="0"/>
    <x v="0"/>
  </r>
  <r>
    <x v="39"/>
    <x v="14"/>
    <x v="0"/>
    <x v="1"/>
    <x v="1507"/>
    <x v="0"/>
    <n v="2015.27"/>
    <x v="1499"/>
    <x v="1501"/>
    <x v="0"/>
    <x v="3"/>
  </r>
  <r>
    <x v="60"/>
    <x v="1"/>
    <x v="1"/>
    <x v="0"/>
    <x v="1508"/>
    <x v="0"/>
    <n v="319.98"/>
    <x v="1500"/>
    <x v="1502"/>
    <x v="4"/>
    <x v="1"/>
  </r>
  <r>
    <x v="12"/>
    <x v="12"/>
    <x v="2"/>
    <x v="0"/>
    <x v="1509"/>
    <x v="0"/>
    <n v="246.53"/>
    <x v="1501"/>
    <x v="1503"/>
    <x v="4"/>
    <x v="4"/>
  </r>
  <r>
    <x v="13"/>
    <x v="8"/>
    <x v="1"/>
    <x v="0"/>
    <x v="1510"/>
    <x v="1"/>
    <n v="820.25"/>
    <x v="1502"/>
    <x v="1504"/>
    <x v="1"/>
    <x v="4"/>
  </r>
  <r>
    <x v="70"/>
    <x v="4"/>
    <x v="0"/>
    <x v="1"/>
    <x v="1511"/>
    <x v="0"/>
    <n v="855.49"/>
    <x v="1503"/>
    <x v="1505"/>
    <x v="5"/>
    <x v="0"/>
  </r>
  <r>
    <x v="9"/>
    <x v="2"/>
    <x v="0"/>
    <x v="0"/>
    <x v="1512"/>
    <x v="0"/>
    <n v="890.86"/>
    <x v="1504"/>
    <x v="1506"/>
    <x v="3"/>
    <x v="1"/>
  </r>
  <r>
    <x v="45"/>
    <x v="3"/>
    <x v="1"/>
    <x v="0"/>
    <x v="1513"/>
    <x v="0"/>
    <n v="1108.47"/>
    <x v="1505"/>
    <x v="1507"/>
    <x v="1"/>
    <x v="2"/>
  </r>
  <r>
    <x v="35"/>
    <x v="3"/>
    <x v="0"/>
    <x v="1"/>
    <x v="1514"/>
    <x v="0"/>
    <n v="442.38"/>
    <x v="1506"/>
    <x v="1508"/>
    <x v="1"/>
    <x v="2"/>
  </r>
  <r>
    <x v="44"/>
    <x v="14"/>
    <x v="2"/>
    <x v="1"/>
    <x v="1515"/>
    <x v="0"/>
    <n v="579.79999999999995"/>
    <x v="1507"/>
    <x v="1509"/>
    <x v="6"/>
    <x v="3"/>
  </r>
  <r>
    <x v="40"/>
    <x v="15"/>
    <x v="0"/>
    <x v="0"/>
    <x v="1516"/>
    <x v="0"/>
    <n v="1004.79"/>
    <x v="1508"/>
    <x v="1510"/>
    <x v="4"/>
    <x v="0"/>
  </r>
  <r>
    <x v="20"/>
    <x v="9"/>
    <x v="0"/>
    <x v="1"/>
    <x v="1517"/>
    <x v="0"/>
    <n v="1259.7"/>
    <x v="1509"/>
    <x v="1511"/>
    <x v="3"/>
    <x v="2"/>
  </r>
  <r>
    <x v="27"/>
    <x v="4"/>
    <x v="2"/>
    <x v="0"/>
    <x v="1518"/>
    <x v="0"/>
    <n v="1656.11"/>
    <x v="1510"/>
    <x v="1512"/>
    <x v="0"/>
    <x v="0"/>
  </r>
  <r>
    <x v="32"/>
    <x v="6"/>
    <x v="0"/>
    <x v="1"/>
    <x v="1519"/>
    <x v="0"/>
    <n v="1975.44"/>
    <x v="1511"/>
    <x v="1513"/>
    <x v="3"/>
    <x v="3"/>
  </r>
  <r>
    <x v="72"/>
    <x v="13"/>
    <x v="2"/>
    <x v="0"/>
    <x v="1520"/>
    <x v="0"/>
    <n v="254.36"/>
    <x v="1512"/>
    <x v="1514"/>
    <x v="6"/>
    <x v="1"/>
  </r>
  <r>
    <x v="3"/>
    <x v="7"/>
    <x v="0"/>
    <x v="0"/>
    <x v="1521"/>
    <x v="0"/>
    <n v="868.04"/>
    <x v="1513"/>
    <x v="1515"/>
    <x v="0"/>
    <x v="0"/>
  </r>
  <r>
    <x v="11"/>
    <x v="1"/>
    <x v="0"/>
    <x v="0"/>
    <x v="1522"/>
    <x v="0"/>
    <n v="509.33"/>
    <x v="1514"/>
    <x v="1516"/>
    <x v="4"/>
    <x v="1"/>
  </r>
  <r>
    <x v="30"/>
    <x v="3"/>
    <x v="0"/>
    <x v="2"/>
    <x v="1523"/>
    <x v="0"/>
    <n v="1782.21"/>
    <x v="1515"/>
    <x v="1517"/>
    <x v="2"/>
    <x v="2"/>
  </r>
  <r>
    <x v="12"/>
    <x v="8"/>
    <x v="1"/>
    <x v="0"/>
    <x v="1524"/>
    <x v="0"/>
    <n v="363.37"/>
    <x v="1516"/>
    <x v="1518"/>
    <x v="4"/>
    <x v="4"/>
  </r>
  <r>
    <x v="49"/>
    <x v="8"/>
    <x v="2"/>
    <x v="0"/>
    <x v="1525"/>
    <x v="0"/>
    <n v="1282.47"/>
    <x v="1517"/>
    <x v="1519"/>
    <x v="2"/>
    <x v="4"/>
  </r>
  <r>
    <x v="33"/>
    <x v="4"/>
    <x v="2"/>
    <x v="1"/>
    <x v="1526"/>
    <x v="1"/>
    <n v="1168.93"/>
    <x v="1518"/>
    <x v="1520"/>
    <x v="3"/>
    <x v="0"/>
  </r>
  <r>
    <x v="38"/>
    <x v="14"/>
    <x v="2"/>
    <x v="2"/>
    <x v="1527"/>
    <x v="0"/>
    <n v="672.67"/>
    <x v="1519"/>
    <x v="1521"/>
    <x v="5"/>
    <x v="3"/>
  </r>
  <r>
    <x v="56"/>
    <x v="10"/>
    <x v="2"/>
    <x v="1"/>
    <x v="1528"/>
    <x v="1"/>
    <n v="693.09"/>
    <x v="1520"/>
    <x v="1522"/>
    <x v="4"/>
    <x v="3"/>
  </r>
  <r>
    <x v="28"/>
    <x v="7"/>
    <x v="1"/>
    <x v="1"/>
    <x v="1529"/>
    <x v="0"/>
    <n v="2756"/>
    <x v="1521"/>
    <x v="1523"/>
    <x v="0"/>
    <x v="0"/>
  </r>
  <r>
    <x v="20"/>
    <x v="5"/>
    <x v="1"/>
    <x v="2"/>
    <x v="1530"/>
    <x v="0"/>
    <n v="1558.03"/>
    <x v="1522"/>
    <x v="1524"/>
    <x v="3"/>
    <x v="2"/>
  </r>
  <r>
    <x v="67"/>
    <x v="12"/>
    <x v="1"/>
    <x v="0"/>
    <x v="1531"/>
    <x v="1"/>
    <n v="646.1"/>
    <x v="1523"/>
    <x v="1525"/>
    <x v="1"/>
    <x v="4"/>
  </r>
  <r>
    <x v="2"/>
    <x v="14"/>
    <x v="1"/>
    <x v="1"/>
    <x v="1532"/>
    <x v="1"/>
    <n v="1864.6"/>
    <x v="1524"/>
    <x v="1526"/>
    <x v="0"/>
    <x v="3"/>
  </r>
  <r>
    <x v="19"/>
    <x v="15"/>
    <x v="2"/>
    <x v="0"/>
    <x v="1533"/>
    <x v="0"/>
    <n v="1557.9"/>
    <x v="1525"/>
    <x v="1527"/>
    <x v="0"/>
    <x v="0"/>
  </r>
  <r>
    <x v="0"/>
    <x v="5"/>
    <x v="0"/>
    <x v="0"/>
    <x v="1534"/>
    <x v="0"/>
    <n v="1182.82"/>
    <x v="1526"/>
    <x v="1528"/>
    <x v="0"/>
    <x v="2"/>
  </r>
  <r>
    <x v="25"/>
    <x v="10"/>
    <x v="1"/>
    <x v="0"/>
    <x v="1535"/>
    <x v="0"/>
    <n v="1152"/>
    <x v="1527"/>
    <x v="1529"/>
    <x v="3"/>
    <x v="3"/>
  </r>
  <r>
    <x v="48"/>
    <x v="11"/>
    <x v="0"/>
    <x v="0"/>
    <x v="1536"/>
    <x v="0"/>
    <n v="948.49"/>
    <x v="1528"/>
    <x v="1530"/>
    <x v="2"/>
    <x v="4"/>
  </r>
  <r>
    <x v="4"/>
    <x v="13"/>
    <x v="2"/>
    <x v="0"/>
    <x v="1537"/>
    <x v="0"/>
    <n v="794.23"/>
    <x v="1529"/>
    <x v="1531"/>
    <x v="2"/>
    <x v="1"/>
  </r>
  <r>
    <x v="33"/>
    <x v="1"/>
    <x v="0"/>
    <x v="0"/>
    <x v="1538"/>
    <x v="0"/>
    <n v="1866.11"/>
    <x v="1530"/>
    <x v="1532"/>
    <x v="3"/>
    <x v="1"/>
  </r>
  <r>
    <x v="35"/>
    <x v="2"/>
    <x v="0"/>
    <x v="0"/>
    <x v="1539"/>
    <x v="0"/>
    <n v="350.84"/>
    <x v="1531"/>
    <x v="1533"/>
    <x v="1"/>
    <x v="1"/>
  </r>
  <r>
    <x v="19"/>
    <x v="1"/>
    <x v="2"/>
    <x v="2"/>
    <x v="1540"/>
    <x v="0"/>
    <n v="3235.86"/>
    <x v="1532"/>
    <x v="1534"/>
    <x v="0"/>
    <x v="1"/>
  </r>
  <r>
    <x v="47"/>
    <x v="9"/>
    <x v="1"/>
    <x v="0"/>
    <x v="1541"/>
    <x v="0"/>
    <n v="494.56"/>
    <x v="1533"/>
    <x v="1535"/>
    <x v="5"/>
    <x v="2"/>
  </r>
  <r>
    <x v="61"/>
    <x v="14"/>
    <x v="1"/>
    <x v="0"/>
    <x v="1542"/>
    <x v="0"/>
    <n v="440.01"/>
    <x v="1534"/>
    <x v="1536"/>
    <x v="5"/>
    <x v="3"/>
  </r>
  <r>
    <x v="69"/>
    <x v="2"/>
    <x v="1"/>
    <x v="1"/>
    <x v="1543"/>
    <x v="0"/>
    <n v="936.62"/>
    <x v="1535"/>
    <x v="1537"/>
    <x v="6"/>
    <x v="1"/>
  </r>
  <r>
    <x v="0"/>
    <x v="6"/>
    <x v="0"/>
    <x v="1"/>
    <x v="1544"/>
    <x v="0"/>
    <n v="1092.74"/>
    <x v="1536"/>
    <x v="1538"/>
    <x v="0"/>
    <x v="3"/>
  </r>
  <r>
    <x v="0"/>
    <x v="11"/>
    <x v="0"/>
    <x v="0"/>
    <x v="1545"/>
    <x v="0"/>
    <n v="852.91"/>
    <x v="1537"/>
    <x v="1539"/>
    <x v="0"/>
    <x v="4"/>
  </r>
  <r>
    <x v="41"/>
    <x v="1"/>
    <x v="0"/>
    <x v="0"/>
    <x v="1546"/>
    <x v="0"/>
    <n v="3340.33"/>
    <x v="1538"/>
    <x v="1540"/>
    <x v="2"/>
    <x v="1"/>
  </r>
  <r>
    <x v="34"/>
    <x v="4"/>
    <x v="2"/>
    <x v="0"/>
    <x v="1547"/>
    <x v="0"/>
    <n v="1773.96"/>
    <x v="1539"/>
    <x v="1541"/>
    <x v="0"/>
    <x v="0"/>
  </r>
  <r>
    <x v="37"/>
    <x v="7"/>
    <x v="0"/>
    <x v="0"/>
    <x v="1548"/>
    <x v="0"/>
    <n v="1077.8699999999999"/>
    <x v="1540"/>
    <x v="1542"/>
    <x v="4"/>
    <x v="0"/>
  </r>
  <r>
    <x v="1"/>
    <x v="7"/>
    <x v="0"/>
    <x v="0"/>
    <x v="1549"/>
    <x v="0"/>
    <n v="733.1"/>
    <x v="1541"/>
    <x v="1543"/>
    <x v="1"/>
    <x v="0"/>
  </r>
  <r>
    <x v="2"/>
    <x v="4"/>
    <x v="0"/>
    <x v="0"/>
    <x v="1550"/>
    <x v="0"/>
    <n v="3019.3"/>
    <x v="1542"/>
    <x v="1544"/>
    <x v="0"/>
    <x v="0"/>
  </r>
  <r>
    <x v="22"/>
    <x v="1"/>
    <x v="0"/>
    <x v="0"/>
    <x v="1551"/>
    <x v="0"/>
    <n v="435.98"/>
    <x v="1543"/>
    <x v="1545"/>
    <x v="1"/>
    <x v="1"/>
  </r>
  <r>
    <x v="45"/>
    <x v="15"/>
    <x v="1"/>
    <x v="0"/>
    <x v="1552"/>
    <x v="1"/>
    <n v="2314.08"/>
    <x v="1544"/>
    <x v="1546"/>
    <x v="1"/>
    <x v="0"/>
  </r>
  <r>
    <x v="14"/>
    <x v="3"/>
    <x v="2"/>
    <x v="1"/>
    <x v="1553"/>
    <x v="1"/>
    <n v="623.89"/>
    <x v="1545"/>
    <x v="1547"/>
    <x v="5"/>
    <x v="2"/>
  </r>
  <r>
    <x v="56"/>
    <x v="13"/>
    <x v="2"/>
    <x v="0"/>
    <x v="1554"/>
    <x v="0"/>
    <n v="558.75"/>
    <x v="1546"/>
    <x v="1548"/>
    <x v="4"/>
    <x v="1"/>
  </r>
  <r>
    <x v="57"/>
    <x v="14"/>
    <x v="0"/>
    <x v="0"/>
    <x v="1555"/>
    <x v="1"/>
    <n v="442.87"/>
    <x v="1547"/>
    <x v="1549"/>
    <x v="2"/>
    <x v="3"/>
  </r>
  <r>
    <x v="32"/>
    <x v="3"/>
    <x v="0"/>
    <x v="1"/>
    <x v="1556"/>
    <x v="0"/>
    <n v="731.6"/>
    <x v="1548"/>
    <x v="1550"/>
    <x v="3"/>
    <x v="2"/>
  </r>
  <r>
    <x v="2"/>
    <x v="1"/>
    <x v="0"/>
    <x v="0"/>
    <x v="1557"/>
    <x v="0"/>
    <n v="1579.44"/>
    <x v="1549"/>
    <x v="1551"/>
    <x v="0"/>
    <x v="1"/>
  </r>
  <r>
    <x v="49"/>
    <x v="10"/>
    <x v="2"/>
    <x v="3"/>
    <x v="1558"/>
    <x v="0"/>
    <n v="1259.51"/>
    <x v="1550"/>
    <x v="1552"/>
    <x v="2"/>
    <x v="3"/>
  </r>
  <r>
    <x v="22"/>
    <x v="6"/>
    <x v="0"/>
    <x v="0"/>
    <x v="1559"/>
    <x v="1"/>
    <n v="558.04999999999995"/>
    <x v="1551"/>
    <x v="1553"/>
    <x v="1"/>
    <x v="3"/>
  </r>
  <r>
    <x v="62"/>
    <x v="0"/>
    <x v="1"/>
    <x v="0"/>
    <x v="1560"/>
    <x v="0"/>
    <n v="882.25"/>
    <x v="1552"/>
    <x v="1554"/>
    <x v="1"/>
    <x v="0"/>
  </r>
  <r>
    <x v="19"/>
    <x v="2"/>
    <x v="0"/>
    <x v="0"/>
    <x v="1561"/>
    <x v="0"/>
    <n v="907.25"/>
    <x v="1553"/>
    <x v="1555"/>
    <x v="0"/>
    <x v="1"/>
  </r>
  <r>
    <x v="46"/>
    <x v="3"/>
    <x v="1"/>
    <x v="0"/>
    <x v="1562"/>
    <x v="0"/>
    <n v="686.11"/>
    <x v="1554"/>
    <x v="1556"/>
    <x v="0"/>
    <x v="2"/>
  </r>
  <r>
    <x v="3"/>
    <x v="0"/>
    <x v="0"/>
    <x v="0"/>
    <x v="1563"/>
    <x v="1"/>
    <n v="1145.48"/>
    <x v="1555"/>
    <x v="1557"/>
    <x v="0"/>
    <x v="0"/>
  </r>
  <r>
    <x v="60"/>
    <x v="7"/>
    <x v="2"/>
    <x v="0"/>
    <x v="1564"/>
    <x v="0"/>
    <n v="280.95999999999998"/>
    <x v="1556"/>
    <x v="1558"/>
    <x v="4"/>
    <x v="0"/>
  </r>
  <r>
    <x v="3"/>
    <x v="8"/>
    <x v="2"/>
    <x v="1"/>
    <x v="1565"/>
    <x v="0"/>
    <n v="2557.9699999999998"/>
    <x v="1557"/>
    <x v="1559"/>
    <x v="0"/>
    <x v="4"/>
  </r>
  <r>
    <x v="40"/>
    <x v="2"/>
    <x v="0"/>
    <x v="0"/>
    <x v="1566"/>
    <x v="1"/>
    <n v="302.51"/>
    <x v="1558"/>
    <x v="1560"/>
    <x v="4"/>
    <x v="1"/>
  </r>
  <r>
    <x v="2"/>
    <x v="5"/>
    <x v="2"/>
    <x v="1"/>
    <x v="1567"/>
    <x v="0"/>
    <n v="1815.2"/>
    <x v="1559"/>
    <x v="1561"/>
    <x v="0"/>
    <x v="2"/>
  </r>
  <r>
    <x v="7"/>
    <x v="15"/>
    <x v="0"/>
    <x v="0"/>
    <x v="1568"/>
    <x v="0"/>
    <n v="1829.96"/>
    <x v="1560"/>
    <x v="1562"/>
    <x v="0"/>
    <x v="0"/>
  </r>
  <r>
    <x v="8"/>
    <x v="14"/>
    <x v="0"/>
    <x v="0"/>
    <x v="1569"/>
    <x v="0"/>
    <n v="773.15"/>
    <x v="1561"/>
    <x v="1563"/>
    <x v="0"/>
    <x v="3"/>
  </r>
  <r>
    <x v="32"/>
    <x v="14"/>
    <x v="2"/>
    <x v="0"/>
    <x v="1570"/>
    <x v="0"/>
    <n v="756.7"/>
    <x v="1562"/>
    <x v="1564"/>
    <x v="3"/>
    <x v="3"/>
  </r>
  <r>
    <x v="33"/>
    <x v="11"/>
    <x v="0"/>
    <x v="0"/>
    <x v="1571"/>
    <x v="1"/>
    <n v="603.03"/>
    <x v="1563"/>
    <x v="1565"/>
    <x v="3"/>
    <x v="4"/>
  </r>
  <r>
    <x v="62"/>
    <x v="0"/>
    <x v="2"/>
    <x v="0"/>
    <x v="1572"/>
    <x v="0"/>
    <n v="1335.12"/>
    <x v="1564"/>
    <x v="1566"/>
    <x v="1"/>
    <x v="0"/>
  </r>
  <r>
    <x v="12"/>
    <x v="9"/>
    <x v="1"/>
    <x v="2"/>
    <x v="1573"/>
    <x v="0"/>
    <n v="1144.92"/>
    <x v="1565"/>
    <x v="1567"/>
    <x v="4"/>
    <x v="2"/>
  </r>
  <r>
    <x v="13"/>
    <x v="13"/>
    <x v="0"/>
    <x v="1"/>
    <x v="1574"/>
    <x v="0"/>
    <n v="1659.34"/>
    <x v="1566"/>
    <x v="1568"/>
    <x v="1"/>
    <x v="1"/>
  </r>
  <r>
    <x v="3"/>
    <x v="7"/>
    <x v="1"/>
    <x v="0"/>
    <x v="1575"/>
    <x v="0"/>
    <n v="2300.75"/>
    <x v="1567"/>
    <x v="1569"/>
    <x v="0"/>
    <x v="0"/>
  </r>
  <r>
    <x v="44"/>
    <x v="10"/>
    <x v="2"/>
    <x v="0"/>
    <x v="1576"/>
    <x v="0"/>
    <n v="794.74"/>
    <x v="1568"/>
    <x v="1570"/>
    <x v="6"/>
    <x v="3"/>
  </r>
  <r>
    <x v="41"/>
    <x v="7"/>
    <x v="0"/>
    <x v="0"/>
    <x v="1577"/>
    <x v="0"/>
    <n v="920.57"/>
    <x v="1569"/>
    <x v="1571"/>
    <x v="2"/>
    <x v="0"/>
  </r>
  <r>
    <x v="19"/>
    <x v="15"/>
    <x v="2"/>
    <x v="1"/>
    <x v="1578"/>
    <x v="0"/>
    <n v="4747.8900000000003"/>
    <x v="1570"/>
    <x v="1572"/>
    <x v="0"/>
    <x v="0"/>
  </r>
  <r>
    <x v="2"/>
    <x v="8"/>
    <x v="1"/>
    <x v="0"/>
    <x v="1579"/>
    <x v="0"/>
    <n v="1103.07"/>
    <x v="1571"/>
    <x v="1573"/>
    <x v="0"/>
    <x v="4"/>
  </r>
  <r>
    <x v="31"/>
    <x v="3"/>
    <x v="0"/>
    <x v="0"/>
    <x v="1580"/>
    <x v="0"/>
    <n v="668.82"/>
    <x v="1572"/>
    <x v="1574"/>
    <x v="0"/>
    <x v="2"/>
  </r>
  <r>
    <x v="10"/>
    <x v="15"/>
    <x v="1"/>
    <x v="3"/>
    <x v="1581"/>
    <x v="1"/>
    <n v="1999.83"/>
    <x v="1573"/>
    <x v="1575"/>
    <x v="2"/>
    <x v="0"/>
  </r>
  <r>
    <x v="30"/>
    <x v="1"/>
    <x v="0"/>
    <x v="0"/>
    <x v="1582"/>
    <x v="0"/>
    <n v="594.11"/>
    <x v="1574"/>
    <x v="1576"/>
    <x v="2"/>
    <x v="1"/>
  </r>
  <r>
    <x v="63"/>
    <x v="13"/>
    <x v="1"/>
    <x v="0"/>
    <x v="1583"/>
    <x v="0"/>
    <n v="367.89"/>
    <x v="1575"/>
    <x v="1577"/>
    <x v="6"/>
    <x v="1"/>
  </r>
  <r>
    <x v="22"/>
    <x v="10"/>
    <x v="1"/>
    <x v="1"/>
    <x v="1584"/>
    <x v="1"/>
    <n v="2123.8200000000002"/>
    <x v="1576"/>
    <x v="1578"/>
    <x v="1"/>
    <x v="3"/>
  </r>
  <r>
    <x v="63"/>
    <x v="4"/>
    <x v="0"/>
    <x v="0"/>
    <x v="1585"/>
    <x v="1"/>
    <n v="462.38"/>
    <x v="1577"/>
    <x v="1579"/>
    <x v="6"/>
    <x v="0"/>
  </r>
  <r>
    <x v="39"/>
    <x v="7"/>
    <x v="0"/>
    <x v="0"/>
    <x v="1586"/>
    <x v="0"/>
    <n v="770.93"/>
    <x v="1578"/>
    <x v="1580"/>
    <x v="0"/>
    <x v="0"/>
  </r>
  <r>
    <x v="25"/>
    <x v="5"/>
    <x v="2"/>
    <x v="0"/>
    <x v="1587"/>
    <x v="0"/>
    <n v="1955.01"/>
    <x v="1579"/>
    <x v="1581"/>
    <x v="3"/>
    <x v="2"/>
  </r>
  <r>
    <x v="40"/>
    <x v="2"/>
    <x v="0"/>
    <x v="1"/>
    <x v="1588"/>
    <x v="0"/>
    <n v="969.4"/>
    <x v="1580"/>
    <x v="1582"/>
    <x v="4"/>
    <x v="1"/>
  </r>
  <r>
    <x v="20"/>
    <x v="13"/>
    <x v="0"/>
    <x v="1"/>
    <x v="1589"/>
    <x v="0"/>
    <n v="2330.8000000000002"/>
    <x v="1581"/>
    <x v="1583"/>
    <x v="3"/>
    <x v="1"/>
  </r>
  <r>
    <x v="62"/>
    <x v="14"/>
    <x v="0"/>
    <x v="1"/>
    <x v="1590"/>
    <x v="0"/>
    <n v="1490.14"/>
    <x v="1582"/>
    <x v="1584"/>
    <x v="1"/>
    <x v="3"/>
  </r>
  <r>
    <x v="35"/>
    <x v="14"/>
    <x v="0"/>
    <x v="1"/>
    <x v="1591"/>
    <x v="0"/>
    <n v="1048.4100000000001"/>
    <x v="1583"/>
    <x v="1585"/>
    <x v="1"/>
    <x v="3"/>
  </r>
  <r>
    <x v="26"/>
    <x v="1"/>
    <x v="2"/>
    <x v="0"/>
    <x v="1592"/>
    <x v="0"/>
    <n v="2038.34"/>
    <x v="1584"/>
    <x v="1586"/>
    <x v="1"/>
    <x v="1"/>
  </r>
  <r>
    <x v="27"/>
    <x v="14"/>
    <x v="2"/>
    <x v="0"/>
    <x v="1593"/>
    <x v="1"/>
    <n v="1413.28"/>
    <x v="1585"/>
    <x v="1587"/>
    <x v="0"/>
    <x v="3"/>
  </r>
  <r>
    <x v="1"/>
    <x v="4"/>
    <x v="2"/>
    <x v="2"/>
    <x v="1594"/>
    <x v="0"/>
    <n v="1329.81"/>
    <x v="1586"/>
    <x v="1588"/>
    <x v="1"/>
    <x v="0"/>
  </r>
  <r>
    <x v="50"/>
    <x v="13"/>
    <x v="2"/>
    <x v="0"/>
    <x v="1595"/>
    <x v="0"/>
    <n v="365.98"/>
    <x v="1587"/>
    <x v="1589"/>
    <x v="4"/>
    <x v="1"/>
  </r>
  <r>
    <x v="53"/>
    <x v="10"/>
    <x v="0"/>
    <x v="0"/>
    <x v="1596"/>
    <x v="0"/>
    <n v="464.9"/>
    <x v="1588"/>
    <x v="1590"/>
    <x v="3"/>
    <x v="3"/>
  </r>
  <r>
    <x v="68"/>
    <x v="11"/>
    <x v="1"/>
    <x v="0"/>
    <x v="1597"/>
    <x v="0"/>
    <n v="257"/>
    <x v="1589"/>
    <x v="1591"/>
    <x v="2"/>
    <x v="4"/>
  </r>
  <r>
    <x v="19"/>
    <x v="4"/>
    <x v="0"/>
    <x v="0"/>
    <x v="1598"/>
    <x v="1"/>
    <n v="500.27"/>
    <x v="1590"/>
    <x v="1592"/>
    <x v="0"/>
    <x v="0"/>
  </r>
  <r>
    <x v="4"/>
    <x v="12"/>
    <x v="0"/>
    <x v="0"/>
    <x v="1599"/>
    <x v="0"/>
    <n v="404.21"/>
    <x v="1591"/>
    <x v="1593"/>
    <x v="2"/>
    <x v="4"/>
  </r>
  <r>
    <x v="19"/>
    <x v="13"/>
    <x v="0"/>
    <x v="0"/>
    <x v="1600"/>
    <x v="0"/>
    <n v="1817.69"/>
    <x v="1592"/>
    <x v="1594"/>
    <x v="0"/>
    <x v="1"/>
  </r>
  <r>
    <x v="49"/>
    <x v="7"/>
    <x v="0"/>
    <x v="0"/>
    <x v="1601"/>
    <x v="0"/>
    <n v="732.13"/>
    <x v="1593"/>
    <x v="1595"/>
    <x v="2"/>
    <x v="0"/>
  </r>
  <r>
    <x v="28"/>
    <x v="1"/>
    <x v="1"/>
    <x v="0"/>
    <x v="1602"/>
    <x v="0"/>
    <n v="2147.62"/>
    <x v="1594"/>
    <x v="1596"/>
    <x v="0"/>
    <x v="1"/>
  </r>
  <r>
    <x v="51"/>
    <x v="6"/>
    <x v="0"/>
    <x v="0"/>
    <x v="1603"/>
    <x v="0"/>
    <n v="615.89"/>
    <x v="1595"/>
    <x v="1597"/>
    <x v="6"/>
    <x v="3"/>
  </r>
  <r>
    <x v="16"/>
    <x v="9"/>
    <x v="0"/>
    <x v="0"/>
    <x v="1604"/>
    <x v="0"/>
    <n v="448.71"/>
    <x v="1596"/>
    <x v="1598"/>
    <x v="4"/>
    <x v="2"/>
  </r>
  <r>
    <x v="6"/>
    <x v="4"/>
    <x v="0"/>
    <x v="0"/>
    <x v="1605"/>
    <x v="0"/>
    <n v="779.59"/>
    <x v="1597"/>
    <x v="1599"/>
    <x v="2"/>
    <x v="0"/>
  </r>
  <r>
    <x v="41"/>
    <x v="12"/>
    <x v="0"/>
    <x v="0"/>
    <x v="1606"/>
    <x v="0"/>
    <n v="615.25"/>
    <x v="1598"/>
    <x v="1600"/>
    <x v="2"/>
    <x v="4"/>
  </r>
  <r>
    <x v="44"/>
    <x v="6"/>
    <x v="0"/>
    <x v="2"/>
    <x v="1607"/>
    <x v="0"/>
    <n v="709.04"/>
    <x v="1599"/>
    <x v="1601"/>
    <x v="6"/>
    <x v="3"/>
  </r>
  <r>
    <x v="24"/>
    <x v="1"/>
    <x v="0"/>
    <x v="0"/>
    <x v="1608"/>
    <x v="0"/>
    <n v="221.23"/>
    <x v="1600"/>
    <x v="1602"/>
    <x v="4"/>
    <x v="1"/>
  </r>
  <r>
    <x v="48"/>
    <x v="5"/>
    <x v="2"/>
    <x v="0"/>
    <x v="1609"/>
    <x v="0"/>
    <n v="461.69"/>
    <x v="1601"/>
    <x v="1603"/>
    <x v="2"/>
    <x v="2"/>
  </r>
  <r>
    <x v="66"/>
    <x v="1"/>
    <x v="0"/>
    <x v="2"/>
    <x v="1610"/>
    <x v="0"/>
    <n v="911.11"/>
    <x v="1602"/>
    <x v="1604"/>
    <x v="5"/>
    <x v="1"/>
  </r>
  <r>
    <x v="59"/>
    <x v="6"/>
    <x v="1"/>
    <x v="0"/>
    <x v="1611"/>
    <x v="0"/>
    <n v="438.6"/>
    <x v="1603"/>
    <x v="1605"/>
    <x v="5"/>
    <x v="3"/>
  </r>
  <r>
    <x v="14"/>
    <x v="10"/>
    <x v="1"/>
    <x v="0"/>
    <x v="1612"/>
    <x v="0"/>
    <n v="554.04"/>
    <x v="1604"/>
    <x v="1606"/>
    <x v="5"/>
    <x v="3"/>
  </r>
  <r>
    <x v="8"/>
    <x v="14"/>
    <x v="0"/>
    <x v="0"/>
    <x v="1613"/>
    <x v="0"/>
    <n v="1566.79"/>
    <x v="1605"/>
    <x v="1607"/>
    <x v="0"/>
    <x v="3"/>
  </r>
  <r>
    <x v="0"/>
    <x v="1"/>
    <x v="0"/>
    <x v="0"/>
    <x v="1614"/>
    <x v="0"/>
    <n v="1388.77"/>
    <x v="1606"/>
    <x v="1608"/>
    <x v="0"/>
    <x v="1"/>
  </r>
  <r>
    <x v="48"/>
    <x v="2"/>
    <x v="0"/>
    <x v="1"/>
    <x v="1615"/>
    <x v="0"/>
    <n v="1798.07"/>
    <x v="1607"/>
    <x v="1609"/>
    <x v="2"/>
    <x v="1"/>
  </r>
  <r>
    <x v="24"/>
    <x v="7"/>
    <x v="2"/>
    <x v="0"/>
    <x v="1616"/>
    <x v="1"/>
    <n v="858.65"/>
    <x v="1608"/>
    <x v="1610"/>
    <x v="4"/>
    <x v="0"/>
  </r>
  <r>
    <x v="20"/>
    <x v="4"/>
    <x v="0"/>
    <x v="0"/>
    <x v="1617"/>
    <x v="1"/>
    <n v="966.73"/>
    <x v="1609"/>
    <x v="1611"/>
    <x v="3"/>
    <x v="0"/>
  </r>
  <r>
    <x v="1"/>
    <x v="4"/>
    <x v="2"/>
    <x v="1"/>
    <x v="1618"/>
    <x v="2"/>
    <n v="1084.8599999999999"/>
    <x v="1610"/>
    <x v="1612"/>
    <x v="1"/>
    <x v="0"/>
  </r>
  <r>
    <x v="66"/>
    <x v="0"/>
    <x v="1"/>
    <x v="0"/>
    <x v="1619"/>
    <x v="0"/>
    <n v="600.65"/>
    <x v="1611"/>
    <x v="1613"/>
    <x v="5"/>
    <x v="0"/>
  </r>
  <r>
    <x v="2"/>
    <x v="13"/>
    <x v="2"/>
    <x v="0"/>
    <x v="1620"/>
    <x v="0"/>
    <n v="1701"/>
    <x v="1612"/>
    <x v="1614"/>
    <x v="0"/>
    <x v="1"/>
  </r>
  <r>
    <x v="49"/>
    <x v="1"/>
    <x v="1"/>
    <x v="1"/>
    <x v="1621"/>
    <x v="0"/>
    <n v="2068.77"/>
    <x v="1613"/>
    <x v="1615"/>
    <x v="2"/>
    <x v="1"/>
  </r>
  <r>
    <x v="45"/>
    <x v="8"/>
    <x v="2"/>
    <x v="1"/>
    <x v="1622"/>
    <x v="1"/>
    <n v="354.52"/>
    <x v="1614"/>
    <x v="1616"/>
    <x v="1"/>
    <x v="4"/>
  </r>
  <r>
    <x v="44"/>
    <x v="4"/>
    <x v="0"/>
    <x v="0"/>
    <x v="1623"/>
    <x v="0"/>
    <n v="199.13"/>
    <x v="1615"/>
    <x v="1617"/>
    <x v="6"/>
    <x v="0"/>
  </r>
  <r>
    <x v="5"/>
    <x v="7"/>
    <x v="2"/>
    <x v="0"/>
    <x v="1624"/>
    <x v="1"/>
    <n v="1955.7"/>
    <x v="1616"/>
    <x v="1618"/>
    <x v="0"/>
    <x v="0"/>
  </r>
  <r>
    <x v="27"/>
    <x v="2"/>
    <x v="0"/>
    <x v="0"/>
    <x v="1625"/>
    <x v="0"/>
    <n v="748.09"/>
    <x v="1617"/>
    <x v="1619"/>
    <x v="0"/>
    <x v="1"/>
  </r>
  <r>
    <x v="56"/>
    <x v="11"/>
    <x v="2"/>
    <x v="0"/>
    <x v="1626"/>
    <x v="0"/>
    <n v="280.18"/>
    <x v="1618"/>
    <x v="1620"/>
    <x v="4"/>
    <x v="4"/>
  </r>
  <r>
    <x v="24"/>
    <x v="6"/>
    <x v="2"/>
    <x v="0"/>
    <x v="1627"/>
    <x v="0"/>
    <n v="661.54"/>
    <x v="1619"/>
    <x v="1621"/>
    <x v="4"/>
    <x v="3"/>
  </r>
  <r>
    <x v="40"/>
    <x v="10"/>
    <x v="0"/>
    <x v="1"/>
    <x v="1628"/>
    <x v="0"/>
    <n v="1044.95"/>
    <x v="1620"/>
    <x v="1622"/>
    <x v="4"/>
    <x v="3"/>
  </r>
  <r>
    <x v="60"/>
    <x v="11"/>
    <x v="0"/>
    <x v="0"/>
    <x v="1629"/>
    <x v="1"/>
    <n v="287.47000000000003"/>
    <x v="1621"/>
    <x v="1623"/>
    <x v="4"/>
    <x v="4"/>
  </r>
  <r>
    <x v="23"/>
    <x v="6"/>
    <x v="0"/>
    <x v="1"/>
    <x v="1630"/>
    <x v="1"/>
    <n v="1013.33"/>
    <x v="1622"/>
    <x v="1624"/>
    <x v="2"/>
    <x v="3"/>
  </r>
  <r>
    <x v="59"/>
    <x v="9"/>
    <x v="2"/>
    <x v="0"/>
    <x v="1631"/>
    <x v="0"/>
    <n v="233.87"/>
    <x v="1623"/>
    <x v="1625"/>
    <x v="5"/>
    <x v="2"/>
  </r>
  <r>
    <x v="27"/>
    <x v="9"/>
    <x v="0"/>
    <x v="0"/>
    <x v="1632"/>
    <x v="0"/>
    <n v="468.9"/>
    <x v="1624"/>
    <x v="1626"/>
    <x v="0"/>
    <x v="2"/>
  </r>
  <r>
    <x v="3"/>
    <x v="10"/>
    <x v="1"/>
    <x v="0"/>
    <x v="1633"/>
    <x v="1"/>
    <n v="1138.81"/>
    <x v="1625"/>
    <x v="1627"/>
    <x v="0"/>
    <x v="3"/>
  </r>
  <r>
    <x v="62"/>
    <x v="1"/>
    <x v="0"/>
    <x v="0"/>
    <x v="1634"/>
    <x v="1"/>
    <n v="424.75"/>
    <x v="1626"/>
    <x v="1628"/>
    <x v="1"/>
    <x v="1"/>
  </r>
  <r>
    <x v="40"/>
    <x v="15"/>
    <x v="1"/>
    <x v="0"/>
    <x v="1635"/>
    <x v="1"/>
    <n v="648.57000000000005"/>
    <x v="1627"/>
    <x v="1629"/>
    <x v="4"/>
    <x v="0"/>
  </r>
  <r>
    <x v="60"/>
    <x v="15"/>
    <x v="1"/>
    <x v="1"/>
    <x v="1636"/>
    <x v="0"/>
    <n v="1493.09"/>
    <x v="1628"/>
    <x v="1630"/>
    <x v="4"/>
    <x v="0"/>
  </r>
  <r>
    <x v="44"/>
    <x v="7"/>
    <x v="0"/>
    <x v="0"/>
    <x v="1637"/>
    <x v="0"/>
    <n v="420.05"/>
    <x v="1629"/>
    <x v="1631"/>
    <x v="6"/>
    <x v="0"/>
  </r>
  <r>
    <x v="53"/>
    <x v="4"/>
    <x v="2"/>
    <x v="2"/>
    <x v="1638"/>
    <x v="2"/>
    <n v="1927.6"/>
    <x v="1630"/>
    <x v="1632"/>
    <x v="3"/>
    <x v="0"/>
  </r>
  <r>
    <x v="2"/>
    <x v="8"/>
    <x v="1"/>
    <x v="0"/>
    <x v="1639"/>
    <x v="0"/>
    <n v="626.09"/>
    <x v="1631"/>
    <x v="1633"/>
    <x v="0"/>
    <x v="4"/>
  </r>
  <r>
    <x v="46"/>
    <x v="4"/>
    <x v="0"/>
    <x v="0"/>
    <x v="1640"/>
    <x v="1"/>
    <n v="1880.49"/>
    <x v="1632"/>
    <x v="1634"/>
    <x v="0"/>
    <x v="0"/>
  </r>
  <r>
    <x v="0"/>
    <x v="7"/>
    <x v="0"/>
    <x v="0"/>
    <x v="1641"/>
    <x v="0"/>
    <n v="1413.52"/>
    <x v="1633"/>
    <x v="1635"/>
    <x v="0"/>
    <x v="0"/>
  </r>
  <r>
    <x v="61"/>
    <x v="5"/>
    <x v="0"/>
    <x v="0"/>
    <x v="1642"/>
    <x v="0"/>
    <n v="499.33"/>
    <x v="1634"/>
    <x v="1636"/>
    <x v="5"/>
    <x v="2"/>
  </r>
  <r>
    <x v="71"/>
    <x v="4"/>
    <x v="0"/>
    <x v="1"/>
    <x v="1643"/>
    <x v="0"/>
    <n v="399.53"/>
    <x v="1635"/>
    <x v="1637"/>
    <x v="6"/>
    <x v="0"/>
  </r>
  <r>
    <x v="35"/>
    <x v="8"/>
    <x v="1"/>
    <x v="0"/>
    <x v="1644"/>
    <x v="0"/>
    <n v="566.73"/>
    <x v="1636"/>
    <x v="1638"/>
    <x v="1"/>
    <x v="4"/>
  </r>
  <r>
    <x v="14"/>
    <x v="15"/>
    <x v="0"/>
    <x v="1"/>
    <x v="1645"/>
    <x v="0"/>
    <n v="496.27"/>
    <x v="1637"/>
    <x v="1639"/>
    <x v="5"/>
    <x v="0"/>
  </r>
  <r>
    <x v="23"/>
    <x v="7"/>
    <x v="2"/>
    <x v="0"/>
    <x v="1646"/>
    <x v="2"/>
    <n v="1080.07"/>
    <x v="1638"/>
    <x v="1640"/>
    <x v="2"/>
    <x v="0"/>
  </r>
  <r>
    <x v="42"/>
    <x v="9"/>
    <x v="0"/>
    <x v="0"/>
    <x v="1647"/>
    <x v="0"/>
    <n v="880.04"/>
    <x v="1639"/>
    <x v="1641"/>
    <x v="3"/>
    <x v="2"/>
  </r>
  <r>
    <x v="27"/>
    <x v="13"/>
    <x v="0"/>
    <x v="0"/>
    <x v="1648"/>
    <x v="0"/>
    <n v="1176.7"/>
    <x v="1640"/>
    <x v="1642"/>
    <x v="0"/>
    <x v="1"/>
  </r>
  <r>
    <x v="7"/>
    <x v="3"/>
    <x v="1"/>
    <x v="0"/>
    <x v="1649"/>
    <x v="0"/>
    <n v="742.48"/>
    <x v="1641"/>
    <x v="1643"/>
    <x v="0"/>
    <x v="2"/>
  </r>
  <r>
    <x v="11"/>
    <x v="13"/>
    <x v="2"/>
    <x v="1"/>
    <x v="1650"/>
    <x v="0"/>
    <n v="341.84"/>
    <x v="1642"/>
    <x v="1644"/>
    <x v="4"/>
    <x v="1"/>
  </r>
  <r>
    <x v="36"/>
    <x v="5"/>
    <x v="0"/>
    <x v="1"/>
    <x v="1651"/>
    <x v="0"/>
    <n v="1197.32"/>
    <x v="1643"/>
    <x v="1645"/>
    <x v="1"/>
    <x v="2"/>
  </r>
  <r>
    <x v="61"/>
    <x v="4"/>
    <x v="0"/>
    <x v="1"/>
    <x v="1652"/>
    <x v="0"/>
    <n v="542.11"/>
    <x v="1644"/>
    <x v="1646"/>
    <x v="5"/>
    <x v="0"/>
  </r>
  <r>
    <x v="52"/>
    <x v="11"/>
    <x v="1"/>
    <x v="1"/>
    <x v="1653"/>
    <x v="0"/>
    <n v="533.26"/>
    <x v="1645"/>
    <x v="1647"/>
    <x v="0"/>
    <x v="4"/>
  </r>
  <r>
    <x v="50"/>
    <x v="6"/>
    <x v="0"/>
    <x v="0"/>
    <x v="1654"/>
    <x v="0"/>
    <n v="585.05999999999995"/>
    <x v="1646"/>
    <x v="1648"/>
    <x v="4"/>
    <x v="3"/>
  </r>
  <r>
    <x v="31"/>
    <x v="6"/>
    <x v="2"/>
    <x v="0"/>
    <x v="1655"/>
    <x v="0"/>
    <n v="1757.15"/>
    <x v="1647"/>
    <x v="1649"/>
    <x v="0"/>
    <x v="3"/>
  </r>
  <r>
    <x v="65"/>
    <x v="2"/>
    <x v="2"/>
    <x v="0"/>
    <x v="1656"/>
    <x v="1"/>
    <n v="883.44"/>
    <x v="1648"/>
    <x v="1650"/>
    <x v="3"/>
    <x v="1"/>
  </r>
  <r>
    <x v="26"/>
    <x v="4"/>
    <x v="2"/>
    <x v="1"/>
    <x v="1657"/>
    <x v="1"/>
    <n v="1043.81"/>
    <x v="1649"/>
    <x v="1651"/>
    <x v="1"/>
    <x v="0"/>
  </r>
  <r>
    <x v="28"/>
    <x v="15"/>
    <x v="0"/>
    <x v="0"/>
    <x v="1658"/>
    <x v="0"/>
    <n v="2101.1"/>
    <x v="1650"/>
    <x v="1652"/>
    <x v="0"/>
    <x v="0"/>
  </r>
  <r>
    <x v="65"/>
    <x v="12"/>
    <x v="0"/>
    <x v="0"/>
    <x v="1659"/>
    <x v="0"/>
    <n v="697.37"/>
    <x v="1651"/>
    <x v="1653"/>
    <x v="3"/>
    <x v="4"/>
  </r>
  <r>
    <x v="28"/>
    <x v="7"/>
    <x v="0"/>
    <x v="1"/>
    <x v="1660"/>
    <x v="1"/>
    <n v="2251.9"/>
    <x v="1652"/>
    <x v="165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0A583E-F963-4E9A-A056-0FA1E3384C22}" name="TCby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7:E66" firstHeaderRow="1" firstDataRow="2" firstDataCol="1"/>
  <pivotFields count="11">
    <pivotField numFmtId="1" showAll="0"/>
    <pivotField numFmtId="1" showAll="0"/>
    <pivotField axis="axisCol" showAll="0">
      <items count="4">
        <item x="0"/>
        <item x="2"/>
        <item x="1"/>
        <item t="default"/>
      </items>
    </pivotField>
    <pivotField numFmtId="1" showAll="0">
      <items count="7">
        <item x="0"/>
        <item x="1"/>
        <item x="2"/>
        <item x="3"/>
        <item x="5"/>
        <item x="4"/>
        <item t="default"/>
      </items>
    </pivotField>
    <pivotField numFmtId="2" showAll="0">
      <items count="8">
        <item x="0"/>
        <item x="1"/>
        <item x="2"/>
        <item x="3"/>
        <item x="4"/>
        <item x="5"/>
        <item x="6"/>
        <item t="default"/>
      </items>
    </pivotField>
    <pivotField dataField="1" numFmtId="1" showAll="0"/>
    <pivotField numFmtId="164" showAll="0"/>
    <pivotField numFmtId="164" showAll="0">
      <items count="11">
        <item x="0"/>
        <item x="1"/>
        <item x="2"/>
        <item x="3"/>
        <item x="4"/>
        <item x="5"/>
        <item x="6"/>
        <item x="7"/>
        <item x="8"/>
        <item x="9"/>
        <item t="default"/>
      </items>
    </pivotField>
    <pivotField numFmtId="164" showAll="0">
      <items count="10">
        <item x="0"/>
        <item x="1"/>
        <item x="2"/>
        <item x="3"/>
        <item x="4"/>
        <item x="5"/>
        <item x="6"/>
        <item x="7"/>
        <item x="8"/>
        <item t="default"/>
      </items>
    </pivotField>
    <pivotField axis="axisRow" showAll="0" sortType="ascending">
      <items count="14">
        <item m="1" x="12"/>
        <item x="6"/>
        <item m="1" x="11"/>
        <item x="5"/>
        <item m="1" x="10"/>
        <item x="4"/>
        <item m="1" x="8"/>
        <item x="1"/>
        <item m="1" x="9"/>
        <item x="2"/>
        <item m="1" x="7"/>
        <item x="3"/>
        <item x="0"/>
        <item t="default"/>
      </items>
    </pivotField>
    <pivotField showAll="0">
      <items count="6">
        <item x="4"/>
        <item x="2"/>
        <item x="3"/>
        <item x="1"/>
        <item x="0"/>
        <item t="default"/>
      </items>
    </pivotField>
  </pivotFields>
  <rowFields count="1">
    <field x="9"/>
  </rowFields>
  <rowItems count="8">
    <i>
      <x v="1"/>
    </i>
    <i>
      <x v="3"/>
    </i>
    <i>
      <x v="5"/>
    </i>
    <i>
      <x v="7"/>
    </i>
    <i>
      <x v="9"/>
    </i>
    <i>
      <x v="11"/>
    </i>
    <i>
      <x v="12"/>
    </i>
    <i t="grand">
      <x/>
    </i>
  </rowItems>
  <colFields count="1">
    <field x="2"/>
  </colFields>
  <colItems count="4">
    <i>
      <x/>
    </i>
    <i>
      <x v="1"/>
    </i>
    <i>
      <x v="2"/>
    </i>
    <i t="grand">
      <x/>
    </i>
  </colItems>
  <dataFields count="1">
    <dataField name="Sum of Claim Count" fld="5" baseField="0" baseItem="1" numFmtId="1"/>
  </dataFields>
  <chartFormats count="6">
    <chartFormat chart="1" format="0" series="1">
      <pivotArea type="data" outline="0" fieldPosition="0">
        <references count="2">
          <reference field="4294967294" count="1" selected="0">
            <x v="0"/>
          </reference>
          <reference field="2" count="1" selected="0">
            <x v="2"/>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33E109-0EC9-4BAF-8FE2-1F1718A8C72C}" name="CAbyV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E47" firstHeaderRow="1" firstDataRow="2" firstDataCol="1"/>
  <pivotFields count="11">
    <pivotField numFmtId="1" showAll="0"/>
    <pivotField numFmtId="1" showAll="0"/>
    <pivotField axis="axisCol" showAll="0">
      <items count="4">
        <item x="1"/>
        <item x="2"/>
        <item x="0"/>
        <item t="default"/>
      </items>
    </pivotField>
    <pivotField numFmtId="1" showAll="0">
      <items count="7">
        <item x="0"/>
        <item x="1"/>
        <item x="2"/>
        <item x="3"/>
        <item x="5"/>
        <item x="4"/>
        <item t="default"/>
      </items>
    </pivotField>
    <pivotField numFmtId="2" showAll="0">
      <items count="8">
        <item x="0"/>
        <item x="1"/>
        <item x="2"/>
        <item x="3"/>
        <item x="4"/>
        <item x="5"/>
        <item x="6"/>
        <item t="default"/>
      </items>
    </pivotField>
    <pivotField numFmtId="1" showAll="0"/>
    <pivotField numFmtId="164" showAll="0"/>
    <pivotField numFmtId="164" showAll="0">
      <items count="11">
        <item x="0"/>
        <item x="1"/>
        <item x="2"/>
        <item x="3"/>
        <item x="4"/>
        <item x="5"/>
        <item x="6"/>
        <item x="7"/>
        <item x="8"/>
        <item x="9"/>
        <item t="default"/>
      </items>
    </pivotField>
    <pivotField dataField="1" numFmtId="164" showAll="0">
      <items count="10">
        <item x="0"/>
        <item x="1"/>
        <item x="2"/>
        <item x="3"/>
        <item x="4"/>
        <item x="5"/>
        <item x="6"/>
        <item x="7"/>
        <item x="8"/>
        <item t="default"/>
      </items>
    </pivotField>
    <pivotField showAll="0">
      <items count="14">
        <item m="1" x="12"/>
        <item x="6"/>
        <item m="1" x="11"/>
        <item x="5"/>
        <item m="1" x="10"/>
        <item x="4"/>
        <item m="1" x="8"/>
        <item x="1"/>
        <item m="1" x="9"/>
        <item x="2"/>
        <item m="1" x="7"/>
        <item x="3"/>
        <item x="0"/>
        <item t="default"/>
      </items>
    </pivotField>
    <pivotField axis="axisRow" showAll="0" nonAutoSortDefault="1">
      <items count="6">
        <item x="4"/>
        <item x="2"/>
        <item x="3"/>
        <item x="1"/>
        <item x="0"/>
        <item t="default"/>
      </items>
    </pivotField>
  </pivotFields>
  <rowFields count="1">
    <field x="10"/>
  </rowFields>
  <rowItems count="6">
    <i>
      <x/>
    </i>
    <i>
      <x v="1"/>
    </i>
    <i>
      <x v="2"/>
    </i>
    <i>
      <x v="3"/>
    </i>
    <i>
      <x v="4"/>
    </i>
    <i t="grand">
      <x/>
    </i>
  </rowItems>
  <colFields count="1">
    <field x="2"/>
  </colFields>
  <colItems count="4">
    <i>
      <x/>
    </i>
    <i>
      <x v="1"/>
    </i>
    <i>
      <x v="2"/>
    </i>
    <i t="grand">
      <x/>
    </i>
  </colItems>
  <dataFields count="1">
    <dataField name="Sum of Claim Amount" fld="8" baseField="0" baseItem="0" numFmtId="164"/>
  </dataFields>
  <chartFormats count="10">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2" format="0" series="1">
      <pivotArea type="data" outline="0" fieldPosition="0">
        <references count="2">
          <reference field="4294967294" count="1" selected="0">
            <x v="0"/>
          </reference>
          <reference field="2" count="1" selected="0">
            <x v="2"/>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1">
          <reference field="4294967294" count="1" selected="0">
            <x v="0"/>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DB5A6B-B6F6-49AF-A55E-E0216A693D83}" name="TCbyV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1:B117" firstHeaderRow="1" firstDataRow="1" firstDataCol="1"/>
  <pivotFields count="11">
    <pivotField numFmtId="1" showAll="0"/>
    <pivotField numFmtId="1" showAll="0"/>
    <pivotField showAll="0"/>
    <pivotField numFmtId="1" showAll="0"/>
    <pivotField numFmtId="2" showAll="0"/>
    <pivotField dataField="1" numFmtId="1" showAll="0"/>
    <pivotField numFmtId="164" showAll="0"/>
    <pivotField numFmtId="164" showAll="0"/>
    <pivotField numFmtId="164" showAll="0"/>
    <pivotField showAll="0"/>
    <pivotField axis="axisRow" showAll="0">
      <items count="6">
        <item x="4"/>
        <item x="2"/>
        <item x="3"/>
        <item x="1"/>
        <item x="0"/>
        <item t="default"/>
      </items>
    </pivotField>
  </pivotFields>
  <rowFields count="1">
    <field x="10"/>
  </rowFields>
  <rowItems count="6">
    <i>
      <x/>
    </i>
    <i>
      <x v="1"/>
    </i>
    <i>
      <x v="2"/>
    </i>
    <i>
      <x v="3"/>
    </i>
    <i>
      <x v="4"/>
    </i>
    <i t="grand">
      <x/>
    </i>
  </rowItems>
  <colItems count="1">
    <i/>
  </colItems>
  <dataFields count="1">
    <dataField name="Sum of Claim Count" fld="5"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4"/>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0" count="1" selected="0">
            <x v="0"/>
          </reference>
        </references>
      </pivotArea>
    </chartFormat>
    <chartFormat chart="3" format="12">
      <pivotArea type="data" outline="0" fieldPosition="0">
        <references count="2">
          <reference field="4294967294" count="1" selected="0">
            <x v="0"/>
          </reference>
          <reference field="10" count="1" selected="0">
            <x v="1"/>
          </reference>
        </references>
      </pivotArea>
    </chartFormat>
    <chartFormat chart="3" format="13">
      <pivotArea type="data" outline="0" fieldPosition="0">
        <references count="2">
          <reference field="4294967294" count="1" selected="0">
            <x v="0"/>
          </reference>
          <reference field="10" count="1" selected="0">
            <x v="2"/>
          </reference>
        </references>
      </pivotArea>
    </chartFormat>
    <chartFormat chart="3" format="14">
      <pivotArea type="data" outline="0" fieldPosition="0">
        <references count="2">
          <reference field="4294967294" count="1" selected="0">
            <x v="0"/>
          </reference>
          <reference field="10" count="1" selected="0">
            <x v="3"/>
          </reference>
        </references>
      </pivotArea>
    </chartFormat>
    <chartFormat chart="3" format="15">
      <pivotArea type="data" outline="0" fieldPosition="0">
        <references count="2">
          <reference field="4294967294" count="1" selected="0">
            <x v="0"/>
          </reference>
          <reference field="10" count="1" selected="0">
            <x v="4"/>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70FB1C-A3EA-4CA2-9757-02B45F9A745C}" name="CAbyPCF"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85:G90" firstHeaderRow="1" firstDataRow="2" firstDataCol="1"/>
  <pivotFields count="11">
    <pivotField numFmtId="1" showAll="0"/>
    <pivotField numFmtId="1" showAll="0"/>
    <pivotField axis="axisRow" showAll="0">
      <items count="4">
        <item x="0"/>
        <item x="2"/>
        <item x="1"/>
        <item t="default"/>
      </items>
    </pivotField>
    <pivotField axis="axisCol" numFmtId="1" showAll="0">
      <items count="7">
        <item x="0"/>
        <item x="1"/>
        <item x="2"/>
        <item x="3"/>
        <item x="5"/>
        <item x="4"/>
        <item t="default"/>
      </items>
    </pivotField>
    <pivotField numFmtId="2" showAll="0"/>
    <pivotField numFmtId="1" showAll="0"/>
    <pivotField numFmtId="164" showAll="0"/>
    <pivotField numFmtId="164" showAll="0">
      <items count="11">
        <item x="0"/>
        <item x="1"/>
        <item x="2"/>
        <item x="3"/>
        <item x="4"/>
        <item x="5"/>
        <item x="6"/>
        <item x="7"/>
        <item x="8"/>
        <item x="9"/>
        <item t="default"/>
      </items>
    </pivotField>
    <pivotField dataField="1" numFmtId="164" showAll="0">
      <items count="10">
        <item x="0"/>
        <item x="1"/>
        <item x="2"/>
        <item x="3"/>
        <item x="4"/>
        <item x="5"/>
        <item x="6"/>
        <item x="7"/>
        <item x="8"/>
        <item t="default"/>
      </items>
    </pivotField>
    <pivotField showAll="0"/>
    <pivotField showAll="0">
      <items count="6">
        <item x="4"/>
        <item x="2"/>
        <item x="3"/>
        <item x="1"/>
        <item x="0"/>
        <item t="default"/>
      </items>
    </pivotField>
  </pivotFields>
  <rowFields count="1">
    <field x="2"/>
  </rowFields>
  <rowItems count="4">
    <i>
      <x/>
    </i>
    <i>
      <x v="1"/>
    </i>
    <i>
      <x v="2"/>
    </i>
    <i t="grand">
      <x/>
    </i>
  </rowItems>
  <colFields count="1">
    <field x="3"/>
  </colFields>
  <colItems count="6">
    <i>
      <x/>
    </i>
    <i>
      <x v="1"/>
    </i>
    <i>
      <x v="2"/>
    </i>
    <i>
      <x v="3"/>
    </i>
    <i>
      <x v="4"/>
    </i>
    <i>
      <x v="5"/>
    </i>
  </colItems>
  <dataFields count="1">
    <dataField name="Sum of Claim Amount"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B57984-7A2A-4B23-9BD3-0A6E64CAB4FB}" name="%CAbyC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E32" firstHeaderRow="1" firstDataRow="2" firstDataCol="1"/>
  <pivotFields count="11">
    <pivotField numFmtId="1" showAll="0"/>
    <pivotField numFmtId="1" showAll="0"/>
    <pivotField axis="axisCol" showAll="0">
      <items count="4">
        <item x="0"/>
        <item x="2"/>
        <item x="1"/>
        <item t="default"/>
      </items>
    </pivotField>
    <pivotField numFmtId="1" showAll="0">
      <items count="7">
        <item x="0"/>
        <item x="1"/>
        <item x="2"/>
        <item x="3"/>
        <item x="5"/>
        <item x="4"/>
        <item t="default"/>
      </items>
    </pivotField>
    <pivotField numFmtId="2" showAll="0">
      <items count="8">
        <item x="0"/>
        <item x="1"/>
        <item x="2"/>
        <item x="3"/>
        <item x="4"/>
        <item x="5"/>
        <item x="6"/>
        <item t="default"/>
      </items>
    </pivotField>
    <pivotField axis="axisRow" numFmtId="1" showAll="0" countASubtotal="1">
      <items count="5">
        <item x="0"/>
        <item x="1"/>
        <item x="2"/>
        <item x="3"/>
        <item t="countA"/>
      </items>
    </pivotField>
    <pivotField numFmtId="164" showAll="0"/>
    <pivotField numFmtId="164" showAll="0">
      <items count="11">
        <item x="0"/>
        <item x="1"/>
        <item x="2"/>
        <item x="3"/>
        <item x="4"/>
        <item x="5"/>
        <item x="6"/>
        <item x="7"/>
        <item x="8"/>
        <item x="9"/>
        <item t="default"/>
      </items>
    </pivotField>
    <pivotField dataField="1" numFmtId="164" showAll="0">
      <items count="10">
        <item x="0"/>
        <item x="1"/>
        <item x="2"/>
        <item x="3"/>
        <item x="4"/>
        <item x="5"/>
        <item x="6"/>
        <item x="7"/>
        <item x="8"/>
        <item t="default"/>
      </items>
    </pivotField>
    <pivotField showAll="0">
      <items count="14">
        <item m="1" x="12"/>
        <item x="6"/>
        <item m="1" x="11"/>
        <item x="5"/>
        <item m="1" x="10"/>
        <item x="4"/>
        <item m="1" x="8"/>
        <item x="1"/>
        <item m="1" x="9"/>
        <item x="2"/>
        <item m="1" x="7"/>
        <item x="3"/>
        <item x="0"/>
        <item t="default"/>
      </items>
    </pivotField>
    <pivotField showAll="0">
      <items count="6">
        <item x="4"/>
        <item x="2"/>
        <item x="3"/>
        <item x="1"/>
        <item x="0"/>
        <item t="default"/>
      </items>
    </pivotField>
  </pivotFields>
  <rowFields count="1">
    <field x="5"/>
  </rowFields>
  <rowItems count="5">
    <i>
      <x/>
    </i>
    <i>
      <x v="1"/>
    </i>
    <i>
      <x v="2"/>
    </i>
    <i>
      <x v="3"/>
    </i>
    <i t="grand">
      <x/>
    </i>
  </rowItems>
  <colFields count="1">
    <field x="2"/>
  </colFields>
  <colItems count="4">
    <i>
      <x/>
    </i>
    <i>
      <x v="1"/>
    </i>
    <i>
      <x v="2"/>
    </i>
    <i t="grand">
      <x/>
    </i>
  </colItems>
  <dataFields count="1">
    <dataField name="Sum of Claim Amount" fld="8" showDataAs="percentOfCol" baseField="5" baseItem="0" numFmtId="10"/>
  </dataFields>
  <chartFormats count="6">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37F73-1229-4A91-8ACE-45716DDEAD62}" name="CAby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E21" firstHeaderRow="1" firstDataRow="2" firstDataCol="1"/>
  <pivotFields count="11">
    <pivotField numFmtId="1" showAll="0"/>
    <pivotField numFmtId="1" showAll="0"/>
    <pivotField axis="axisCol" showAll="0">
      <items count="4">
        <item x="0"/>
        <item x="2"/>
        <item x="1"/>
        <item t="default"/>
      </items>
    </pivotField>
    <pivotField numFmtId="1" showAll="0">
      <items count="7">
        <item x="0"/>
        <item x="1"/>
        <item x="2"/>
        <item x="3"/>
        <item x="5"/>
        <item x="4"/>
        <item t="default"/>
      </items>
    </pivotField>
    <pivotField numFmtId="2" showAll="0">
      <items count="8">
        <item x="0"/>
        <item x="1"/>
        <item x="2"/>
        <item x="3"/>
        <item x="4"/>
        <item x="5"/>
        <item x="6"/>
        <item t="default"/>
      </items>
    </pivotField>
    <pivotField numFmtId="1" showAll="0"/>
    <pivotField numFmtId="164" showAll="0"/>
    <pivotField numFmtId="164" showAll="0">
      <items count="11">
        <item x="0"/>
        <item x="1"/>
        <item x="2"/>
        <item x="3"/>
        <item x="4"/>
        <item x="5"/>
        <item x="6"/>
        <item x="7"/>
        <item x="8"/>
        <item x="9"/>
        <item t="default"/>
      </items>
    </pivotField>
    <pivotField dataField="1" numFmtId="164" showAll="0">
      <items count="10">
        <item x="0"/>
        <item x="1"/>
        <item x="2"/>
        <item x="3"/>
        <item x="4"/>
        <item x="5"/>
        <item x="6"/>
        <item x="7"/>
        <item x="8"/>
        <item t="default"/>
      </items>
    </pivotField>
    <pivotField axis="axisRow" showAll="0" sortType="ascending">
      <items count="14">
        <item m="1" x="12"/>
        <item x="6"/>
        <item m="1" x="11"/>
        <item x="5"/>
        <item m="1" x="10"/>
        <item x="4"/>
        <item m="1" x="8"/>
        <item x="1"/>
        <item m="1" x="9"/>
        <item x="2"/>
        <item m="1" x="7"/>
        <item x="3"/>
        <item x="0"/>
        <item t="default"/>
      </items>
    </pivotField>
    <pivotField showAll="0">
      <items count="6">
        <item x="4"/>
        <item x="2"/>
        <item x="3"/>
        <item x="1"/>
        <item x="0"/>
        <item t="default"/>
      </items>
    </pivotField>
  </pivotFields>
  <rowFields count="1">
    <field x="9"/>
  </rowFields>
  <rowItems count="8">
    <i>
      <x v="1"/>
    </i>
    <i>
      <x v="3"/>
    </i>
    <i>
      <x v="5"/>
    </i>
    <i>
      <x v="7"/>
    </i>
    <i>
      <x v="9"/>
    </i>
    <i>
      <x v="11"/>
    </i>
    <i>
      <x v="12"/>
    </i>
    <i t="grand">
      <x/>
    </i>
  </rowItems>
  <colFields count="1">
    <field x="2"/>
  </colFields>
  <colItems count="4">
    <i>
      <x/>
    </i>
    <i>
      <x v="1"/>
    </i>
    <i>
      <x v="2"/>
    </i>
    <i t="grand">
      <x/>
    </i>
  </colItems>
  <dataFields count="1">
    <dataField name="Sum of Claim Amount" fld="8" baseField="0" baseItem="0" numFmtId="164"/>
  </dataFields>
  <chartFormats count="6">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F402B6-06F8-43BC-A20E-2E32DF5C36BA}" name="CFbyA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3:B102" firstHeaderRow="1" firstDataRow="1" firstDataCol="1"/>
  <pivotFields count="11">
    <pivotField numFmtId="1" showAll="0"/>
    <pivotField numFmtId="1" showAll="0"/>
    <pivotField showAll="0">
      <items count="4">
        <item x="1"/>
        <item x="2"/>
        <item x="0"/>
        <item t="default"/>
      </items>
    </pivotField>
    <pivotField numFmtId="1" showAll="0">
      <items count="7">
        <item x="0"/>
        <item x="1"/>
        <item x="2"/>
        <item x="3"/>
        <item x="5"/>
        <item x="4"/>
        <item t="default"/>
      </items>
    </pivotField>
    <pivotField numFmtId="2" showAll="0"/>
    <pivotField dataField="1" numFmtId="1" showAll="0"/>
    <pivotField numFmtId="164" showAll="0"/>
    <pivotField axis="axisRow" numFmtId="164" showAll="0">
      <items count="11">
        <item x="0"/>
        <item x="1"/>
        <item x="2"/>
        <item x="3"/>
        <item x="4"/>
        <item x="5"/>
        <item x="6"/>
        <item x="7"/>
        <item x="8"/>
        <item x="9"/>
        <item t="default"/>
      </items>
    </pivotField>
    <pivotField numFmtId="164" showAll="0">
      <items count="10">
        <item x="0"/>
        <item x="1"/>
        <item x="2"/>
        <item x="3"/>
        <item x="4"/>
        <item x="5"/>
        <item x="6"/>
        <item x="7"/>
        <item x="8"/>
        <item t="default"/>
      </items>
    </pivotField>
    <pivotField showAll="0">
      <items count="14">
        <item m="1" x="12"/>
        <item x="6"/>
        <item m="1" x="11"/>
        <item x="5"/>
        <item m="1" x="10"/>
        <item x="4"/>
        <item m="1" x="8"/>
        <item x="1"/>
        <item m="1" x="9"/>
        <item x="2"/>
        <item m="1" x="7"/>
        <item x="3"/>
        <item x="0"/>
        <item t="default"/>
      </items>
    </pivotField>
    <pivotField showAll="0">
      <items count="6">
        <item x="4"/>
        <item x="2"/>
        <item x="3"/>
        <item x="1"/>
        <item x="0"/>
        <item t="default"/>
      </items>
    </pivotField>
  </pivotFields>
  <rowFields count="1">
    <field x="7"/>
  </rowFields>
  <rowItems count="9">
    <i>
      <x v="1"/>
    </i>
    <i>
      <x v="2"/>
    </i>
    <i>
      <x v="3"/>
    </i>
    <i>
      <x v="4"/>
    </i>
    <i>
      <x v="5"/>
    </i>
    <i>
      <x v="6"/>
    </i>
    <i>
      <x v="7"/>
    </i>
    <i>
      <x v="8"/>
    </i>
    <i t="grand">
      <x/>
    </i>
  </rowItems>
  <colItems count="1">
    <i/>
  </colItems>
  <dataFields count="1">
    <dataField name="Sum of Claim Count" fld="5" showDataAs="runTotal" baseField="7" baseItem="0" numFmtId="1"/>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561080-03BE-4368-8741-DC013024ECA0}" name="%CA"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5:D81" firstHeaderRow="1" firstDataRow="2" firstDataCol="1"/>
  <pivotFields count="11">
    <pivotField numFmtId="1" showAll="0"/>
    <pivotField numFmtId="1" showAll="0"/>
    <pivotField axis="axisCol" showAll="0">
      <items count="4">
        <item x="0"/>
        <item x="2"/>
        <item x="1"/>
        <item t="default"/>
      </items>
    </pivotField>
    <pivotField numFmtId="1" showAll="0">
      <items count="7">
        <item x="0"/>
        <item x="1"/>
        <item x="2"/>
        <item x="3"/>
        <item x="5"/>
        <item x="4"/>
        <item t="default"/>
      </items>
    </pivotField>
    <pivotField axis="axisRow" numFmtId="2" showAll="0">
      <items count="8">
        <item x="0"/>
        <item x="1"/>
        <item x="2"/>
        <item x="3"/>
        <item x="4"/>
        <item x="5"/>
        <item x="6"/>
        <item t="default"/>
      </items>
    </pivotField>
    <pivotField numFmtId="1" showAll="0"/>
    <pivotField numFmtId="164" showAll="0"/>
    <pivotField numFmtId="164" showAll="0">
      <items count="11">
        <item x="0"/>
        <item x="1"/>
        <item x="2"/>
        <item x="3"/>
        <item x="4"/>
        <item x="5"/>
        <item x="6"/>
        <item x="7"/>
        <item x="8"/>
        <item x="9"/>
        <item t="default"/>
      </items>
    </pivotField>
    <pivotField dataField="1" numFmtId="164" showAll="0">
      <items count="10">
        <item x="0"/>
        <item x="1"/>
        <item x="2"/>
        <item x="3"/>
        <item x="4"/>
        <item x="5"/>
        <item x="6"/>
        <item x="7"/>
        <item x="8"/>
        <item t="default"/>
      </items>
    </pivotField>
    <pivotField showAll="0">
      <items count="14">
        <item m="1" x="12"/>
        <item x="6"/>
        <item m="1" x="11"/>
        <item x="5"/>
        <item m="1" x="10"/>
        <item x="4"/>
        <item m="1" x="8"/>
        <item x="1"/>
        <item m="1" x="9"/>
        <item x="2"/>
        <item m="1" x="7"/>
        <item x="3"/>
        <item x="0"/>
        <item t="default"/>
      </items>
    </pivotField>
    <pivotField showAll="0">
      <items count="6">
        <item x="4"/>
        <item x="2"/>
        <item x="3"/>
        <item x="1"/>
        <item x="0"/>
        <item t="default"/>
      </items>
    </pivotField>
  </pivotFields>
  <rowFields count="1">
    <field x="4"/>
  </rowFields>
  <rowItems count="5">
    <i>
      <x v="1"/>
    </i>
    <i>
      <x v="2"/>
    </i>
    <i>
      <x v="3"/>
    </i>
    <i>
      <x v="4"/>
    </i>
    <i>
      <x v="5"/>
    </i>
  </rowItems>
  <colFields count="1">
    <field x="2"/>
  </colFields>
  <colItems count="3">
    <i>
      <x/>
    </i>
    <i>
      <x v="1"/>
    </i>
    <i>
      <x v="2"/>
    </i>
  </colItems>
  <dataFields count="1">
    <dataField name="Sum of Claim Amount" fld="8" showDataAs="percent" baseField="4"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28408D-DB8A-4B8B-A29C-F1063C52C1C5}" autoFormatId="16" applyNumberFormats="0" applyBorderFormats="0" applyFontFormats="0" applyPatternFormats="0" applyAlignmentFormats="0" applyWidthHeightFormats="0">
  <queryTableRefresh nextId="10">
    <queryTableFields count="9">
      <queryTableField id="1" name="age" tableColumnId="1"/>
      <queryTableField id="2" name="vehicle_age" tableColumnId="2"/>
      <queryTableField id="3" name="territory" tableColumnId="3"/>
      <queryTableField id="4" name="prior_claims" tableColumnId="4"/>
      <queryTableField id="5" name="exposure" tableColumnId="5"/>
      <queryTableField id="6" name="claim_count" tableColumnId="6"/>
      <queryTableField id="7" name="severity" tableColumnId="7"/>
      <queryTableField id="8" name="avg_severity" tableColumnId="8"/>
      <queryTableField id="9" name="claim_amoun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8461B7E-C8CE-4C44-ADEF-8FFCA1F55F3A}" autoFormatId="16" applyNumberFormats="0" applyBorderFormats="0" applyFontFormats="0" applyPatternFormats="0" applyAlignmentFormats="0" applyWidthHeightFormats="0">
  <queryTableRefresh nextId="17" unboundColumnsRight="2">
    <queryTableFields count="11">
      <queryTableField id="1" name="age" tableColumnId="1"/>
      <queryTableField id="2" name="vehicle_age" tableColumnId="2"/>
      <queryTableField id="3" name="territory" tableColumnId="3"/>
      <queryTableField id="4" name="prior_claims" tableColumnId="4"/>
      <queryTableField id="5" name="exposure" tableColumnId="5"/>
      <queryTableField id="6" name="claim_count" tableColumnId="6"/>
      <queryTableField id="7" name="severity" tableColumnId="7"/>
      <queryTableField id="8" name="avg_severity" tableColumnId="8"/>
      <queryTableField id="9" name="claim_amount" tableColumnId="9"/>
      <queryTableField id="15" dataBound="0" tableColumnId="10"/>
      <queryTableField id="16"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5B6F1CAF-6EF6-4BC3-82A4-B72DE51CA3FD}" sourceName="Territory">
  <pivotTables>
    <pivotTable tabId="4" name="CAbyAge"/>
    <pivotTable tabId="4" name="%CAbyCC"/>
    <pivotTable tabId="4" name="CAbyVA"/>
    <pivotTable tabId="4" name="TCbyAge"/>
    <pivotTable tabId="4" name="%CA"/>
    <pivotTable tabId="4" name="CFbyAS"/>
  </pivotTables>
  <data>
    <tabular pivotCacheId="94668917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0DD5D651-0402-4956-9529-485EC2AA73FA}" sourceName="Age Groups">
  <pivotTables>
    <pivotTable tabId="4" name="CAbyAge"/>
    <pivotTable tabId="4" name="%CAbyCC"/>
    <pivotTable tabId="4" name="CAbyVA"/>
    <pivotTable tabId="4" name="TCbyAge"/>
    <pivotTable tabId="4" name="%CA"/>
    <pivotTable tabId="4" name="CFbyAS"/>
  </pivotTables>
  <data>
    <tabular pivotCacheId="946689178">
      <items count="13">
        <i x="6" s="1"/>
        <i x="5" s="1"/>
        <i x="4" s="1"/>
        <i x="1" s="1"/>
        <i x="2" s="1"/>
        <i x="3" s="1"/>
        <i x="0" s="1"/>
        <i x="12" s="1" nd="1"/>
        <i x="11" s="1" nd="1"/>
        <i x="10" s="1" nd="1"/>
        <i x="8" s="1" nd="1"/>
        <i x="9" s="1" nd="1"/>
        <i x="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Age_Groups" xr10:uid="{13C4D28C-28B8-4B8C-ADEA-5CBD35D46736}" sourceName="Vehicle Age Groups">
  <pivotTables>
    <pivotTable tabId="4" name="CAbyVA"/>
    <pivotTable tabId="4" name="%CA"/>
    <pivotTable tabId="4" name="%CAbyCC"/>
    <pivotTable tabId="4" name="CAbyAge"/>
    <pivotTable tabId="4" name="CAbyPCF"/>
    <pivotTable tabId="4" name="TCbyAge"/>
    <pivotTable tabId="4" name="CFbyAS"/>
  </pivotTables>
  <data>
    <tabular pivotCacheId="946689178">
      <items count="5">
        <i x="4" s="1"/>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_Claims" xr10:uid="{BA147BA6-7FA7-4026-97E8-96150AD218B0}" sourceName="Prior Claims">
  <pivotTables>
    <pivotTable tabId="4" name="CAbyPCF"/>
    <pivotTable tabId="4" name="%CA"/>
    <pivotTable tabId="4" name="%CAbyCC"/>
    <pivotTable tabId="4" name="CAbyAge"/>
    <pivotTable tabId="4" name="CAbyVA"/>
    <pivotTable tabId="4" name="TCbyAge"/>
    <pivotTable tabId="4" name="CFbyAS"/>
  </pivotTables>
  <data>
    <tabular pivotCacheId="946689178">
      <items count="6">
        <i x="0" s="1"/>
        <i x="1"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1" xr10:uid="{B8396371-3847-48E9-88D5-8CA739FD6A38}" cache="Slicer_Territory" caption="Territory" showCaption="0" style="Slicer Style 2" rowHeight="241300"/>
  <slicer name="Age Groups 1" xr10:uid="{6D464AAB-502F-40C1-8B4A-A3D797FE0717}" cache="Slicer_Age_Groups" caption="Age " columnCount="2" style="Slicer Style 2" rowHeight="241300"/>
  <slicer name="Vehicle Age Groups 1" xr10:uid="{ABC1A9EE-3878-4411-8F10-13EAAFAAD05C}" cache="Slicer_Vehicle_Age_Groups" caption="Veh. Age" columnCount="2" style="Slicer Style 2" rowHeight="241300"/>
  <slicer name="Prior Claims 1" xr10:uid="{E1883A0C-AC05-4455-A1E0-D8B1F65EBE2B}" cache="Slicer_Prior_Claims" caption="Prior Claims" columnCount="2" showCaption="0"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9D0E65F9-4834-4696-820D-8E41A87DA025}" cache="Slicer_Territory" caption="Territory" showCaption="0" rowHeight="241300"/>
  <slicer name="Age Groups" xr10:uid="{34BA53D2-4B82-4FAE-9552-D40E4B62705E}" cache="Slicer_Age_Groups" caption="Age Groups" showCaption="0" style="Slicer Style 2" rowHeight="241300"/>
  <slicer name="Vehicle Age Groups" xr10:uid="{10CE1276-986D-4586-A24D-A229A2A69D19}" cache="Slicer_Vehicle_Age_Groups" caption="Vehicle Age" style="Slicer Style 2" rowHeight="241300"/>
  <slicer name="Prior Claims" xr10:uid="{01FE537A-0EAC-4D2C-AE37-F72108CA0235}" cache="Slicer_Prior_Claims" caption="Prior Claims" columnCount="2"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B208-0C8D-4F0F-A18A-C9133A4026B8}" name="ModelData" displayName="ModelData" ref="A1:I1662" tableType="queryTable" totalsRowShown="0">
  <autoFilter ref="A1:I1662" xr:uid="{3A28B208-0C8D-4F0F-A18A-C9133A4026B8}"/>
  <tableColumns count="9">
    <tableColumn id="1" xr3:uid="{BA7C4DC7-5B7A-434B-931D-F402FDB42056}" uniqueName="1" name="Age" queryTableFieldId="1"/>
    <tableColumn id="2" xr3:uid="{EBD20A79-713F-4B85-B9CE-6620424F744C}" uniqueName="2" name="vehicle_age" queryTableFieldId="2"/>
    <tableColumn id="3" xr3:uid="{9F73D23E-64AB-4C65-91D4-BB4C182B244B}" uniqueName="3" name="territory" queryTableFieldId="3" dataDxfId="14"/>
    <tableColumn id="4" xr3:uid="{016289AF-33B5-4F1D-B561-F2F056261B83}" uniqueName="4" name="prior_claims" queryTableFieldId="4"/>
    <tableColumn id="5" xr3:uid="{15C02B25-43F7-4CF0-8136-D5487EE66787}" uniqueName="5" name="exposure" queryTableFieldId="5"/>
    <tableColumn id="6" xr3:uid="{A3D3822F-0E39-4FB7-9B24-B214E767B23D}" uniqueName="6" name="claim_count" queryTableFieldId="6"/>
    <tableColumn id="7" xr3:uid="{E4E97B9D-BB9B-4307-AC76-32C995264386}" uniqueName="7" name="severity" queryTableFieldId="7" dataDxfId="13" dataCellStyle="Currency"/>
    <tableColumn id="8" xr3:uid="{4D1D1C37-4F33-4AB0-B8EE-4D9F61AFA4F3}" uniqueName="8" name="avg_severity" queryTableFieldId="8" dataDxfId="12"/>
    <tableColumn id="9" xr3:uid="{FA5DBC5A-9583-46AE-8C3D-70946DBF3253}" uniqueName="9" name="claim_amount" queryTableFieldId="9"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230CC-BF6C-48E9-BE9A-3FF54C0FEBBB}" name="TransformedData" displayName="TransformedData" ref="A1:K1662" tableType="queryTable" totalsRowShown="0">
  <autoFilter ref="A1:K1662" xr:uid="{600230CC-BF6C-48E9-BE9A-3FF54C0FEBBB}"/>
  <tableColumns count="11">
    <tableColumn id="1" xr3:uid="{584B1EBA-37C4-4C7D-B4CD-35C00A1F7AB2}" uniqueName="1" name="Age" queryTableFieldId="1" dataDxfId="10"/>
    <tableColumn id="2" xr3:uid="{63116AB7-D318-4CFC-AFDA-6A3C3CF695D8}" uniqueName="2" name="Vehicle Age" queryTableFieldId="2" dataDxfId="9"/>
    <tableColumn id="3" xr3:uid="{B14EA6B8-5445-41E2-AE97-231390636FC7}" uniqueName="3" name="Territory" queryTableFieldId="3" dataDxfId="8"/>
    <tableColumn id="4" xr3:uid="{20F277EC-7595-48A9-A817-EF1F4671E6EE}" uniqueName="4" name="Prior Claims" queryTableFieldId="4" dataDxfId="7"/>
    <tableColumn id="5" xr3:uid="{83D5932C-113D-497C-80AE-B465F307FCA9}" uniqueName="5" name="Exposure" queryTableFieldId="5" dataDxfId="6"/>
    <tableColumn id="6" xr3:uid="{8BF43E92-4839-4FB3-86FB-709E43EB823E}" uniqueName="6" name="Claim Count" queryTableFieldId="6" dataDxfId="5"/>
    <tableColumn id="7" xr3:uid="{41FE4155-43CC-4FF8-99B9-5AAC37ED209E}" uniqueName="7" name="Severity" queryTableFieldId="7" dataDxfId="4" dataCellStyle="Currency"/>
    <tableColumn id="8" xr3:uid="{9E865DD9-2688-4B46-B24D-1567D81B7F8F}" uniqueName="8" name="Average Severity" queryTableFieldId="8" dataDxfId="3" dataCellStyle="Currency"/>
    <tableColumn id="9" xr3:uid="{FCF3E487-84E9-4FBB-81B4-DA5EF66AB690}" uniqueName="9" name="Claim Amount" queryTableFieldId="9" dataDxfId="2" dataCellStyle="Currency"/>
    <tableColumn id="10" xr3:uid="{A00D2F52-8D52-44DD-9A83-83B3AD4232A1}" uniqueName="10" name="Age Groups" queryTableFieldId="15" dataDxfId="1" dataCellStyle="Currency">
      <calculatedColumnFormula xml:space="preserve"> IF(A2&lt;25,"18-24",
 IF(A2&lt;35,"25-34",
 IF(A2&lt;45,"35-44",
 IF(A2&lt;55,"45-54", IF(A2&lt;65, "55-64", IF(A2&lt;75, "65-74", "75-90"))))))</calculatedColumnFormula>
    </tableColumn>
    <tableColumn id="11" xr3:uid="{767C1AC6-5D17-4BA2-BEF3-B0A6C8AD680A}" uniqueName="11" name="Vehicle Age Groups" queryTableFieldId="16" dataDxfId="0" dataCellStyle="Currency">
      <calculatedColumnFormula xml:space="preserve"> IF(B2 &lt; 3, "0-2", IF(B2 &lt; 6, "3-5", IF(B2 &lt; 9, "6-8", IF(B2 &lt; 12, "9-11", "12-15"))))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6.xml"/><Relationship Id="rId4" Type="http://schemas.openxmlformats.org/officeDocument/2006/relationships/pivotTable" Target="../pivotTables/pivotTable4.xml"/><Relationship Id="rId9"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BD37-587D-486D-BCEE-F0CB3D641BEB}">
  <dimension ref="A1"/>
  <sheetViews>
    <sheetView workbookViewId="0">
      <selection activeCell="S10" sqref="S10"/>
    </sheetView>
  </sheetViews>
  <sheetFormatPr defaultRowHeight="14.25" x14ac:dyDescent="0.2"/>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0748-B70C-456B-AC0D-9B0BF855ADC3}">
  <dimension ref="A1:I1662"/>
  <sheetViews>
    <sheetView topLeftCell="A19" workbookViewId="0">
      <selection activeCell="D13" sqref="D13"/>
    </sheetView>
  </sheetViews>
  <sheetFormatPr defaultRowHeight="14.25" x14ac:dyDescent="0.2"/>
  <cols>
    <col min="1" max="1" width="6.125" customWidth="1"/>
    <col min="2" max="2" width="13.625" bestFit="1" customWidth="1"/>
    <col min="3" max="3" width="10" bestFit="1" customWidth="1"/>
    <col min="4" max="4" width="13.625" bestFit="1" customWidth="1"/>
    <col min="5" max="5" width="11.875" bestFit="1" customWidth="1"/>
    <col min="6" max="6" width="13.375" bestFit="1" customWidth="1"/>
    <col min="7" max="7" width="16.5" style="1" bestFit="1" customWidth="1"/>
    <col min="8" max="9" width="16.5" bestFit="1" customWidth="1"/>
  </cols>
  <sheetData>
    <row r="1" spans="1:9" x14ac:dyDescent="0.2">
      <c r="A1" t="s">
        <v>2043</v>
      </c>
      <c r="B1" t="s">
        <v>0</v>
      </c>
      <c r="C1" t="s">
        <v>1</v>
      </c>
      <c r="D1" t="s">
        <v>2</v>
      </c>
      <c r="E1" t="s">
        <v>3</v>
      </c>
      <c r="F1" t="s">
        <v>4</v>
      </c>
      <c r="G1" s="1" t="s">
        <v>5</v>
      </c>
      <c r="H1" t="s">
        <v>6</v>
      </c>
      <c r="I1" t="s">
        <v>7</v>
      </c>
    </row>
    <row r="2" spans="1:9" x14ac:dyDescent="0.2">
      <c r="A2">
        <v>75</v>
      </c>
      <c r="B2">
        <v>15</v>
      </c>
      <c r="C2" t="s">
        <v>8</v>
      </c>
      <c r="D2">
        <v>0</v>
      </c>
      <c r="E2">
        <v>0.65111532679293305</v>
      </c>
      <c r="F2">
        <v>1</v>
      </c>
      <c r="G2" s="1" t="s">
        <v>9</v>
      </c>
      <c r="H2" t="s">
        <v>9</v>
      </c>
      <c r="I2" t="s">
        <v>9</v>
      </c>
    </row>
    <row r="3" spans="1:9" x14ac:dyDescent="0.2">
      <c r="A3">
        <v>47</v>
      </c>
      <c r="B3">
        <v>11</v>
      </c>
      <c r="C3" t="s">
        <v>10</v>
      </c>
      <c r="D3">
        <v>1</v>
      </c>
      <c r="E3">
        <v>0.71687950438354198</v>
      </c>
      <c r="F3">
        <v>2</v>
      </c>
      <c r="G3" s="1" t="s">
        <v>11</v>
      </c>
      <c r="H3" t="s">
        <v>12</v>
      </c>
      <c r="I3" t="s">
        <v>11</v>
      </c>
    </row>
    <row r="4" spans="1:9" x14ac:dyDescent="0.2">
      <c r="A4">
        <v>82</v>
      </c>
      <c r="B4">
        <v>10</v>
      </c>
      <c r="C4" t="s">
        <v>8</v>
      </c>
      <c r="D4">
        <v>2</v>
      </c>
      <c r="E4">
        <v>0.58026045572478302</v>
      </c>
      <c r="F4">
        <v>1</v>
      </c>
      <c r="G4" s="1" t="s">
        <v>13</v>
      </c>
      <c r="H4" t="s">
        <v>13</v>
      </c>
      <c r="I4" t="s">
        <v>13</v>
      </c>
    </row>
    <row r="5" spans="1:9" x14ac:dyDescent="0.2">
      <c r="A5">
        <v>86</v>
      </c>
      <c r="B5">
        <v>4</v>
      </c>
      <c r="C5" t="s">
        <v>8</v>
      </c>
      <c r="D5">
        <v>0</v>
      </c>
      <c r="E5">
        <v>0.91151335567701597</v>
      </c>
      <c r="F5">
        <v>1</v>
      </c>
      <c r="G5" s="1" t="s">
        <v>14</v>
      </c>
      <c r="H5" t="s">
        <v>14</v>
      </c>
      <c r="I5" t="s">
        <v>14</v>
      </c>
    </row>
    <row r="6" spans="1:9" x14ac:dyDescent="0.2">
      <c r="A6">
        <v>58</v>
      </c>
      <c r="B6">
        <v>12</v>
      </c>
      <c r="C6" t="s">
        <v>10</v>
      </c>
      <c r="D6">
        <v>0</v>
      </c>
      <c r="E6">
        <v>0.79452270199544694</v>
      </c>
      <c r="F6">
        <v>1</v>
      </c>
      <c r="G6" s="1" t="s">
        <v>15</v>
      </c>
      <c r="H6" t="s">
        <v>15</v>
      </c>
      <c r="I6" t="s">
        <v>15</v>
      </c>
    </row>
    <row r="7" spans="1:9" x14ac:dyDescent="0.2">
      <c r="A7">
        <v>87</v>
      </c>
      <c r="B7">
        <v>5</v>
      </c>
      <c r="C7" t="s">
        <v>16</v>
      </c>
      <c r="D7">
        <v>0</v>
      </c>
      <c r="E7">
        <v>0.93558991258032598</v>
      </c>
      <c r="F7">
        <v>1</v>
      </c>
      <c r="G7" s="1" t="s">
        <v>17</v>
      </c>
      <c r="H7" t="s">
        <v>17</v>
      </c>
      <c r="I7" t="s">
        <v>17</v>
      </c>
    </row>
    <row r="8" spans="1:9" x14ac:dyDescent="0.2">
      <c r="A8">
        <v>59</v>
      </c>
      <c r="B8">
        <v>15</v>
      </c>
      <c r="C8" t="s">
        <v>8</v>
      </c>
      <c r="D8">
        <v>1</v>
      </c>
      <c r="E8">
        <v>0.55298273055814195</v>
      </c>
      <c r="F8">
        <v>2</v>
      </c>
      <c r="G8" s="1" t="s">
        <v>18</v>
      </c>
      <c r="H8" t="s">
        <v>19</v>
      </c>
      <c r="I8" t="s">
        <v>18</v>
      </c>
    </row>
    <row r="9" spans="1:9" x14ac:dyDescent="0.2">
      <c r="A9">
        <v>83</v>
      </c>
      <c r="B9">
        <v>15</v>
      </c>
      <c r="C9" t="s">
        <v>8</v>
      </c>
      <c r="D9">
        <v>0</v>
      </c>
      <c r="E9">
        <v>0.89764232444576897</v>
      </c>
      <c r="F9">
        <v>2</v>
      </c>
      <c r="G9" s="1" t="s">
        <v>20</v>
      </c>
      <c r="H9" t="s">
        <v>21</v>
      </c>
      <c r="I9" t="s">
        <v>20</v>
      </c>
    </row>
    <row r="10" spans="1:9" x14ac:dyDescent="0.2">
      <c r="A10">
        <v>82</v>
      </c>
      <c r="B10">
        <v>15</v>
      </c>
      <c r="C10" t="s">
        <v>8</v>
      </c>
      <c r="D10">
        <v>0</v>
      </c>
      <c r="E10">
        <v>0.69570920569822203</v>
      </c>
      <c r="F10">
        <v>1</v>
      </c>
      <c r="G10" s="1" t="s">
        <v>22</v>
      </c>
      <c r="H10" t="s">
        <v>22</v>
      </c>
      <c r="I10" t="s">
        <v>22</v>
      </c>
    </row>
    <row r="11" spans="1:9" x14ac:dyDescent="0.2">
      <c r="A11">
        <v>90</v>
      </c>
      <c r="B11">
        <v>6</v>
      </c>
      <c r="C11" t="s">
        <v>10</v>
      </c>
      <c r="D11">
        <v>0</v>
      </c>
      <c r="E11">
        <v>0.59898808773141399</v>
      </c>
      <c r="F11">
        <v>2</v>
      </c>
      <c r="G11" s="1" t="s">
        <v>23</v>
      </c>
      <c r="H11" t="s">
        <v>24</v>
      </c>
      <c r="I11" t="s">
        <v>23</v>
      </c>
    </row>
    <row r="12" spans="1:9" x14ac:dyDescent="0.2">
      <c r="A12">
        <v>65</v>
      </c>
      <c r="B12">
        <v>10</v>
      </c>
      <c r="C12" t="s">
        <v>16</v>
      </c>
      <c r="D12">
        <v>1</v>
      </c>
      <c r="E12">
        <v>0.93099966982845195</v>
      </c>
      <c r="F12">
        <v>3</v>
      </c>
      <c r="G12" s="1" t="s">
        <v>25</v>
      </c>
      <c r="H12" t="s">
        <v>26</v>
      </c>
      <c r="I12" t="s">
        <v>25</v>
      </c>
    </row>
    <row r="13" spans="1:9" x14ac:dyDescent="0.2">
      <c r="A13">
        <v>57</v>
      </c>
      <c r="B13">
        <v>5</v>
      </c>
      <c r="C13" t="s">
        <v>8</v>
      </c>
      <c r="D13">
        <v>0</v>
      </c>
      <c r="E13">
        <v>0.57867345144040905</v>
      </c>
      <c r="F13">
        <v>1</v>
      </c>
      <c r="G13" s="1" t="s">
        <v>27</v>
      </c>
      <c r="H13" t="s">
        <v>27</v>
      </c>
      <c r="I13" t="s">
        <v>27</v>
      </c>
    </row>
    <row r="14" spans="1:9" x14ac:dyDescent="0.2">
      <c r="A14">
        <v>83</v>
      </c>
      <c r="B14">
        <v>10</v>
      </c>
      <c r="C14" t="s">
        <v>16</v>
      </c>
      <c r="D14">
        <v>0</v>
      </c>
      <c r="E14">
        <v>0.85070176713634305</v>
      </c>
      <c r="F14">
        <v>1</v>
      </c>
      <c r="G14" s="1" t="s">
        <v>28</v>
      </c>
      <c r="H14" t="s">
        <v>28</v>
      </c>
      <c r="I14" t="s">
        <v>28</v>
      </c>
    </row>
    <row r="15" spans="1:9" x14ac:dyDescent="0.2">
      <c r="A15">
        <v>41</v>
      </c>
      <c r="B15">
        <v>11</v>
      </c>
      <c r="C15" t="s">
        <v>8</v>
      </c>
      <c r="D15">
        <v>0</v>
      </c>
      <c r="E15">
        <v>0.62027452653273896</v>
      </c>
      <c r="F15">
        <v>1</v>
      </c>
      <c r="G15" s="1" t="s">
        <v>29</v>
      </c>
      <c r="H15" t="s">
        <v>29</v>
      </c>
      <c r="I15" t="s">
        <v>29</v>
      </c>
    </row>
    <row r="16" spans="1:9" x14ac:dyDescent="0.2">
      <c r="A16">
        <v>35</v>
      </c>
      <c r="B16">
        <v>13</v>
      </c>
      <c r="C16" t="s">
        <v>8</v>
      </c>
      <c r="D16">
        <v>0</v>
      </c>
      <c r="E16">
        <v>0.74428722739685305</v>
      </c>
      <c r="F16">
        <v>1</v>
      </c>
      <c r="G16" s="1" t="s">
        <v>30</v>
      </c>
      <c r="H16" t="s">
        <v>30</v>
      </c>
      <c r="I16" t="s">
        <v>30</v>
      </c>
    </row>
    <row r="17" spans="1:9" x14ac:dyDescent="0.2">
      <c r="A17">
        <v>48</v>
      </c>
      <c r="B17">
        <v>15</v>
      </c>
      <c r="C17" t="s">
        <v>8</v>
      </c>
      <c r="D17">
        <v>0</v>
      </c>
      <c r="E17">
        <v>0.99091912899166301</v>
      </c>
      <c r="F17">
        <v>1</v>
      </c>
      <c r="G17" s="1" t="s">
        <v>31</v>
      </c>
      <c r="H17" t="s">
        <v>31</v>
      </c>
      <c r="I17" t="s">
        <v>31</v>
      </c>
    </row>
    <row r="18" spans="1:9" x14ac:dyDescent="0.2">
      <c r="A18">
        <v>29</v>
      </c>
      <c r="B18">
        <v>4</v>
      </c>
      <c r="C18" t="s">
        <v>8</v>
      </c>
      <c r="D18">
        <v>1</v>
      </c>
      <c r="E18">
        <v>0.97911363583989397</v>
      </c>
      <c r="F18">
        <v>1</v>
      </c>
      <c r="G18" s="1" t="s">
        <v>32</v>
      </c>
      <c r="H18" t="s">
        <v>32</v>
      </c>
      <c r="I18" t="s">
        <v>32</v>
      </c>
    </row>
    <row r="19" spans="1:9" x14ac:dyDescent="0.2">
      <c r="A19">
        <v>28</v>
      </c>
      <c r="B19">
        <v>13</v>
      </c>
      <c r="C19" t="s">
        <v>8</v>
      </c>
      <c r="D19">
        <v>0</v>
      </c>
      <c r="E19">
        <v>0.774889929685742</v>
      </c>
      <c r="F19">
        <v>2</v>
      </c>
      <c r="G19" s="1" t="s">
        <v>33</v>
      </c>
      <c r="H19" t="s">
        <v>34</v>
      </c>
      <c r="I19" t="s">
        <v>33</v>
      </c>
    </row>
    <row r="20" spans="1:9" x14ac:dyDescent="0.2">
      <c r="A20">
        <v>35</v>
      </c>
      <c r="B20">
        <v>12</v>
      </c>
      <c r="C20" t="s">
        <v>8</v>
      </c>
      <c r="D20">
        <v>0</v>
      </c>
      <c r="E20">
        <v>0.75714224437251698</v>
      </c>
      <c r="F20">
        <v>1</v>
      </c>
      <c r="G20" s="1" t="s">
        <v>35</v>
      </c>
      <c r="H20" t="s">
        <v>35</v>
      </c>
      <c r="I20" t="s">
        <v>35</v>
      </c>
    </row>
    <row r="21" spans="1:9" x14ac:dyDescent="0.2">
      <c r="A21">
        <v>37</v>
      </c>
      <c r="B21">
        <v>1</v>
      </c>
      <c r="C21" t="s">
        <v>8</v>
      </c>
      <c r="D21">
        <v>1</v>
      </c>
      <c r="E21">
        <v>0.92827308794949204</v>
      </c>
      <c r="F21">
        <v>1</v>
      </c>
      <c r="G21" s="1" t="s">
        <v>36</v>
      </c>
      <c r="H21" t="s">
        <v>36</v>
      </c>
      <c r="I21" t="s">
        <v>36</v>
      </c>
    </row>
    <row r="22" spans="1:9" x14ac:dyDescent="0.2">
      <c r="A22">
        <v>80</v>
      </c>
      <c r="B22">
        <v>13</v>
      </c>
      <c r="C22" t="s">
        <v>8</v>
      </c>
      <c r="D22">
        <v>0</v>
      </c>
      <c r="E22">
        <v>0.99301113595720403</v>
      </c>
      <c r="F22">
        <v>1</v>
      </c>
      <c r="G22" s="1" t="s">
        <v>37</v>
      </c>
      <c r="H22" t="s">
        <v>37</v>
      </c>
      <c r="I22" t="s">
        <v>37</v>
      </c>
    </row>
    <row r="23" spans="1:9" x14ac:dyDescent="0.2">
      <c r="A23">
        <v>50</v>
      </c>
      <c r="B23">
        <v>3</v>
      </c>
      <c r="C23" t="s">
        <v>10</v>
      </c>
      <c r="D23">
        <v>0</v>
      </c>
      <c r="E23">
        <v>0.705553260282613</v>
      </c>
      <c r="F23">
        <v>1</v>
      </c>
      <c r="G23" s="1" t="s">
        <v>38</v>
      </c>
      <c r="H23" t="s">
        <v>38</v>
      </c>
      <c r="I23" t="s">
        <v>38</v>
      </c>
    </row>
    <row r="24" spans="1:9" x14ac:dyDescent="0.2">
      <c r="A24">
        <v>76</v>
      </c>
      <c r="B24">
        <v>12</v>
      </c>
      <c r="C24" t="s">
        <v>10</v>
      </c>
      <c r="D24">
        <v>1</v>
      </c>
      <c r="E24">
        <v>0.67646142921876196</v>
      </c>
      <c r="F24">
        <v>1</v>
      </c>
      <c r="G24" s="1" t="s">
        <v>39</v>
      </c>
      <c r="H24" t="s">
        <v>39</v>
      </c>
      <c r="I24" t="s">
        <v>39</v>
      </c>
    </row>
    <row r="25" spans="1:9" x14ac:dyDescent="0.2">
      <c r="A25">
        <v>72</v>
      </c>
      <c r="B25">
        <v>13</v>
      </c>
      <c r="C25" t="s">
        <v>8</v>
      </c>
      <c r="D25">
        <v>0</v>
      </c>
      <c r="E25">
        <v>0.51503362855874002</v>
      </c>
      <c r="F25">
        <v>1</v>
      </c>
      <c r="G25" s="1" t="s">
        <v>40</v>
      </c>
      <c r="H25" t="s">
        <v>40</v>
      </c>
      <c r="I25" t="s">
        <v>40</v>
      </c>
    </row>
    <row r="26" spans="1:9" x14ac:dyDescent="0.2">
      <c r="A26">
        <v>72</v>
      </c>
      <c r="B26">
        <v>10</v>
      </c>
      <c r="C26" t="s">
        <v>8</v>
      </c>
      <c r="D26">
        <v>1</v>
      </c>
      <c r="E26">
        <v>0.83705900656059395</v>
      </c>
      <c r="F26">
        <v>1</v>
      </c>
      <c r="G26" s="1" t="s">
        <v>41</v>
      </c>
      <c r="H26" t="s">
        <v>41</v>
      </c>
      <c r="I26" t="s">
        <v>41</v>
      </c>
    </row>
    <row r="27" spans="1:9" x14ac:dyDescent="0.2">
      <c r="A27">
        <v>69</v>
      </c>
      <c r="B27">
        <v>8</v>
      </c>
      <c r="C27" t="s">
        <v>8</v>
      </c>
      <c r="D27">
        <v>1</v>
      </c>
      <c r="E27">
        <v>0.65121764701325402</v>
      </c>
      <c r="F27">
        <v>3</v>
      </c>
      <c r="G27" s="1" t="s">
        <v>42</v>
      </c>
      <c r="H27" t="s">
        <v>43</v>
      </c>
      <c r="I27" t="s">
        <v>42</v>
      </c>
    </row>
    <row r="28" spans="1:9" x14ac:dyDescent="0.2">
      <c r="A28">
        <v>52</v>
      </c>
      <c r="B28">
        <v>5</v>
      </c>
      <c r="C28" t="s">
        <v>8</v>
      </c>
      <c r="D28">
        <v>0</v>
      </c>
      <c r="E28">
        <v>0.96968010102864399</v>
      </c>
      <c r="F28">
        <v>1</v>
      </c>
      <c r="G28" s="1" t="s">
        <v>44</v>
      </c>
      <c r="H28" t="s">
        <v>44</v>
      </c>
      <c r="I28" t="s">
        <v>44</v>
      </c>
    </row>
    <row r="29" spans="1:9" x14ac:dyDescent="0.2">
      <c r="A29">
        <v>62</v>
      </c>
      <c r="B29">
        <v>12</v>
      </c>
      <c r="C29" t="s">
        <v>10</v>
      </c>
      <c r="D29">
        <v>0</v>
      </c>
      <c r="E29">
        <v>0.83959366288036097</v>
      </c>
      <c r="F29">
        <v>1</v>
      </c>
      <c r="G29" s="1" t="s">
        <v>45</v>
      </c>
      <c r="H29" t="s">
        <v>45</v>
      </c>
      <c r="I29" t="s">
        <v>45</v>
      </c>
    </row>
    <row r="30" spans="1:9" x14ac:dyDescent="0.2">
      <c r="A30">
        <v>36</v>
      </c>
      <c r="B30">
        <v>0</v>
      </c>
      <c r="C30" t="s">
        <v>10</v>
      </c>
      <c r="D30">
        <v>0</v>
      </c>
      <c r="E30">
        <v>0.88657760852947798</v>
      </c>
      <c r="F30">
        <v>1</v>
      </c>
      <c r="G30" s="1" t="s">
        <v>46</v>
      </c>
      <c r="H30" t="s">
        <v>46</v>
      </c>
      <c r="I30" t="s">
        <v>46</v>
      </c>
    </row>
    <row r="31" spans="1:9" x14ac:dyDescent="0.2">
      <c r="A31">
        <v>65</v>
      </c>
      <c r="B31">
        <v>8</v>
      </c>
      <c r="C31" t="s">
        <v>8</v>
      </c>
      <c r="D31">
        <v>0</v>
      </c>
      <c r="E31">
        <v>0.72061545529868498</v>
      </c>
      <c r="F31">
        <v>1</v>
      </c>
      <c r="G31" s="1" t="s">
        <v>47</v>
      </c>
      <c r="H31" t="s">
        <v>47</v>
      </c>
      <c r="I31" t="s">
        <v>47</v>
      </c>
    </row>
    <row r="32" spans="1:9" x14ac:dyDescent="0.2">
      <c r="A32">
        <v>41</v>
      </c>
      <c r="B32">
        <v>11</v>
      </c>
      <c r="C32" t="s">
        <v>8</v>
      </c>
      <c r="D32">
        <v>1</v>
      </c>
      <c r="E32">
        <v>0.89769467222504296</v>
      </c>
      <c r="F32">
        <v>1</v>
      </c>
      <c r="G32" s="1" t="s">
        <v>48</v>
      </c>
      <c r="H32" t="s">
        <v>48</v>
      </c>
      <c r="I32" t="s">
        <v>48</v>
      </c>
    </row>
    <row r="33" spans="1:9" x14ac:dyDescent="0.2">
      <c r="A33">
        <v>74</v>
      </c>
      <c r="B33">
        <v>10</v>
      </c>
      <c r="C33" t="s">
        <v>10</v>
      </c>
      <c r="D33">
        <v>0</v>
      </c>
      <c r="E33">
        <v>0.61373866908252195</v>
      </c>
      <c r="F33">
        <v>1</v>
      </c>
      <c r="G33" s="1" t="s">
        <v>49</v>
      </c>
      <c r="H33" t="s">
        <v>49</v>
      </c>
      <c r="I33" t="s">
        <v>49</v>
      </c>
    </row>
    <row r="34" spans="1:9" x14ac:dyDescent="0.2">
      <c r="A34">
        <v>53</v>
      </c>
      <c r="B34">
        <v>12</v>
      </c>
      <c r="C34" t="s">
        <v>16</v>
      </c>
      <c r="D34">
        <v>0</v>
      </c>
      <c r="E34">
        <v>0.88598283461760696</v>
      </c>
      <c r="F34">
        <v>1</v>
      </c>
      <c r="G34" s="1" t="s">
        <v>50</v>
      </c>
      <c r="H34" t="s">
        <v>50</v>
      </c>
      <c r="I34" t="s">
        <v>50</v>
      </c>
    </row>
    <row r="35" spans="1:9" x14ac:dyDescent="0.2">
      <c r="A35">
        <v>82</v>
      </c>
      <c r="B35">
        <v>6</v>
      </c>
      <c r="C35" t="s">
        <v>16</v>
      </c>
      <c r="D35">
        <v>1</v>
      </c>
      <c r="E35">
        <v>0.75378692673984904</v>
      </c>
      <c r="F35">
        <v>2</v>
      </c>
      <c r="G35" s="1" t="s">
        <v>51</v>
      </c>
      <c r="H35" t="s">
        <v>52</v>
      </c>
      <c r="I35" t="s">
        <v>51</v>
      </c>
    </row>
    <row r="36" spans="1:9" x14ac:dyDescent="0.2">
      <c r="A36">
        <v>84</v>
      </c>
      <c r="B36">
        <v>2</v>
      </c>
      <c r="C36" t="s">
        <v>8</v>
      </c>
      <c r="D36">
        <v>0</v>
      </c>
      <c r="E36">
        <v>0.80762801493983705</v>
      </c>
      <c r="F36">
        <v>1</v>
      </c>
      <c r="G36" s="1" t="s">
        <v>53</v>
      </c>
      <c r="H36" t="s">
        <v>53</v>
      </c>
      <c r="I36" t="s">
        <v>53</v>
      </c>
    </row>
    <row r="37" spans="1:9" x14ac:dyDescent="0.2">
      <c r="A37">
        <v>29</v>
      </c>
      <c r="B37">
        <v>12</v>
      </c>
      <c r="C37" t="s">
        <v>10</v>
      </c>
      <c r="D37">
        <v>0</v>
      </c>
      <c r="E37">
        <v>0.78558389795944095</v>
      </c>
      <c r="F37">
        <v>1</v>
      </c>
      <c r="G37" s="1" t="s">
        <v>54</v>
      </c>
      <c r="H37" t="s">
        <v>54</v>
      </c>
      <c r="I37" t="s">
        <v>54</v>
      </c>
    </row>
    <row r="38" spans="1:9" x14ac:dyDescent="0.2">
      <c r="A38">
        <v>85</v>
      </c>
      <c r="B38">
        <v>1</v>
      </c>
      <c r="C38" t="s">
        <v>8</v>
      </c>
      <c r="D38">
        <v>0</v>
      </c>
      <c r="E38">
        <v>0.80171568412333705</v>
      </c>
      <c r="F38">
        <v>2</v>
      </c>
      <c r="G38" s="1" t="s">
        <v>55</v>
      </c>
      <c r="H38" t="s">
        <v>56</v>
      </c>
      <c r="I38" t="s">
        <v>55</v>
      </c>
    </row>
    <row r="39" spans="1:9" x14ac:dyDescent="0.2">
      <c r="A39">
        <v>86</v>
      </c>
      <c r="B39">
        <v>1</v>
      </c>
      <c r="C39" t="s">
        <v>10</v>
      </c>
      <c r="D39">
        <v>0</v>
      </c>
      <c r="E39">
        <v>0.538857830921188</v>
      </c>
      <c r="F39">
        <v>1</v>
      </c>
      <c r="G39" s="1" t="s">
        <v>57</v>
      </c>
      <c r="H39" t="s">
        <v>57</v>
      </c>
      <c r="I39" t="s">
        <v>57</v>
      </c>
    </row>
    <row r="40" spans="1:9" x14ac:dyDescent="0.2">
      <c r="A40">
        <v>70</v>
      </c>
      <c r="B40">
        <v>3</v>
      </c>
      <c r="C40" t="s">
        <v>10</v>
      </c>
      <c r="D40">
        <v>1</v>
      </c>
      <c r="E40">
        <v>0.78029774490278203</v>
      </c>
      <c r="F40">
        <v>1</v>
      </c>
      <c r="G40" s="1" t="s">
        <v>58</v>
      </c>
      <c r="H40" t="s">
        <v>58</v>
      </c>
      <c r="I40" t="s">
        <v>58</v>
      </c>
    </row>
    <row r="41" spans="1:9" x14ac:dyDescent="0.2">
      <c r="A41">
        <v>60</v>
      </c>
      <c r="B41">
        <v>9</v>
      </c>
      <c r="C41" t="s">
        <v>16</v>
      </c>
      <c r="D41">
        <v>0</v>
      </c>
      <c r="E41">
        <v>0.79895769385620996</v>
      </c>
      <c r="F41">
        <v>3</v>
      </c>
      <c r="G41" s="1" t="s">
        <v>59</v>
      </c>
      <c r="H41" t="s">
        <v>60</v>
      </c>
      <c r="I41" t="s">
        <v>59</v>
      </c>
    </row>
    <row r="42" spans="1:9" x14ac:dyDescent="0.2">
      <c r="A42">
        <v>41</v>
      </c>
      <c r="B42">
        <v>13</v>
      </c>
      <c r="C42" t="s">
        <v>10</v>
      </c>
      <c r="D42">
        <v>1</v>
      </c>
      <c r="E42">
        <v>0.80853295396082103</v>
      </c>
      <c r="F42">
        <v>1</v>
      </c>
      <c r="G42" s="1" t="s">
        <v>61</v>
      </c>
      <c r="H42" t="s">
        <v>61</v>
      </c>
      <c r="I42" t="s">
        <v>61</v>
      </c>
    </row>
    <row r="43" spans="1:9" x14ac:dyDescent="0.2">
      <c r="A43">
        <v>89</v>
      </c>
      <c r="B43">
        <v>7</v>
      </c>
      <c r="C43" t="s">
        <v>16</v>
      </c>
      <c r="D43">
        <v>0</v>
      </c>
      <c r="E43">
        <v>0.94790463091339905</v>
      </c>
      <c r="F43">
        <v>3</v>
      </c>
      <c r="G43" s="1" t="s">
        <v>62</v>
      </c>
      <c r="H43" t="s">
        <v>63</v>
      </c>
      <c r="I43" t="s">
        <v>62</v>
      </c>
    </row>
    <row r="44" spans="1:9" x14ac:dyDescent="0.2">
      <c r="A44">
        <v>66</v>
      </c>
      <c r="B44">
        <v>8</v>
      </c>
      <c r="C44" t="s">
        <v>10</v>
      </c>
      <c r="D44">
        <v>1</v>
      </c>
      <c r="E44">
        <v>0.93939215433783796</v>
      </c>
      <c r="F44">
        <v>1</v>
      </c>
      <c r="G44" s="1" t="s">
        <v>64</v>
      </c>
      <c r="H44" t="s">
        <v>64</v>
      </c>
      <c r="I44" t="s">
        <v>64</v>
      </c>
    </row>
    <row r="45" spans="1:9" x14ac:dyDescent="0.2">
      <c r="A45">
        <v>71</v>
      </c>
      <c r="B45">
        <v>4</v>
      </c>
      <c r="C45" t="s">
        <v>8</v>
      </c>
      <c r="D45">
        <v>0</v>
      </c>
      <c r="E45">
        <v>0.54574177763424803</v>
      </c>
      <c r="F45">
        <v>1</v>
      </c>
      <c r="G45" s="1" t="s">
        <v>65</v>
      </c>
      <c r="H45" t="s">
        <v>65</v>
      </c>
      <c r="I45" t="s">
        <v>65</v>
      </c>
    </row>
    <row r="46" spans="1:9" x14ac:dyDescent="0.2">
      <c r="A46">
        <v>47</v>
      </c>
      <c r="B46">
        <v>5</v>
      </c>
      <c r="C46" t="s">
        <v>8</v>
      </c>
      <c r="D46">
        <v>1</v>
      </c>
      <c r="E46">
        <v>0.74874647019896701</v>
      </c>
      <c r="F46">
        <v>1</v>
      </c>
      <c r="G46" s="1" t="s">
        <v>66</v>
      </c>
      <c r="H46" t="s">
        <v>66</v>
      </c>
      <c r="I46" t="s">
        <v>66</v>
      </c>
    </row>
    <row r="47" spans="1:9" x14ac:dyDescent="0.2">
      <c r="A47">
        <v>79</v>
      </c>
      <c r="B47">
        <v>4</v>
      </c>
      <c r="C47" t="s">
        <v>16</v>
      </c>
      <c r="D47">
        <v>0</v>
      </c>
      <c r="E47">
        <v>0.629552491474897</v>
      </c>
      <c r="F47">
        <v>2</v>
      </c>
      <c r="G47" s="1" t="s">
        <v>67</v>
      </c>
      <c r="H47" t="s">
        <v>68</v>
      </c>
      <c r="I47" t="s">
        <v>67</v>
      </c>
    </row>
    <row r="48" spans="1:9" x14ac:dyDescent="0.2">
      <c r="A48">
        <v>79</v>
      </c>
      <c r="B48">
        <v>12</v>
      </c>
      <c r="C48" t="s">
        <v>8</v>
      </c>
      <c r="D48">
        <v>0</v>
      </c>
      <c r="E48">
        <v>0.91522858978714805</v>
      </c>
      <c r="F48">
        <v>1</v>
      </c>
      <c r="G48" s="1" t="s">
        <v>69</v>
      </c>
      <c r="H48" t="s">
        <v>69</v>
      </c>
      <c r="I48" t="s">
        <v>69</v>
      </c>
    </row>
    <row r="49" spans="1:9" x14ac:dyDescent="0.2">
      <c r="A49">
        <v>46</v>
      </c>
      <c r="B49">
        <v>4</v>
      </c>
      <c r="C49" t="s">
        <v>16</v>
      </c>
      <c r="D49">
        <v>0</v>
      </c>
      <c r="E49">
        <v>0.99132974492385995</v>
      </c>
      <c r="F49">
        <v>1</v>
      </c>
      <c r="G49" s="1" t="s">
        <v>70</v>
      </c>
      <c r="H49" t="s">
        <v>70</v>
      </c>
      <c r="I49" t="s">
        <v>70</v>
      </c>
    </row>
    <row r="50" spans="1:9" x14ac:dyDescent="0.2">
      <c r="A50">
        <v>59</v>
      </c>
      <c r="B50">
        <v>12</v>
      </c>
      <c r="C50" t="s">
        <v>16</v>
      </c>
      <c r="D50">
        <v>2</v>
      </c>
      <c r="E50">
        <v>0.59704329341184303</v>
      </c>
      <c r="F50">
        <v>1</v>
      </c>
      <c r="G50" s="1" t="s">
        <v>71</v>
      </c>
      <c r="H50" t="s">
        <v>71</v>
      </c>
      <c r="I50" t="s">
        <v>71</v>
      </c>
    </row>
    <row r="51" spans="1:9" x14ac:dyDescent="0.2">
      <c r="A51">
        <v>54</v>
      </c>
      <c r="B51">
        <v>13</v>
      </c>
      <c r="C51" t="s">
        <v>16</v>
      </c>
      <c r="D51">
        <v>0</v>
      </c>
      <c r="E51">
        <v>0.55029511940665499</v>
      </c>
      <c r="F51">
        <v>1</v>
      </c>
      <c r="G51" s="1" t="s">
        <v>72</v>
      </c>
      <c r="H51" t="s">
        <v>72</v>
      </c>
      <c r="I51" t="s">
        <v>72</v>
      </c>
    </row>
    <row r="52" spans="1:9" x14ac:dyDescent="0.2">
      <c r="A52">
        <v>44</v>
      </c>
      <c r="B52">
        <v>11</v>
      </c>
      <c r="C52" t="s">
        <v>8</v>
      </c>
      <c r="D52">
        <v>0</v>
      </c>
      <c r="E52">
        <v>0.77941272454336297</v>
      </c>
      <c r="F52">
        <v>1</v>
      </c>
      <c r="G52" s="1" t="s">
        <v>73</v>
      </c>
      <c r="H52" t="s">
        <v>73</v>
      </c>
      <c r="I52" t="s">
        <v>73</v>
      </c>
    </row>
    <row r="53" spans="1:9" x14ac:dyDescent="0.2">
      <c r="A53">
        <v>34</v>
      </c>
      <c r="B53">
        <v>10</v>
      </c>
      <c r="C53" t="s">
        <v>8</v>
      </c>
      <c r="D53">
        <v>0</v>
      </c>
      <c r="E53">
        <v>0.61551692150533199</v>
      </c>
      <c r="F53">
        <v>1</v>
      </c>
      <c r="G53" s="1" t="s">
        <v>74</v>
      </c>
      <c r="H53" t="s">
        <v>74</v>
      </c>
      <c r="I53" t="s">
        <v>74</v>
      </c>
    </row>
    <row r="54" spans="1:9" x14ac:dyDescent="0.2">
      <c r="A54">
        <v>48</v>
      </c>
      <c r="B54">
        <v>10</v>
      </c>
      <c r="C54" t="s">
        <v>16</v>
      </c>
      <c r="D54">
        <v>1</v>
      </c>
      <c r="E54">
        <v>0.65291596320457801</v>
      </c>
      <c r="F54">
        <v>1</v>
      </c>
      <c r="G54" s="1" t="s">
        <v>75</v>
      </c>
      <c r="H54" t="s">
        <v>75</v>
      </c>
      <c r="I54" t="s">
        <v>75</v>
      </c>
    </row>
    <row r="55" spans="1:9" x14ac:dyDescent="0.2">
      <c r="A55">
        <v>37</v>
      </c>
      <c r="B55">
        <v>7</v>
      </c>
      <c r="C55" t="s">
        <v>16</v>
      </c>
      <c r="D55">
        <v>0</v>
      </c>
      <c r="E55">
        <v>0.87438498274423204</v>
      </c>
      <c r="F55">
        <v>1</v>
      </c>
      <c r="G55" s="1" t="s">
        <v>76</v>
      </c>
      <c r="H55" t="s">
        <v>76</v>
      </c>
      <c r="I55" t="s">
        <v>76</v>
      </c>
    </row>
    <row r="56" spans="1:9" x14ac:dyDescent="0.2">
      <c r="A56">
        <v>62</v>
      </c>
      <c r="B56">
        <v>7</v>
      </c>
      <c r="C56" t="s">
        <v>10</v>
      </c>
      <c r="D56">
        <v>0</v>
      </c>
      <c r="E56">
        <v>0.861051668180153</v>
      </c>
      <c r="F56">
        <v>1</v>
      </c>
      <c r="G56" s="1" t="s">
        <v>77</v>
      </c>
      <c r="H56" t="s">
        <v>77</v>
      </c>
      <c r="I56" t="s">
        <v>77</v>
      </c>
    </row>
    <row r="57" spans="1:9" x14ac:dyDescent="0.2">
      <c r="A57">
        <v>81</v>
      </c>
      <c r="B57">
        <v>11</v>
      </c>
      <c r="C57" t="s">
        <v>16</v>
      </c>
      <c r="D57">
        <v>2</v>
      </c>
      <c r="E57">
        <v>0.90167695004492998</v>
      </c>
      <c r="F57">
        <v>1</v>
      </c>
      <c r="G57" s="1" t="s">
        <v>78</v>
      </c>
      <c r="H57" t="s">
        <v>78</v>
      </c>
      <c r="I57" t="s">
        <v>78</v>
      </c>
    </row>
    <row r="58" spans="1:9" x14ac:dyDescent="0.2">
      <c r="A58">
        <v>60</v>
      </c>
      <c r="B58">
        <v>4</v>
      </c>
      <c r="C58" t="s">
        <v>8</v>
      </c>
      <c r="D58">
        <v>1</v>
      </c>
      <c r="E58">
        <v>0.81084354303311601</v>
      </c>
      <c r="F58">
        <v>1</v>
      </c>
      <c r="G58" s="1" t="s">
        <v>79</v>
      </c>
      <c r="H58" t="s">
        <v>79</v>
      </c>
      <c r="I58" t="s">
        <v>79</v>
      </c>
    </row>
    <row r="59" spans="1:9" x14ac:dyDescent="0.2">
      <c r="A59">
        <v>40</v>
      </c>
      <c r="B59">
        <v>11</v>
      </c>
      <c r="C59" t="s">
        <v>8</v>
      </c>
      <c r="D59">
        <v>0</v>
      </c>
      <c r="E59">
        <v>0.67931016453076198</v>
      </c>
      <c r="F59">
        <v>2</v>
      </c>
      <c r="G59" s="1" t="s">
        <v>80</v>
      </c>
      <c r="H59" t="s">
        <v>81</v>
      </c>
      <c r="I59" t="s">
        <v>80</v>
      </c>
    </row>
    <row r="60" spans="1:9" x14ac:dyDescent="0.2">
      <c r="A60">
        <v>69</v>
      </c>
      <c r="B60">
        <v>2</v>
      </c>
      <c r="C60" t="s">
        <v>8</v>
      </c>
      <c r="D60">
        <v>1</v>
      </c>
      <c r="E60">
        <v>0.75531891034915999</v>
      </c>
      <c r="F60">
        <v>1</v>
      </c>
      <c r="G60" s="1" t="s">
        <v>82</v>
      </c>
      <c r="H60" t="s">
        <v>82</v>
      </c>
      <c r="I60" t="s">
        <v>82</v>
      </c>
    </row>
    <row r="61" spans="1:9" x14ac:dyDescent="0.2">
      <c r="A61">
        <v>53</v>
      </c>
      <c r="B61">
        <v>15</v>
      </c>
      <c r="C61" t="s">
        <v>16</v>
      </c>
      <c r="D61">
        <v>0</v>
      </c>
      <c r="E61">
        <v>0.95315245038364105</v>
      </c>
      <c r="F61">
        <v>1</v>
      </c>
      <c r="G61" s="1" t="s">
        <v>83</v>
      </c>
      <c r="H61" t="s">
        <v>83</v>
      </c>
      <c r="I61" t="s">
        <v>83</v>
      </c>
    </row>
    <row r="62" spans="1:9" x14ac:dyDescent="0.2">
      <c r="A62">
        <v>59</v>
      </c>
      <c r="B62">
        <v>0</v>
      </c>
      <c r="C62" t="s">
        <v>8</v>
      </c>
      <c r="D62">
        <v>0</v>
      </c>
      <c r="E62">
        <v>0.87106551195029203</v>
      </c>
      <c r="F62">
        <v>1</v>
      </c>
      <c r="G62" s="1" t="s">
        <v>84</v>
      </c>
      <c r="H62" t="s">
        <v>84</v>
      </c>
      <c r="I62" t="s">
        <v>84</v>
      </c>
    </row>
    <row r="63" spans="1:9" x14ac:dyDescent="0.2">
      <c r="A63">
        <v>84</v>
      </c>
      <c r="B63">
        <v>15</v>
      </c>
      <c r="C63" t="s">
        <v>16</v>
      </c>
      <c r="D63">
        <v>0</v>
      </c>
      <c r="E63">
        <v>0.92160588654223796</v>
      </c>
      <c r="F63">
        <v>2</v>
      </c>
      <c r="G63" s="1" t="s">
        <v>85</v>
      </c>
      <c r="H63" t="s">
        <v>86</v>
      </c>
      <c r="I63" t="s">
        <v>85</v>
      </c>
    </row>
    <row r="64" spans="1:9" x14ac:dyDescent="0.2">
      <c r="A64">
        <v>89</v>
      </c>
      <c r="B64">
        <v>4</v>
      </c>
      <c r="C64" t="s">
        <v>16</v>
      </c>
      <c r="D64">
        <v>1</v>
      </c>
      <c r="E64">
        <v>0.55578605399932701</v>
      </c>
      <c r="F64">
        <v>1</v>
      </c>
      <c r="G64" s="1" t="s">
        <v>87</v>
      </c>
      <c r="H64" t="s">
        <v>87</v>
      </c>
      <c r="I64" t="s">
        <v>87</v>
      </c>
    </row>
    <row r="65" spans="1:9" x14ac:dyDescent="0.2">
      <c r="A65">
        <v>63</v>
      </c>
      <c r="B65">
        <v>9</v>
      </c>
      <c r="C65" t="s">
        <v>16</v>
      </c>
      <c r="D65">
        <v>0</v>
      </c>
      <c r="E65">
        <v>0.82195019361097399</v>
      </c>
      <c r="F65">
        <v>1</v>
      </c>
      <c r="G65" s="1" t="s">
        <v>88</v>
      </c>
      <c r="H65" t="s">
        <v>88</v>
      </c>
      <c r="I65" t="s">
        <v>88</v>
      </c>
    </row>
    <row r="66" spans="1:9" x14ac:dyDescent="0.2">
      <c r="A66">
        <v>85</v>
      </c>
      <c r="B66">
        <v>5</v>
      </c>
      <c r="C66" t="s">
        <v>16</v>
      </c>
      <c r="D66">
        <v>0</v>
      </c>
      <c r="E66">
        <v>0.82995675585698303</v>
      </c>
      <c r="F66">
        <v>1</v>
      </c>
      <c r="G66" s="1" t="s">
        <v>89</v>
      </c>
      <c r="H66" t="s">
        <v>89</v>
      </c>
      <c r="I66" t="s">
        <v>89</v>
      </c>
    </row>
    <row r="67" spans="1:9" x14ac:dyDescent="0.2">
      <c r="A67">
        <v>87</v>
      </c>
      <c r="B67">
        <v>5</v>
      </c>
      <c r="C67" t="s">
        <v>8</v>
      </c>
      <c r="D67">
        <v>0</v>
      </c>
      <c r="E67">
        <v>0.738948980928399</v>
      </c>
      <c r="F67">
        <v>1</v>
      </c>
      <c r="G67" s="1" t="s">
        <v>90</v>
      </c>
      <c r="H67" t="s">
        <v>90</v>
      </c>
      <c r="I67" t="s">
        <v>90</v>
      </c>
    </row>
    <row r="68" spans="1:9" x14ac:dyDescent="0.2">
      <c r="A68">
        <v>81</v>
      </c>
      <c r="B68">
        <v>7</v>
      </c>
      <c r="C68" t="s">
        <v>8</v>
      </c>
      <c r="D68">
        <v>0</v>
      </c>
      <c r="E68">
        <v>0.57346509536728296</v>
      </c>
      <c r="F68">
        <v>2</v>
      </c>
      <c r="G68" s="1" t="s">
        <v>91</v>
      </c>
      <c r="H68" t="s">
        <v>92</v>
      </c>
      <c r="I68" t="s">
        <v>91</v>
      </c>
    </row>
    <row r="69" spans="1:9" x14ac:dyDescent="0.2">
      <c r="A69">
        <v>53</v>
      </c>
      <c r="B69">
        <v>15</v>
      </c>
      <c r="C69" t="s">
        <v>8</v>
      </c>
      <c r="D69">
        <v>0</v>
      </c>
      <c r="E69">
        <v>0.610677823075093</v>
      </c>
      <c r="F69">
        <v>1</v>
      </c>
      <c r="G69" s="1" t="s">
        <v>93</v>
      </c>
      <c r="H69" t="s">
        <v>93</v>
      </c>
      <c r="I69" t="s">
        <v>93</v>
      </c>
    </row>
    <row r="70" spans="1:9" x14ac:dyDescent="0.2">
      <c r="A70">
        <v>68</v>
      </c>
      <c r="B70">
        <v>7</v>
      </c>
      <c r="C70" t="s">
        <v>10</v>
      </c>
      <c r="D70">
        <v>2</v>
      </c>
      <c r="E70">
        <v>0.84325021773111097</v>
      </c>
      <c r="F70">
        <v>2</v>
      </c>
      <c r="G70" s="1" t="s">
        <v>94</v>
      </c>
      <c r="H70" t="s">
        <v>95</v>
      </c>
      <c r="I70" t="s">
        <v>94</v>
      </c>
    </row>
    <row r="71" spans="1:9" x14ac:dyDescent="0.2">
      <c r="A71">
        <v>38</v>
      </c>
      <c r="B71">
        <v>0</v>
      </c>
      <c r="C71" t="s">
        <v>16</v>
      </c>
      <c r="D71">
        <v>1</v>
      </c>
      <c r="E71">
        <v>0.62520923698320996</v>
      </c>
      <c r="F71">
        <v>1</v>
      </c>
      <c r="G71" s="1" t="s">
        <v>96</v>
      </c>
      <c r="H71" t="s">
        <v>96</v>
      </c>
      <c r="I71" t="s">
        <v>96</v>
      </c>
    </row>
    <row r="72" spans="1:9" x14ac:dyDescent="0.2">
      <c r="A72">
        <v>22</v>
      </c>
      <c r="B72">
        <v>4</v>
      </c>
      <c r="C72" t="s">
        <v>8</v>
      </c>
      <c r="D72">
        <v>0</v>
      </c>
      <c r="E72">
        <v>0.77206845849286798</v>
      </c>
      <c r="F72">
        <v>1</v>
      </c>
      <c r="G72" s="1" t="s">
        <v>97</v>
      </c>
      <c r="H72" t="s">
        <v>97</v>
      </c>
      <c r="I72" t="s">
        <v>97</v>
      </c>
    </row>
    <row r="73" spans="1:9" x14ac:dyDescent="0.2">
      <c r="A73">
        <v>49</v>
      </c>
      <c r="B73">
        <v>9</v>
      </c>
      <c r="C73" t="s">
        <v>8</v>
      </c>
      <c r="D73">
        <v>0</v>
      </c>
      <c r="E73">
        <v>0.99073705403134205</v>
      </c>
      <c r="F73">
        <v>1</v>
      </c>
      <c r="G73" s="1" t="s">
        <v>98</v>
      </c>
      <c r="H73" t="s">
        <v>98</v>
      </c>
      <c r="I73" t="s">
        <v>98</v>
      </c>
    </row>
    <row r="74" spans="1:9" x14ac:dyDescent="0.2">
      <c r="A74">
        <v>37</v>
      </c>
      <c r="B74">
        <v>0</v>
      </c>
      <c r="C74" t="s">
        <v>8</v>
      </c>
      <c r="D74">
        <v>1</v>
      </c>
      <c r="E74">
        <v>0.77853115263860695</v>
      </c>
      <c r="F74">
        <v>1</v>
      </c>
      <c r="G74" s="1" t="s">
        <v>99</v>
      </c>
      <c r="H74" t="s">
        <v>99</v>
      </c>
      <c r="I74" t="s">
        <v>99</v>
      </c>
    </row>
    <row r="75" spans="1:9" x14ac:dyDescent="0.2">
      <c r="A75">
        <v>78</v>
      </c>
      <c r="B75">
        <v>9</v>
      </c>
      <c r="C75" t="s">
        <v>8</v>
      </c>
      <c r="D75">
        <v>0</v>
      </c>
      <c r="E75">
        <v>0.88949898525606796</v>
      </c>
      <c r="F75">
        <v>2</v>
      </c>
      <c r="G75" s="1" t="s">
        <v>100</v>
      </c>
      <c r="H75" t="s">
        <v>101</v>
      </c>
      <c r="I75" t="s">
        <v>100</v>
      </c>
    </row>
    <row r="76" spans="1:9" x14ac:dyDescent="0.2">
      <c r="A76">
        <v>57</v>
      </c>
      <c r="B76">
        <v>13</v>
      </c>
      <c r="C76" t="s">
        <v>16</v>
      </c>
      <c r="D76">
        <v>1</v>
      </c>
      <c r="E76">
        <v>0.50566426967270695</v>
      </c>
      <c r="F76">
        <v>1</v>
      </c>
      <c r="G76" s="1" t="s">
        <v>102</v>
      </c>
      <c r="H76" t="s">
        <v>102</v>
      </c>
      <c r="I76" t="s">
        <v>102</v>
      </c>
    </row>
    <row r="77" spans="1:9" x14ac:dyDescent="0.2">
      <c r="A77">
        <v>30</v>
      </c>
      <c r="B77">
        <v>10</v>
      </c>
      <c r="C77" t="s">
        <v>16</v>
      </c>
      <c r="D77">
        <v>0</v>
      </c>
      <c r="E77">
        <v>0.65758309420198202</v>
      </c>
      <c r="F77">
        <v>1</v>
      </c>
      <c r="G77" s="1" t="s">
        <v>103</v>
      </c>
      <c r="H77" t="s">
        <v>103</v>
      </c>
      <c r="I77" t="s">
        <v>103</v>
      </c>
    </row>
    <row r="78" spans="1:9" x14ac:dyDescent="0.2">
      <c r="A78">
        <v>70</v>
      </c>
      <c r="B78">
        <v>7</v>
      </c>
      <c r="C78" t="s">
        <v>8</v>
      </c>
      <c r="D78">
        <v>0</v>
      </c>
      <c r="E78">
        <v>0.90718335320707399</v>
      </c>
      <c r="F78">
        <v>2</v>
      </c>
      <c r="G78" s="1" t="s">
        <v>104</v>
      </c>
      <c r="H78" t="s">
        <v>105</v>
      </c>
      <c r="I78" t="s">
        <v>104</v>
      </c>
    </row>
    <row r="79" spans="1:9" x14ac:dyDescent="0.2">
      <c r="A79">
        <v>34</v>
      </c>
      <c r="B79">
        <v>7</v>
      </c>
      <c r="C79" t="s">
        <v>16</v>
      </c>
      <c r="D79">
        <v>1</v>
      </c>
      <c r="E79">
        <v>0.75179499795194704</v>
      </c>
      <c r="F79">
        <v>1</v>
      </c>
      <c r="G79" s="1" t="s">
        <v>106</v>
      </c>
      <c r="H79" t="s">
        <v>106</v>
      </c>
      <c r="I79" t="s">
        <v>106</v>
      </c>
    </row>
    <row r="80" spans="1:9" x14ac:dyDescent="0.2">
      <c r="A80">
        <v>56</v>
      </c>
      <c r="B80">
        <v>6</v>
      </c>
      <c r="C80" t="s">
        <v>8</v>
      </c>
      <c r="D80">
        <v>0</v>
      </c>
      <c r="E80">
        <v>0.58848821208812296</v>
      </c>
      <c r="F80">
        <v>1</v>
      </c>
      <c r="G80" s="1" t="s">
        <v>107</v>
      </c>
      <c r="H80" t="s">
        <v>107</v>
      </c>
      <c r="I80" t="s">
        <v>107</v>
      </c>
    </row>
    <row r="81" spans="1:9" x14ac:dyDescent="0.2">
      <c r="A81">
        <v>30</v>
      </c>
      <c r="B81">
        <v>13</v>
      </c>
      <c r="C81" t="s">
        <v>16</v>
      </c>
      <c r="D81">
        <v>1</v>
      </c>
      <c r="E81">
        <v>0.92735348688438501</v>
      </c>
      <c r="F81">
        <v>2</v>
      </c>
      <c r="G81" s="1" t="s">
        <v>108</v>
      </c>
      <c r="H81" t="s">
        <v>109</v>
      </c>
      <c r="I81" t="s">
        <v>108</v>
      </c>
    </row>
    <row r="82" spans="1:9" x14ac:dyDescent="0.2">
      <c r="A82">
        <v>47</v>
      </c>
      <c r="B82">
        <v>8</v>
      </c>
      <c r="C82" t="s">
        <v>8</v>
      </c>
      <c r="D82">
        <v>0</v>
      </c>
      <c r="E82">
        <v>0.80164284550119203</v>
      </c>
      <c r="F82">
        <v>1</v>
      </c>
      <c r="G82" s="1" t="s">
        <v>110</v>
      </c>
      <c r="H82" t="s">
        <v>110</v>
      </c>
      <c r="I82" t="s">
        <v>110</v>
      </c>
    </row>
    <row r="83" spans="1:9" x14ac:dyDescent="0.2">
      <c r="A83">
        <v>81</v>
      </c>
      <c r="B83">
        <v>9</v>
      </c>
      <c r="C83" t="s">
        <v>8</v>
      </c>
      <c r="D83">
        <v>0</v>
      </c>
      <c r="E83">
        <v>0.53679222310893204</v>
      </c>
      <c r="F83">
        <v>1</v>
      </c>
      <c r="G83" s="1" t="s">
        <v>111</v>
      </c>
      <c r="H83" t="s">
        <v>111</v>
      </c>
      <c r="I83" t="s">
        <v>111</v>
      </c>
    </row>
    <row r="84" spans="1:9" x14ac:dyDescent="0.2">
      <c r="A84">
        <v>86</v>
      </c>
      <c r="B84">
        <v>1</v>
      </c>
      <c r="C84" t="s">
        <v>16</v>
      </c>
      <c r="D84">
        <v>3</v>
      </c>
      <c r="E84">
        <v>0.62750854284968205</v>
      </c>
      <c r="F84">
        <v>3</v>
      </c>
      <c r="G84" s="1" t="s">
        <v>112</v>
      </c>
      <c r="H84" t="s">
        <v>113</v>
      </c>
      <c r="I84" t="s">
        <v>112</v>
      </c>
    </row>
    <row r="85" spans="1:9" x14ac:dyDescent="0.2">
      <c r="A85">
        <v>55</v>
      </c>
      <c r="B85">
        <v>2</v>
      </c>
      <c r="C85" t="s">
        <v>8</v>
      </c>
      <c r="D85">
        <v>0</v>
      </c>
      <c r="E85">
        <v>0.50886638660449501</v>
      </c>
      <c r="F85">
        <v>1</v>
      </c>
      <c r="G85" s="1" t="s">
        <v>114</v>
      </c>
      <c r="H85" t="s">
        <v>114</v>
      </c>
      <c r="I85" t="s">
        <v>114</v>
      </c>
    </row>
    <row r="86" spans="1:9" x14ac:dyDescent="0.2">
      <c r="A86">
        <v>43</v>
      </c>
      <c r="B86">
        <v>5</v>
      </c>
      <c r="C86" t="s">
        <v>8</v>
      </c>
      <c r="D86">
        <v>1</v>
      </c>
      <c r="E86">
        <v>0.85632037743926004</v>
      </c>
      <c r="F86">
        <v>1</v>
      </c>
      <c r="G86" s="1" t="s">
        <v>115</v>
      </c>
      <c r="H86" t="s">
        <v>115</v>
      </c>
      <c r="I86" t="s">
        <v>115</v>
      </c>
    </row>
    <row r="87" spans="1:9" x14ac:dyDescent="0.2">
      <c r="A87">
        <v>23</v>
      </c>
      <c r="B87">
        <v>13</v>
      </c>
      <c r="C87" t="s">
        <v>10</v>
      </c>
      <c r="D87">
        <v>0</v>
      </c>
      <c r="E87">
        <v>0.78970194153953299</v>
      </c>
      <c r="F87">
        <v>1</v>
      </c>
      <c r="G87" s="1" t="s">
        <v>116</v>
      </c>
      <c r="H87" t="s">
        <v>116</v>
      </c>
      <c r="I87" t="s">
        <v>116</v>
      </c>
    </row>
    <row r="88" spans="1:9" x14ac:dyDescent="0.2">
      <c r="A88">
        <v>71</v>
      </c>
      <c r="B88">
        <v>2</v>
      </c>
      <c r="C88" t="s">
        <v>8</v>
      </c>
      <c r="D88">
        <v>0</v>
      </c>
      <c r="E88">
        <v>0.82096712815109596</v>
      </c>
      <c r="F88">
        <v>1</v>
      </c>
      <c r="G88" s="1" t="s">
        <v>117</v>
      </c>
      <c r="H88" t="s">
        <v>117</v>
      </c>
      <c r="I88" t="s">
        <v>117</v>
      </c>
    </row>
    <row r="89" spans="1:9" x14ac:dyDescent="0.2">
      <c r="A89">
        <v>88</v>
      </c>
      <c r="B89">
        <v>9</v>
      </c>
      <c r="C89" t="s">
        <v>8</v>
      </c>
      <c r="D89">
        <v>0</v>
      </c>
      <c r="E89">
        <v>0.87630027323029902</v>
      </c>
      <c r="F89">
        <v>2</v>
      </c>
      <c r="G89" s="1" t="s">
        <v>118</v>
      </c>
      <c r="H89" t="s">
        <v>119</v>
      </c>
      <c r="I89" t="s">
        <v>118</v>
      </c>
    </row>
    <row r="90" spans="1:9" x14ac:dyDescent="0.2">
      <c r="A90">
        <v>23</v>
      </c>
      <c r="B90">
        <v>8</v>
      </c>
      <c r="C90" t="s">
        <v>8</v>
      </c>
      <c r="D90">
        <v>2</v>
      </c>
      <c r="E90">
        <v>0.62686660001054395</v>
      </c>
      <c r="F90">
        <v>2</v>
      </c>
      <c r="G90" s="1" t="s">
        <v>120</v>
      </c>
      <c r="H90" t="s">
        <v>121</v>
      </c>
      <c r="I90" t="s">
        <v>120</v>
      </c>
    </row>
    <row r="91" spans="1:9" x14ac:dyDescent="0.2">
      <c r="A91">
        <v>73</v>
      </c>
      <c r="B91">
        <v>2</v>
      </c>
      <c r="C91" t="s">
        <v>16</v>
      </c>
      <c r="D91">
        <v>0</v>
      </c>
      <c r="E91">
        <v>0.84526191710028797</v>
      </c>
      <c r="F91">
        <v>1</v>
      </c>
      <c r="G91" s="1" t="s">
        <v>122</v>
      </c>
      <c r="H91" t="s">
        <v>122</v>
      </c>
      <c r="I91" t="s">
        <v>122</v>
      </c>
    </row>
    <row r="92" spans="1:9" x14ac:dyDescent="0.2">
      <c r="A92">
        <v>23</v>
      </c>
      <c r="B92">
        <v>7</v>
      </c>
      <c r="C92" t="s">
        <v>8</v>
      </c>
      <c r="D92">
        <v>0</v>
      </c>
      <c r="E92">
        <v>0.748309765476733</v>
      </c>
      <c r="F92">
        <v>1</v>
      </c>
      <c r="G92" s="1" t="s">
        <v>123</v>
      </c>
      <c r="H92" t="s">
        <v>123</v>
      </c>
      <c r="I92" t="s">
        <v>123</v>
      </c>
    </row>
    <row r="93" spans="1:9" x14ac:dyDescent="0.2">
      <c r="A93">
        <v>77</v>
      </c>
      <c r="B93">
        <v>15</v>
      </c>
      <c r="C93" t="s">
        <v>8</v>
      </c>
      <c r="D93">
        <v>0</v>
      </c>
      <c r="E93">
        <v>0.75038690085057203</v>
      </c>
      <c r="F93">
        <v>1</v>
      </c>
      <c r="G93" s="1" t="s">
        <v>124</v>
      </c>
      <c r="H93" t="s">
        <v>124</v>
      </c>
      <c r="I93" t="s">
        <v>124</v>
      </c>
    </row>
    <row r="94" spans="1:9" x14ac:dyDescent="0.2">
      <c r="A94">
        <v>74</v>
      </c>
      <c r="B94">
        <v>10</v>
      </c>
      <c r="C94" t="s">
        <v>8</v>
      </c>
      <c r="D94">
        <v>0</v>
      </c>
      <c r="E94">
        <v>0.77344800776336298</v>
      </c>
      <c r="F94">
        <v>1</v>
      </c>
      <c r="G94" s="1" t="s">
        <v>125</v>
      </c>
      <c r="H94" t="s">
        <v>125</v>
      </c>
      <c r="I94" t="s">
        <v>125</v>
      </c>
    </row>
    <row r="95" spans="1:9" x14ac:dyDescent="0.2">
      <c r="A95">
        <v>19</v>
      </c>
      <c r="B95">
        <v>13</v>
      </c>
      <c r="C95" t="s">
        <v>10</v>
      </c>
      <c r="D95">
        <v>0</v>
      </c>
      <c r="E95">
        <v>0.77371832623612102</v>
      </c>
      <c r="F95">
        <v>1</v>
      </c>
      <c r="G95" s="1" t="s">
        <v>126</v>
      </c>
      <c r="H95" t="s">
        <v>126</v>
      </c>
      <c r="I95" t="s">
        <v>126</v>
      </c>
    </row>
    <row r="96" spans="1:9" x14ac:dyDescent="0.2">
      <c r="A96">
        <v>74</v>
      </c>
      <c r="B96">
        <v>2</v>
      </c>
      <c r="C96" t="s">
        <v>16</v>
      </c>
      <c r="D96">
        <v>1</v>
      </c>
      <c r="E96">
        <v>0.90850637131370604</v>
      </c>
      <c r="F96">
        <v>1</v>
      </c>
      <c r="G96" s="1" t="s">
        <v>127</v>
      </c>
      <c r="H96" t="s">
        <v>127</v>
      </c>
      <c r="I96" t="s">
        <v>127</v>
      </c>
    </row>
    <row r="97" spans="1:9" x14ac:dyDescent="0.2">
      <c r="A97">
        <v>71</v>
      </c>
      <c r="B97">
        <v>4</v>
      </c>
      <c r="C97" t="s">
        <v>10</v>
      </c>
      <c r="D97">
        <v>0</v>
      </c>
      <c r="E97">
        <v>0.713988733943552</v>
      </c>
      <c r="F97">
        <v>2</v>
      </c>
      <c r="G97" s="1" t="s">
        <v>128</v>
      </c>
      <c r="H97" t="s">
        <v>129</v>
      </c>
      <c r="I97" t="s">
        <v>128</v>
      </c>
    </row>
    <row r="98" spans="1:9" x14ac:dyDescent="0.2">
      <c r="A98">
        <v>53</v>
      </c>
      <c r="B98">
        <v>5</v>
      </c>
      <c r="C98" t="s">
        <v>8</v>
      </c>
      <c r="D98">
        <v>0</v>
      </c>
      <c r="E98">
        <v>0.58292277448344998</v>
      </c>
      <c r="F98">
        <v>1</v>
      </c>
      <c r="G98" s="1" t="s">
        <v>130</v>
      </c>
      <c r="H98" t="s">
        <v>130</v>
      </c>
      <c r="I98" t="s">
        <v>130</v>
      </c>
    </row>
    <row r="99" spans="1:9" x14ac:dyDescent="0.2">
      <c r="A99">
        <v>53</v>
      </c>
      <c r="B99">
        <v>8</v>
      </c>
      <c r="C99" t="s">
        <v>16</v>
      </c>
      <c r="D99">
        <v>0</v>
      </c>
      <c r="E99">
        <v>0.68377158290240903</v>
      </c>
      <c r="F99">
        <v>1</v>
      </c>
      <c r="G99" s="1" t="s">
        <v>131</v>
      </c>
      <c r="H99" t="s">
        <v>131</v>
      </c>
      <c r="I99" t="s">
        <v>131</v>
      </c>
    </row>
    <row r="100" spans="1:9" x14ac:dyDescent="0.2">
      <c r="A100">
        <v>39</v>
      </c>
      <c r="B100">
        <v>13</v>
      </c>
      <c r="C100" t="s">
        <v>8</v>
      </c>
      <c r="D100">
        <v>1</v>
      </c>
      <c r="E100">
        <v>0.74344746186398003</v>
      </c>
      <c r="F100">
        <v>1</v>
      </c>
      <c r="G100" s="1" t="s">
        <v>132</v>
      </c>
      <c r="H100" t="s">
        <v>132</v>
      </c>
      <c r="I100" t="s">
        <v>132</v>
      </c>
    </row>
    <row r="101" spans="1:9" x14ac:dyDescent="0.2">
      <c r="A101">
        <v>84</v>
      </c>
      <c r="B101">
        <v>6</v>
      </c>
      <c r="C101" t="s">
        <v>8</v>
      </c>
      <c r="D101">
        <v>0</v>
      </c>
      <c r="E101">
        <v>0.85743390710558698</v>
      </c>
      <c r="F101">
        <v>2</v>
      </c>
      <c r="G101" s="1" t="s">
        <v>133</v>
      </c>
      <c r="H101" t="s">
        <v>134</v>
      </c>
      <c r="I101" t="s">
        <v>133</v>
      </c>
    </row>
    <row r="102" spans="1:9" x14ac:dyDescent="0.2">
      <c r="A102">
        <v>71</v>
      </c>
      <c r="B102">
        <v>10</v>
      </c>
      <c r="C102" t="s">
        <v>16</v>
      </c>
      <c r="D102">
        <v>0</v>
      </c>
      <c r="E102">
        <v>0.84257255948614296</v>
      </c>
      <c r="F102">
        <v>1</v>
      </c>
      <c r="G102" s="1" t="s">
        <v>135</v>
      </c>
      <c r="H102" t="s">
        <v>135</v>
      </c>
      <c r="I102" t="s">
        <v>135</v>
      </c>
    </row>
    <row r="103" spans="1:9" x14ac:dyDescent="0.2">
      <c r="A103">
        <v>64</v>
      </c>
      <c r="B103">
        <v>0</v>
      </c>
      <c r="C103" t="s">
        <v>8</v>
      </c>
      <c r="D103">
        <v>0</v>
      </c>
      <c r="E103">
        <v>0.93592614971566901</v>
      </c>
      <c r="F103">
        <v>1</v>
      </c>
      <c r="G103" s="1" t="s">
        <v>136</v>
      </c>
      <c r="H103" t="s">
        <v>136</v>
      </c>
      <c r="I103" t="s">
        <v>136</v>
      </c>
    </row>
    <row r="104" spans="1:9" x14ac:dyDescent="0.2">
      <c r="A104">
        <v>89</v>
      </c>
      <c r="B104">
        <v>2</v>
      </c>
      <c r="C104" t="s">
        <v>10</v>
      </c>
      <c r="D104">
        <v>0</v>
      </c>
      <c r="E104">
        <v>0.67851213854737602</v>
      </c>
      <c r="F104">
        <v>1</v>
      </c>
      <c r="G104" s="1" t="s">
        <v>137</v>
      </c>
      <c r="H104" t="s">
        <v>137</v>
      </c>
      <c r="I104" t="s">
        <v>137</v>
      </c>
    </row>
    <row r="105" spans="1:9" x14ac:dyDescent="0.2">
      <c r="A105">
        <v>35</v>
      </c>
      <c r="B105">
        <v>3</v>
      </c>
      <c r="C105" t="s">
        <v>8</v>
      </c>
      <c r="D105">
        <v>0</v>
      </c>
      <c r="E105">
        <v>0.96857614314649298</v>
      </c>
      <c r="F105">
        <v>1</v>
      </c>
      <c r="G105" s="1" t="s">
        <v>138</v>
      </c>
      <c r="H105" t="s">
        <v>138</v>
      </c>
      <c r="I105" t="s">
        <v>138</v>
      </c>
    </row>
    <row r="106" spans="1:9" x14ac:dyDescent="0.2">
      <c r="A106">
        <v>63</v>
      </c>
      <c r="B106">
        <v>1</v>
      </c>
      <c r="C106" t="s">
        <v>8</v>
      </c>
      <c r="D106">
        <v>0</v>
      </c>
      <c r="E106">
        <v>0.933514052652754</v>
      </c>
      <c r="F106">
        <v>1</v>
      </c>
      <c r="G106" s="1" t="s">
        <v>139</v>
      </c>
      <c r="H106" t="s">
        <v>139</v>
      </c>
      <c r="I106" t="s">
        <v>139</v>
      </c>
    </row>
    <row r="107" spans="1:9" x14ac:dyDescent="0.2">
      <c r="A107">
        <v>88</v>
      </c>
      <c r="B107">
        <v>3</v>
      </c>
      <c r="C107" t="s">
        <v>8</v>
      </c>
      <c r="D107">
        <v>0</v>
      </c>
      <c r="E107">
        <v>0.63217531901318602</v>
      </c>
      <c r="F107">
        <v>1</v>
      </c>
      <c r="G107" s="1" t="s">
        <v>140</v>
      </c>
      <c r="H107" t="s">
        <v>140</v>
      </c>
      <c r="I107" t="s">
        <v>140</v>
      </c>
    </row>
    <row r="108" spans="1:9" x14ac:dyDescent="0.2">
      <c r="A108">
        <v>63</v>
      </c>
      <c r="B108">
        <v>5</v>
      </c>
      <c r="C108" t="s">
        <v>16</v>
      </c>
      <c r="D108">
        <v>1</v>
      </c>
      <c r="E108">
        <v>0.98796362604480203</v>
      </c>
      <c r="F108">
        <v>1</v>
      </c>
      <c r="G108" s="1" t="s">
        <v>141</v>
      </c>
      <c r="H108" t="s">
        <v>141</v>
      </c>
      <c r="I108" t="s">
        <v>141</v>
      </c>
    </row>
    <row r="109" spans="1:9" x14ac:dyDescent="0.2">
      <c r="A109">
        <v>48</v>
      </c>
      <c r="B109">
        <v>2</v>
      </c>
      <c r="C109" t="s">
        <v>8</v>
      </c>
      <c r="D109">
        <v>0</v>
      </c>
      <c r="E109">
        <v>0.81329139834269903</v>
      </c>
      <c r="F109">
        <v>1</v>
      </c>
      <c r="G109" s="1" t="s">
        <v>142</v>
      </c>
      <c r="H109" t="s">
        <v>142</v>
      </c>
      <c r="I109" t="s">
        <v>142</v>
      </c>
    </row>
    <row r="110" spans="1:9" x14ac:dyDescent="0.2">
      <c r="A110">
        <v>78</v>
      </c>
      <c r="B110">
        <v>14</v>
      </c>
      <c r="C110" t="s">
        <v>10</v>
      </c>
      <c r="D110">
        <v>1</v>
      </c>
      <c r="E110">
        <v>0.65541656047571495</v>
      </c>
      <c r="F110">
        <v>1</v>
      </c>
      <c r="G110" s="1" t="s">
        <v>143</v>
      </c>
      <c r="H110" t="s">
        <v>143</v>
      </c>
      <c r="I110" t="s">
        <v>143</v>
      </c>
    </row>
    <row r="111" spans="1:9" x14ac:dyDescent="0.2">
      <c r="A111">
        <v>83</v>
      </c>
      <c r="B111">
        <v>3</v>
      </c>
      <c r="C111" t="s">
        <v>10</v>
      </c>
      <c r="D111">
        <v>1</v>
      </c>
      <c r="E111">
        <v>0.56350178993307098</v>
      </c>
      <c r="F111">
        <v>2</v>
      </c>
      <c r="G111" s="1" t="s">
        <v>144</v>
      </c>
      <c r="H111" t="s">
        <v>145</v>
      </c>
      <c r="I111" t="s">
        <v>144</v>
      </c>
    </row>
    <row r="112" spans="1:9" x14ac:dyDescent="0.2">
      <c r="A112">
        <v>40</v>
      </c>
      <c r="B112">
        <v>12</v>
      </c>
      <c r="C112" t="s">
        <v>8</v>
      </c>
      <c r="D112">
        <v>0</v>
      </c>
      <c r="E112">
        <v>0.50415755610447399</v>
      </c>
      <c r="F112">
        <v>1</v>
      </c>
      <c r="G112" s="1" t="s">
        <v>146</v>
      </c>
      <c r="H112" t="s">
        <v>146</v>
      </c>
      <c r="I112" t="s">
        <v>146</v>
      </c>
    </row>
    <row r="113" spans="1:9" x14ac:dyDescent="0.2">
      <c r="A113">
        <v>74</v>
      </c>
      <c r="B113">
        <v>11</v>
      </c>
      <c r="C113" t="s">
        <v>8</v>
      </c>
      <c r="D113">
        <v>0</v>
      </c>
      <c r="E113">
        <v>0.73212157201487604</v>
      </c>
      <c r="F113">
        <v>1</v>
      </c>
      <c r="G113" s="1" t="s">
        <v>147</v>
      </c>
      <c r="H113" t="s">
        <v>147</v>
      </c>
      <c r="I113" t="s">
        <v>147</v>
      </c>
    </row>
    <row r="114" spans="1:9" x14ac:dyDescent="0.2">
      <c r="A114">
        <v>88</v>
      </c>
      <c r="B114">
        <v>12</v>
      </c>
      <c r="C114" t="s">
        <v>16</v>
      </c>
      <c r="D114">
        <v>0</v>
      </c>
      <c r="E114">
        <v>0.62895711418241296</v>
      </c>
      <c r="F114">
        <v>1</v>
      </c>
      <c r="G114" s="1" t="s">
        <v>148</v>
      </c>
      <c r="H114" t="s">
        <v>148</v>
      </c>
      <c r="I114" t="s">
        <v>148</v>
      </c>
    </row>
    <row r="115" spans="1:9" x14ac:dyDescent="0.2">
      <c r="A115">
        <v>33</v>
      </c>
      <c r="B115">
        <v>10</v>
      </c>
      <c r="C115" t="s">
        <v>16</v>
      </c>
      <c r="D115">
        <v>0</v>
      </c>
      <c r="E115">
        <v>0.61527055187616497</v>
      </c>
      <c r="F115">
        <v>1</v>
      </c>
      <c r="G115" s="1" t="s">
        <v>149</v>
      </c>
      <c r="H115" t="s">
        <v>149</v>
      </c>
      <c r="I115" t="s">
        <v>149</v>
      </c>
    </row>
    <row r="116" spans="1:9" x14ac:dyDescent="0.2">
      <c r="A116">
        <v>88</v>
      </c>
      <c r="B116">
        <v>11</v>
      </c>
      <c r="C116" t="s">
        <v>10</v>
      </c>
      <c r="D116">
        <v>2</v>
      </c>
      <c r="E116">
        <v>0.58432733011432003</v>
      </c>
      <c r="F116">
        <v>1</v>
      </c>
      <c r="G116" s="1" t="s">
        <v>150</v>
      </c>
      <c r="H116" t="s">
        <v>150</v>
      </c>
      <c r="I116" t="s">
        <v>150</v>
      </c>
    </row>
    <row r="117" spans="1:9" x14ac:dyDescent="0.2">
      <c r="A117">
        <v>70</v>
      </c>
      <c r="B117">
        <v>0</v>
      </c>
      <c r="C117" t="s">
        <v>8</v>
      </c>
      <c r="D117">
        <v>0</v>
      </c>
      <c r="E117">
        <v>0.86184959812089801</v>
      </c>
      <c r="F117">
        <v>1</v>
      </c>
      <c r="G117" s="1" t="s">
        <v>151</v>
      </c>
      <c r="H117" t="s">
        <v>151</v>
      </c>
      <c r="I117" t="s">
        <v>151</v>
      </c>
    </row>
    <row r="118" spans="1:9" x14ac:dyDescent="0.2">
      <c r="A118">
        <v>26</v>
      </c>
      <c r="B118">
        <v>9</v>
      </c>
      <c r="C118" t="s">
        <v>10</v>
      </c>
      <c r="D118">
        <v>1</v>
      </c>
      <c r="E118">
        <v>0.77274514350574497</v>
      </c>
      <c r="F118">
        <v>1</v>
      </c>
      <c r="G118" s="1" t="s">
        <v>152</v>
      </c>
      <c r="H118" t="s">
        <v>152</v>
      </c>
      <c r="I118" t="s">
        <v>152</v>
      </c>
    </row>
    <row r="119" spans="1:9" x14ac:dyDescent="0.2">
      <c r="A119">
        <v>37</v>
      </c>
      <c r="B119">
        <v>5</v>
      </c>
      <c r="C119" t="s">
        <v>10</v>
      </c>
      <c r="D119">
        <v>1</v>
      </c>
      <c r="E119">
        <v>0.96210743580013502</v>
      </c>
      <c r="F119">
        <v>1</v>
      </c>
      <c r="G119" s="1" t="s">
        <v>153</v>
      </c>
      <c r="H119" t="s">
        <v>153</v>
      </c>
      <c r="I119" t="s">
        <v>153</v>
      </c>
    </row>
    <row r="120" spans="1:9" x14ac:dyDescent="0.2">
      <c r="A120">
        <v>83</v>
      </c>
      <c r="B120">
        <v>6</v>
      </c>
      <c r="C120" t="s">
        <v>8</v>
      </c>
      <c r="D120">
        <v>3</v>
      </c>
      <c r="E120">
        <v>0.67568333388771895</v>
      </c>
      <c r="F120">
        <v>2</v>
      </c>
      <c r="G120" s="1" t="s">
        <v>154</v>
      </c>
      <c r="H120" t="s">
        <v>155</v>
      </c>
      <c r="I120" t="s">
        <v>154</v>
      </c>
    </row>
    <row r="121" spans="1:9" x14ac:dyDescent="0.2">
      <c r="A121">
        <v>46</v>
      </c>
      <c r="B121">
        <v>1</v>
      </c>
      <c r="C121" t="s">
        <v>10</v>
      </c>
      <c r="D121">
        <v>0</v>
      </c>
      <c r="E121">
        <v>0.91256454016547695</v>
      </c>
      <c r="F121">
        <v>1</v>
      </c>
      <c r="G121" s="1" t="s">
        <v>156</v>
      </c>
      <c r="H121" t="s">
        <v>156</v>
      </c>
      <c r="I121" t="s">
        <v>156</v>
      </c>
    </row>
    <row r="122" spans="1:9" x14ac:dyDescent="0.2">
      <c r="A122">
        <v>50</v>
      </c>
      <c r="B122">
        <v>10</v>
      </c>
      <c r="C122" t="s">
        <v>16</v>
      </c>
      <c r="D122">
        <v>0</v>
      </c>
      <c r="E122">
        <v>0.80612748384010002</v>
      </c>
      <c r="F122">
        <v>1</v>
      </c>
      <c r="G122" s="1" t="s">
        <v>157</v>
      </c>
      <c r="H122" t="s">
        <v>157</v>
      </c>
      <c r="I122" t="s">
        <v>157</v>
      </c>
    </row>
    <row r="123" spans="1:9" x14ac:dyDescent="0.2">
      <c r="A123">
        <v>42</v>
      </c>
      <c r="B123">
        <v>3</v>
      </c>
      <c r="C123" t="s">
        <v>8</v>
      </c>
      <c r="D123">
        <v>1</v>
      </c>
      <c r="E123">
        <v>0.64818763814400904</v>
      </c>
      <c r="F123">
        <v>1</v>
      </c>
      <c r="G123" s="1" t="s">
        <v>158</v>
      </c>
      <c r="H123" t="s">
        <v>158</v>
      </c>
      <c r="I123" t="s">
        <v>158</v>
      </c>
    </row>
    <row r="124" spans="1:9" x14ac:dyDescent="0.2">
      <c r="A124">
        <v>33</v>
      </c>
      <c r="B124">
        <v>10</v>
      </c>
      <c r="C124" t="s">
        <v>8</v>
      </c>
      <c r="D124">
        <v>0</v>
      </c>
      <c r="E124">
        <v>0.79745267296675604</v>
      </c>
      <c r="F124">
        <v>1</v>
      </c>
      <c r="G124" s="1" t="s">
        <v>159</v>
      </c>
      <c r="H124" t="s">
        <v>159</v>
      </c>
      <c r="I124" t="s">
        <v>159</v>
      </c>
    </row>
    <row r="125" spans="1:9" x14ac:dyDescent="0.2">
      <c r="A125">
        <v>54</v>
      </c>
      <c r="B125">
        <v>8</v>
      </c>
      <c r="C125" t="s">
        <v>8</v>
      </c>
      <c r="D125">
        <v>1</v>
      </c>
      <c r="E125">
        <v>0.61685202107764803</v>
      </c>
      <c r="F125">
        <v>1</v>
      </c>
      <c r="G125" s="1" t="s">
        <v>160</v>
      </c>
      <c r="H125" t="s">
        <v>160</v>
      </c>
      <c r="I125" t="s">
        <v>160</v>
      </c>
    </row>
    <row r="126" spans="1:9" x14ac:dyDescent="0.2">
      <c r="A126">
        <v>86</v>
      </c>
      <c r="B126">
        <v>2</v>
      </c>
      <c r="C126" t="s">
        <v>8</v>
      </c>
      <c r="D126">
        <v>1</v>
      </c>
      <c r="E126">
        <v>0.92355879454407797</v>
      </c>
      <c r="F126">
        <v>1</v>
      </c>
      <c r="G126" s="1" t="s">
        <v>161</v>
      </c>
      <c r="H126" t="s">
        <v>161</v>
      </c>
      <c r="I126" t="s">
        <v>161</v>
      </c>
    </row>
    <row r="127" spans="1:9" x14ac:dyDescent="0.2">
      <c r="A127">
        <v>41</v>
      </c>
      <c r="B127">
        <v>6</v>
      </c>
      <c r="C127" t="s">
        <v>8</v>
      </c>
      <c r="D127">
        <v>0</v>
      </c>
      <c r="E127">
        <v>0.65245102508924901</v>
      </c>
      <c r="F127">
        <v>1</v>
      </c>
      <c r="G127" s="1" t="s">
        <v>162</v>
      </c>
      <c r="H127" t="s">
        <v>162</v>
      </c>
      <c r="I127" t="s">
        <v>162</v>
      </c>
    </row>
    <row r="128" spans="1:9" x14ac:dyDescent="0.2">
      <c r="A128">
        <v>52</v>
      </c>
      <c r="B128">
        <v>4</v>
      </c>
      <c r="C128" t="s">
        <v>10</v>
      </c>
      <c r="D128">
        <v>2</v>
      </c>
      <c r="E128">
        <v>0.66866902110632498</v>
      </c>
      <c r="F128">
        <v>1</v>
      </c>
      <c r="G128" s="1" t="s">
        <v>163</v>
      </c>
      <c r="H128" t="s">
        <v>163</v>
      </c>
      <c r="I128" t="s">
        <v>163</v>
      </c>
    </row>
    <row r="129" spans="1:9" x14ac:dyDescent="0.2">
      <c r="A129">
        <v>57</v>
      </c>
      <c r="B129">
        <v>4</v>
      </c>
      <c r="C129" t="s">
        <v>8</v>
      </c>
      <c r="D129">
        <v>0</v>
      </c>
      <c r="E129">
        <v>0.74262389948125895</v>
      </c>
      <c r="F129">
        <v>1</v>
      </c>
      <c r="G129" s="1" t="s">
        <v>164</v>
      </c>
      <c r="H129" t="s">
        <v>164</v>
      </c>
      <c r="I129" t="s">
        <v>164</v>
      </c>
    </row>
    <row r="130" spans="1:9" x14ac:dyDescent="0.2">
      <c r="A130">
        <v>41</v>
      </c>
      <c r="B130">
        <v>6</v>
      </c>
      <c r="C130" t="s">
        <v>16</v>
      </c>
      <c r="D130">
        <v>0</v>
      </c>
      <c r="E130">
        <v>0.86297012551221997</v>
      </c>
      <c r="F130">
        <v>2</v>
      </c>
      <c r="G130" s="1" t="s">
        <v>165</v>
      </c>
      <c r="H130" t="s">
        <v>166</v>
      </c>
      <c r="I130" t="s">
        <v>165</v>
      </c>
    </row>
    <row r="131" spans="1:9" x14ac:dyDescent="0.2">
      <c r="A131">
        <v>82</v>
      </c>
      <c r="B131">
        <v>3</v>
      </c>
      <c r="C131" t="s">
        <v>8</v>
      </c>
      <c r="D131">
        <v>1</v>
      </c>
      <c r="E131">
        <v>0.53335015475750003</v>
      </c>
      <c r="F131">
        <v>1</v>
      </c>
      <c r="G131" s="1" t="s">
        <v>167</v>
      </c>
      <c r="H131" t="s">
        <v>167</v>
      </c>
      <c r="I131" t="s">
        <v>167</v>
      </c>
    </row>
    <row r="132" spans="1:9" x14ac:dyDescent="0.2">
      <c r="A132">
        <v>46</v>
      </c>
      <c r="B132">
        <v>5</v>
      </c>
      <c r="C132" t="s">
        <v>16</v>
      </c>
      <c r="D132">
        <v>0</v>
      </c>
      <c r="E132">
        <v>0.76135787344537698</v>
      </c>
      <c r="F132">
        <v>1</v>
      </c>
      <c r="G132" s="1" t="s">
        <v>168</v>
      </c>
      <c r="H132" t="s">
        <v>168</v>
      </c>
      <c r="I132" t="s">
        <v>168</v>
      </c>
    </row>
    <row r="133" spans="1:9" x14ac:dyDescent="0.2">
      <c r="A133">
        <v>80</v>
      </c>
      <c r="B133">
        <v>2</v>
      </c>
      <c r="C133" t="s">
        <v>16</v>
      </c>
      <c r="D133">
        <v>1</v>
      </c>
      <c r="E133">
        <v>0.61398979229852602</v>
      </c>
      <c r="F133">
        <v>1</v>
      </c>
      <c r="G133" s="1" t="s">
        <v>169</v>
      </c>
      <c r="H133" t="s">
        <v>169</v>
      </c>
      <c r="I133" t="s">
        <v>169</v>
      </c>
    </row>
    <row r="134" spans="1:9" x14ac:dyDescent="0.2">
      <c r="A134">
        <v>59</v>
      </c>
      <c r="B134">
        <v>12</v>
      </c>
      <c r="C134" t="s">
        <v>10</v>
      </c>
      <c r="D134">
        <v>1</v>
      </c>
      <c r="E134">
        <v>0.61591647425666496</v>
      </c>
      <c r="F134">
        <v>1</v>
      </c>
      <c r="G134" s="1" t="s">
        <v>170</v>
      </c>
      <c r="H134" t="s">
        <v>170</v>
      </c>
      <c r="I134" t="s">
        <v>170</v>
      </c>
    </row>
    <row r="135" spans="1:9" x14ac:dyDescent="0.2">
      <c r="A135">
        <v>42</v>
      </c>
      <c r="B135">
        <v>14</v>
      </c>
      <c r="C135" t="s">
        <v>8</v>
      </c>
      <c r="D135">
        <v>0</v>
      </c>
      <c r="E135">
        <v>0.8683701941045</v>
      </c>
      <c r="F135">
        <v>1</v>
      </c>
      <c r="G135" s="1" t="s">
        <v>171</v>
      </c>
      <c r="H135" t="s">
        <v>171</v>
      </c>
      <c r="I135" t="s">
        <v>171</v>
      </c>
    </row>
    <row r="136" spans="1:9" x14ac:dyDescent="0.2">
      <c r="A136">
        <v>26</v>
      </c>
      <c r="B136">
        <v>14</v>
      </c>
      <c r="C136" t="s">
        <v>16</v>
      </c>
      <c r="D136">
        <v>0</v>
      </c>
      <c r="E136">
        <v>0.82857680378947396</v>
      </c>
      <c r="F136">
        <v>1</v>
      </c>
      <c r="G136" s="1" t="s">
        <v>172</v>
      </c>
      <c r="H136" t="s">
        <v>172</v>
      </c>
      <c r="I136" t="s">
        <v>172</v>
      </c>
    </row>
    <row r="137" spans="1:9" x14ac:dyDescent="0.2">
      <c r="A137">
        <v>53</v>
      </c>
      <c r="B137">
        <v>15</v>
      </c>
      <c r="C137" t="s">
        <v>8</v>
      </c>
      <c r="D137">
        <v>0</v>
      </c>
      <c r="E137">
        <v>0.71298241277690999</v>
      </c>
      <c r="F137">
        <v>1</v>
      </c>
      <c r="G137" s="1" t="s">
        <v>173</v>
      </c>
      <c r="H137" t="s">
        <v>173</v>
      </c>
      <c r="I137" t="s">
        <v>173</v>
      </c>
    </row>
    <row r="138" spans="1:9" x14ac:dyDescent="0.2">
      <c r="A138">
        <v>25</v>
      </c>
      <c r="B138">
        <v>4</v>
      </c>
      <c r="C138" t="s">
        <v>16</v>
      </c>
      <c r="D138">
        <v>1</v>
      </c>
      <c r="E138">
        <v>0.90582513343542803</v>
      </c>
      <c r="F138">
        <v>1</v>
      </c>
      <c r="G138" s="1" t="s">
        <v>174</v>
      </c>
      <c r="H138" t="s">
        <v>174</v>
      </c>
      <c r="I138" t="s">
        <v>174</v>
      </c>
    </row>
    <row r="139" spans="1:9" x14ac:dyDescent="0.2">
      <c r="A139">
        <v>38</v>
      </c>
      <c r="B139">
        <v>14</v>
      </c>
      <c r="C139" t="s">
        <v>16</v>
      </c>
      <c r="D139">
        <v>0</v>
      </c>
      <c r="E139">
        <v>0.99702549260109696</v>
      </c>
      <c r="F139">
        <v>1</v>
      </c>
      <c r="G139" s="1" t="s">
        <v>175</v>
      </c>
      <c r="H139" t="s">
        <v>175</v>
      </c>
      <c r="I139" t="s">
        <v>175</v>
      </c>
    </row>
    <row r="140" spans="1:9" x14ac:dyDescent="0.2">
      <c r="A140">
        <v>80</v>
      </c>
      <c r="B140">
        <v>2</v>
      </c>
      <c r="C140" t="s">
        <v>16</v>
      </c>
      <c r="D140">
        <v>0</v>
      </c>
      <c r="E140">
        <v>0.91372956719715104</v>
      </c>
      <c r="F140">
        <v>3</v>
      </c>
      <c r="G140" s="1" t="s">
        <v>176</v>
      </c>
      <c r="H140" t="s">
        <v>177</v>
      </c>
      <c r="I140" t="s">
        <v>176</v>
      </c>
    </row>
    <row r="141" spans="1:9" x14ac:dyDescent="0.2">
      <c r="A141">
        <v>69</v>
      </c>
      <c r="B141">
        <v>13</v>
      </c>
      <c r="C141" t="s">
        <v>8</v>
      </c>
      <c r="D141">
        <v>0</v>
      </c>
      <c r="E141">
        <v>0.820300590596162</v>
      </c>
      <c r="F141">
        <v>1</v>
      </c>
      <c r="G141" s="1" t="s">
        <v>178</v>
      </c>
      <c r="H141" t="s">
        <v>178</v>
      </c>
      <c r="I141" t="s">
        <v>178</v>
      </c>
    </row>
    <row r="142" spans="1:9" x14ac:dyDescent="0.2">
      <c r="A142">
        <v>29</v>
      </c>
      <c r="B142">
        <v>0</v>
      </c>
      <c r="C142" t="s">
        <v>8</v>
      </c>
      <c r="D142">
        <v>1</v>
      </c>
      <c r="E142">
        <v>0.94103759888093896</v>
      </c>
      <c r="F142">
        <v>1</v>
      </c>
      <c r="G142" s="1" t="s">
        <v>179</v>
      </c>
      <c r="H142" t="s">
        <v>179</v>
      </c>
      <c r="I142" t="s">
        <v>179</v>
      </c>
    </row>
    <row r="143" spans="1:9" x14ac:dyDescent="0.2">
      <c r="A143">
        <v>43</v>
      </c>
      <c r="B143">
        <v>5</v>
      </c>
      <c r="C143" t="s">
        <v>8</v>
      </c>
      <c r="D143">
        <v>0</v>
      </c>
      <c r="E143">
        <v>0.92126999795436904</v>
      </c>
      <c r="F143">
        <v>1</v>
      </c>
      <c r="G143" s="1" t="s">
        <v>180</v>
      </c>
      <c r="H143" t="s">
        <v>180</v>
      </c>
      <c r="I143" t="s">
        <v>180</v>
      </c>
    </row>
    <row r="144" spans="1:9" x14ac:dyDescent="0.2">
      <c r="A144">
        <v>82</v>
      </c>
      <c r="B144">
        <v>9</v>
      </c>
      <c r="C144" t="s">
        <v>8</v>
      </c>
      <c r="D144">
        <v>0</v>
      </c>
      <c r="E144">
        <v>0.64206686185207196</v>
      </c>
      <c r="F144">
        <v>1</v>
      </c>
      <c r="G144" s="1" t="s">
        <v>181</v>
      </c>
      <c r="H144" t="s">
        <v>181</v>
      </c>
      <c r="I144" t="s">
        <v>181</v>
      </c>
    </row>
    <row r="145" spans="1:9" x14ac:dyDescent="0.2">
      <c r="A145">
        <v>88</v>
      </c>
      <c r="B145">
        <v>14</v>
      </c>
      <c r="C145" t="s">
        <v>16</v>
      </c>
      <c r="D145">
        <v>0</v>
      </c>
      <c r="E145">
        <v>0.63088685704860803</v>
      </c>
      <c r="F145">
        <v>1</v>
      </c>
      <c r="G145" s="1" t="s">
        <v>182</v>
      </c>
      <c r="H145" t="s">
        <v>182</v>
      </c>
      <c r="I145" t="s">
        <v>182</v>
      </c>
    </row>
    <row r="146" spans="1:9" x14ac:dyDescent="0.2">
      <c r="A146">
        <v>51</v>
      </c>
      <c r="B146">
        <v>13</v>
      </c>
      <c r="C146" t="s">
        <v>8</v>
      </c>
      <c r="D146">
        <v>2</v>
      </c>
      <c r="E146">
        <v>0.91058465791866205</v>
      </c>
      <c r="F146">
        <v>1</v>
      </c>
      <c r="G146" s="1" t="s">
        <v>183</v>
      </c>
      <c r="H146" t="s">
        <v>183</v>
      </c>
      <c r="I146" t="s">
        <v>183</v>
      </c>
    </row>
    <row r="147" spans="1:9" x14ac:dyDescent="0.2">
      <c r="A147">
        <v>37</v>
      </c>
      <c r="B147">
        <v>4</v>
      </c>
      <c r="C147" t="s">
        <v>8</v>
      </c>
      <c r="D147">
        <v>0</v>
      </c>
      <c r="E147">
        <v>0.64968882291577801</v>
      </c>
      <c r="F147">
        <v>1</v>
      </c>
      <c r="G147" s="1" t="s">
        <v>184</v>
      </c>
      <c r="H147" t="s">
        <v>184</v>
      </c>
      <c r="I147" t="s">
        <v>184</v>
      </c>
    </row>
    <row r="148" spans="1:9" x14ac:dyDescent="0.2">
      <c r="A148">
        <v>25</v>
      </c>
      <c r="B148">
        <v>11</v>
      </c>
      <c r="C148" t="s">
        <v>8</v>
      </c>
      <c r="D148">
        <v>0</v>
      </c>
      <c r="E148">
        <v>0.98453369038179495</v>
      </c>
      <c r="F148">
        <v>1</v>
      </c>
      <c r="G148" s="1" t="s">
        <v>185</v>
      </c>
      <c r="H148" t="s">
        <v>185</v>
      </c>
      <c r="I148" t="s">
        <v>185</v>
      </c>
    </row>
    <row r="149" spans="1:9" x14ac:dyDescent="0.2">
      <c r="A149">
        <v>66</v>
      </c>
      <c r="B149">
        <v>12</v>
      </c>
      <c r="C149" t="s">
        <v>16</v>
      </c>
      <c r="D149">
        <v>0</v>
      </c>
      <c r="E149">
        <v>0.78620162676088501</v>
      </c>
      <c r="F149">
        <v>2</v>
      </c>
      <c r="G149" s="1" t="s">
        <v>186</v>
      </c>
      <c r="H149" t="s">
        <v>187</v>
      </c>
      <c r="I149" t="s">
        <v>186</v>
      </c>
    </row>
    <row r="150" spans="1:9" x14ac:dyDescent="0.2">
      <c r="A150">
        <v>34</v>
      </c>
      <c r="B150">
        <v>6</v>
      </c>
      <c r="C150" t="s">
        <v>8</v>
      </c>
      <c r="D150">
        <v>0</v>
      </c>
      <c r="E150">
        <v>0.80121826496906601</v>
      </c>
      <c r="F150">
        <v>2</v>
      </c>
      <c r="G150" s="1" t="s">
        <v>188</v>
      </c>
      <c r="H150" t="s">
        <v>189</v>
      </c>
      <c r="I150" t="s">
        <v>188</v>
      </c>
    </row>
    <row r="151" spans="1:9" x14ac:dyDescent="0.2">
      <c r="A151">
        <v>68</v>
      </c>
      <c r="B151">
        <v>13</v>
      </c>
      <c r="C151" t="s">
        <v>8</v>
      </c>
      <c r="D151">
        <v>2</v>
      </c>
      <c r="E151">
        <v>0.95169593440368805</v>
      </c>
      <c r="F151">
        <v>3</v>
      </c>
      <c r="G151" s="1" t="s">
        <v>190</v>
      </c>
      <c r="H151" t="s">
        <v>191</v>
      </c>
      <c r="I151" t="s">
        <v>190</v>
      </c>
    </row>
    <row r="152" spans="1:9" x14ac:dyDescent="0.2">
      <c r="A152">
        <v>85</v>
      </c>
      <c r="B152">
        <v>6</v>
      </c>
      <c r="C152" t="s">
        <v>8</v>
      </c>
      <c r="D152">
        <v>1</v>
      </c>
      <c r="E152">
        <v>0.71212846157140997</v>
      </c>
      <c r="F152">
        <v>1</v>
      </c>
      <c r="G152" s="1" t="s">
        <v>192</v>
      </c>
      <c r="H152" t="s">
        <v>192</v>
      </c>
      <c r="I152" t="s">
        <v>192</v>
      </c>
    </row>
    <row r="153" spans="1:9" x14ac:dyDescent="0.2">
      <c r="A153">
        <v>78</v>
      </c>
      <c r="B153">
        <v>10</v>
      </c>
      <c r="C153" t="s">
        <v>16</v>
      </c>
      <c r="D153">
        <v>0</v>
      </c>
      <c r="E153">
        <v>0.65929320815485004</v>
      </c>
      <c r="F153">
        <v>2</v>
      </c>
      <c r="G153" s="1" t="s">
        <v>193</v>
      </c>
      <c r="H153" t="s">
        <v>194</v>
      </c>
      <c r="I153" t="s">
        <v>193</v>
      </c>
    </row>
    <row r="154" spans="1:9" x14ac:dyDescent="0.2">
      <c r="A154">
        <v>23</v>
      </c>
      <c r="B154">
        <v>14</v>
      </c>
      <c r="C154" t="s">
        <v>10</v>
      </c>
      <c r="D154">
        <v>0</v>
      </c>
      <c r="E154">
        <v>0.85455438785720605</v>
      </c>
      <c r="F154">
        <v>1</v>
      </c>
      <c r="G154" s="1" t="s">
        <v>195</v>
      </c>
      <c r="H154" t="s">
        <v>195</v>
      </c>
      <c r="I154" t="s">
        <v>195</v>
      </c>
    </row>
    <row r="155" spans="1:9" x14ac:dyDescent="0.2">
      <c r="A155">
        <v>89</v>
      </c>
      <c r="B155">
        <v>3</v>
      </c>
      <c r="C155" t="s">
        <v>10</v>
      </c>
      <c r="D155">
        <v>0</v>
      </c>
      <c r="E155">
        <v>0.84808780078310497</v>
      </c>
      <c r="F155">
        <v>1</v>
      </c>
      <c r="G155" s="1" t="s">
        <v>196</v>
      </c>
      <c r="H155" t="s">
        <v>196</v>
      </c>
      <c r="I155" t="s">
        <v>196</v>
      </c>
    </row>
    <row r="156" spans="1:9" x14ac:dyDescent="0.2">
      <c r="A156">
        <v>75</v>
      </c>
      <c r="B156">
        <v>9</v>
      </c>
      <c r="C156" t="s">
        <v>8</v>
      </c>
      <c r="D156">
        <v>0</v>
      </c>
      <c r="E156">
        <v>0.55675467685796298</v>
      </c>
      <c r="F156">
        <v>1</v>
      </c>
      <c r="G156" s="1" t="s">
        <v>197</v>
      </c>
      <c r="H156" t="s">
        <v>197</v>
      </c>
      <c r="I156" t="s">
        <v>197</v>
      </c>
    </row>
    <row r="157" spans="1:9" x14ac:dyDescent="0.2">
      <c r="A157">
        <v>24</v>
      </c>
      <c r="B157">
        <v>4</v>
      </c>
      <c r="C157" t="s">
        <v>8</v>
      </c>
      <c r="D157">
        <v>0</v>
      </c>
      <c r="E157">
        <v>0.55846472084522203</v>
      </c>
      <c r="F157">
        <v>1</v>
      </c>
      <c r="G157" s="1" t="s">
        <v>198</v>
      </c>
      <c r="H157" t="s">
        <v>198</v>
      </c>
      <c r="I157" t="s">
        <v>198</v>
      </c>
    </row>
    <row r="158" spans="1:9" x14ac:dyDescent="0.2">
      <c r="A158">
        <v>31</v>
      </c>
      <c r="B158">
        <v>10</v>
      </c>
      <c r="C158" t="s">
        <v>10</v>
      </c>
      <c r="D158">
        <v>0</v>
      </c>
      <c r="E158">
        <v>0.81785217439755797</v>
      </c>
      <c r="F158">
        <v>1</v>
      </c>
      <c r="G158" s="1" t="s">
        <v>199</v>
      </c>
      <c r="H158" t="s">
        <v>199</v>
      </c>
      <c r="I158" t="s">
        <v>199</v>
      </c>
    </row>
    <row r="159" spans="1:9" x14ac:dyDescent="0.2">
      <c r="A159">
        <v>57</v>
      </c>
      <c r="B159">
        <v>15</v>
      </c>
      <c r="C159" t="s">
        <v>8</v>
      </c>
      <c r="D159">
        <v>0</v>
      </c>
      <c r="E159">
        <v>0.90058636944741</v>
      </c>
      <c r="F159">
        <v>1</v>
      </c>
      <c r="G159" s="1" t="s">
        <v>200</v>
      </c>
      <c r="H159" t="s">
        <v>200</v>
      </c>
      <c r="I159" t="s">
        <v>200</v>
      </c>
    </row>
    <row r="160" spans="1:9" x14ac:dyDescent="0.2">
      <c r="A160">
        <v>51</v>
      </c>
      <c r="B160">
        <v>8</v>
      </c>
      <c r="C160" t="s">
        <v>10</v>
      </c>
      <c r="D160">
        <v>1</v>
      </c>
      <c r="E160">
        <v>0.66433537681586996</v>
      </c>
      <c r="F160">
        <v>1</v>
      </c>
      <c r="G160" s="1" t="s">
        <v>201</v>
      </c>
      <c r="H160" t="s">
        <v>201</v>
      </c>
      <c r="I160" t="s">
        <v>201</v>
      </c>
    </row>
    <row r="161" spans="1:9" x14ac:dyDescent="0.2">
      <c r="A161">
        <v>46</v>
      </c>
      <c r="B161">
        <v>11</v>
      </c>
      <c r="C161" t="s">
        <v>16</v>
      </c>
      <c r="D161">
        <v>1</v>
      </c>
      <c r="E161">
        <v>0.85424982802942395</v>
      </c>
      <c r="F161">
        <v>1</v>
      </c>
      <c r="G161" s="1" t="s">
        <v>202</v>
      </c>
      <c r="H161" t="s">
        <v>202</v>
      </c>
      <c r="I161" t="s">
        <v>202</v>
      </c>
    </row>
    <row r="162" spans="1:9" x14ac:dyDescent="0.2">
      <c r="A162">
        <v>71</v>
      </c>
      <c r="B162">
        <v>14</v>
      </c>
      <c r="C162" t="s">
        <v>10</v>
      </c>
      <c r="D162">
        <v>0</v>
      </c>
      <c r="E162">
        <v>0.64560385362710804</v>
      </c>
      <c r="F162">
        <v>4</v>
      </c>
      <c r="G162" s="1" t="s">
        <v>203</v>
      </c>
      <c r="H162" t="s">
        <v>204</v>
      </c>
      <c r="I162" t="s">
        <v>203</v>
      </c>
    </row>
    <row r="163" spans="1:9" x14ac:dyDescent="0.2">
      <c r="A163">
        <v>51</v>
      </c>
      <c r="B163">
        <v>11</v>
      </c>
      <c r="C163" t="s">
        <v>8</v>
      </c>
      <c r="D163">
        <v>0</v>
      </c>
      <c r="E163">
        <v>0.68718456476926804</v>
      </c>
      <c r="F163">
        <v>1</v>
      </c>
      <c r="G163" s="1" t="s">
        <v>205</v>
      </c>
      <c r="H163" t="s">
        <v>205</v>
      </c>
      <c r="I163" t="s">
        <v>205</v>
      </c>
    </row>
    <row r="164" spans="1:9" x14ac:dyDescent="0.2">
      <c r="A164">
        <v>73</v>
      </c>
      <c r="B164">
        <v>14</v>
      </c>
      <c r="C164" t="s">
        <v>8</v>
      </c>
      <c r="D164">
        <v>0</v>
      </c>
      <c r="E164">
        <v>0.51063093647826496</v>
      </c>
      <c r="F164">
        <v>1</v>
      </c>
      <c r="G164" s="1" t="s">
        <v>206</v>
      </c>
      <c r="H164" t="s">
        <v>206</v>
      </c>
      <c r="I164" t="s">
        <v>206</v>
      </c>
    </row>
    <row r="165" spans="1:9" x14ac:dyDescent="0.2">
      <c r="A165">
        <v>23</v>
      </c>
      <c r="B165">
        <v>0</v>
      </c>
      <c r="C165" t="s">
        <v>16</v>
      </c>
      <c r="D165">
        <v>0</v>
      </c>
      <c r="E165">
        <v>0.97768985934089903</v>
      </c>
      <c r="F165">
        <v>1</v>
      </c>
      <c r="G165" s="1" t="s">
        <v>207</v>
      </c>
      <c r="H165" t="s">
        <v>207</v>
      </c>
      <c r="I165" t="s">
        <v>207</v>
      </c>
    </row>
    <row r="166" spans="1:9" x14ac:dyDescent="0.2">
      <c r="A166">
        <v>77</v>
      </c>
      <c r="B166">
        <v>8</v>
      </c>
      <c r="C166" t="s">
        <v>16</v>
      </c>
      <c r="D166">
        <v>1</v>
      </c>
      <c r="E166">
        <v>0.51511269283946604</v>
      </c>
      <c r="F166">
        <v>1</v>
      </c>
      <c r="G166" s="1" t="s">
        <v>208</v>
      </c>
      <c r="H166" t="s">
        <v>208</v>
      </c>
      <c r="I166" t="s">
        <v>208</v>
      </c>
    </row>
    <row r="167" spans="1:9" x14ac:dyDescent="0.2">
      <c r="A167">
        <v>44</v>
      </c>
      <c r="B167">
        <v>7</v>
      </c>
      <c r="C167" t="s">
        <v>8</v>
      </c>
      <c r="D167">
        <v>1</v>
      </c>
      <c r="E167">
        <v>0.51482073543593299</v>
      </c>
      <c r="F167">
        <v>1</v>
      </c>
      <c r="G167" s="1" t="s">
        <v>209</v>
      </c>
      <c r="H167" t="s">
        <v>209</v>
      </c>
      <c r="I167" t="s">
        <v>209</v>
      </c>
    </row>
    <row r="168" spans="1:9" x14ac:dyDescent="0.2">
      <c r="A168">
        <v>67</v>
      </c>
      <c r="B168">
        <v>13</v>
      </c>
      <c r="C168" t="s">
        <v>16</v>
      </c>
      <c r="D168">
        <v>0</v>
      </c>
      <c r="E168">
        <v>0.95681243180297304</v>
      </c>
      <c r="F168">
        <v>1</v>
      </c>
      <c r="G168" s="1" t="s">
        <v>210</v>
      </c>
      <c r="H168" t="s">
        <v>210</v>
      </c>
      <c r="I168" t="s">
        <v>210</v>
      </c>
    </row>
    <row r="169" spans="1:9" x14ac:dyDescent="0.2">
      <c r="A169">
        <v>83</v>
      </c>
      <c r="B169">
        <v>6</v>
      </c>
      <c r="C169" t="s">
        <v>16</v>
      </c>
      <c r="D169">
        <v>2</v>
      </c>
      <c r="E169">
        <v>0.94333879579789903</v>
      </c>
      <c r="F169">
        <v>1</v>
      </c>
      <c r="G169" s="1" t="s">
        <v>211</v>
      </c>
      <c r="H169" t="s">
        <v>211</v>
      </c>
      <c r="I169" t="s">
        <v>211</v>
      </c>
    </row>
    <row r="170" spans="1:9" x14ac:dyDescent="0.2">
      <c r="A170">
        <v>86</v>
      </c>
      <c r="B170">
        <v>10</v>
      </c>
      <c r="C170" t="s">
        <v>10</v>
      </c>
      <c r="D170">
        <v>2</v>
      </c>
      <c r="E170">
        <v>0.815796413342468</v>
      </c>
      <c r="F170">
        <v>2</v>
      </c>
      <c r="G170" s="1" t="s">
        <v>212</v>
      </c>
      <c r="H170" t="s">
        <v>213</v>
      </c>
      <c r="I170" t="s">
        <v>212</v>
      </c>
    </row>
    <row r="171" spans="1:9" x14ac:dyDescent="0.2">
      <c r="A171">
        <v>50</v>
      </c>
      <c r="B171">
        <v>9</v>
      </c>
      <c r="C171" t="s">
        <v>16</v>
      </c>
      <c r="D171">
        <v>0</v>
      </c>
      <c r="E171">
        <v>0.73751410108525295</v>
      </c>
      <c r="F171">
        <v>1</v>
      </c>
      <c r="G171" s="1" t="s">
        <v>214</v>
      </c>
      <c r="H171" t="s">
        <v>214</v>
      </c>
      <c r="I171" t="s">
        <v>214</v>
      </c>
    </row>
    <row r="172" spans="1:9" x14ac:dyDescent="0.2">
      <c r="A172">
        <v>77</v>
      </c>
      <c r="B172">
        <v>14</v>
      </c>
      <c r="C172" t="s">
        <v>8</v>
      </c>
      <c r="D172">
        <v>1</v>
      </c>
      <c r="E172">
        <v>0.65740710706450001</v>
      </c>
      <c r="F172">
        <v>2</v>
      </c>
      <c r="G172" s="1" t="s">
        <v>215</v>
      </c>
      <c r="H172" t="s">
        <v>216</v>
      </c>
      <c r="I172" t="s">
        <v>215</v>
      </c>
    </row>
    <row r="173" spans="1:9" x14ac:dyDescent="0.2">
      <c r="A173">
        <v>71</v>
      </c>
      <c r="B173">
        <v>14</v>
      </c>
      <c r="C173" t="s">
        <v>16</v>
      </c>
      <c r="D173">
        <v>0</v>
      </c>
      <c r="E173">
        <v>0.73991507105529297</v>
      </c>
      <c r="F173">
        <v>2</v>
      </c>
      <c r="G173" s="1" t="s">
        <v>217</v>
      </c>
      <c r="H173" t="s">
        <v>218</v>
      </c>
      <c r="I173" t="s">
        <v>217</v>
      </c>
    </row>
    <row r="174" spans="1:9" x14ac:dyDescent="0.2">
      <c r="A174">
        <v>38</v>
      </c>
      <c r="B174">
        <v>10</v>
      </c>
      <c r="C174" t="s">
        <v>8</v>
      </c>
      <c r="D174">
        <v>0</v>
      </c>
      <c r="E174">
        <v>0.74476612103171602</v>
      </c>
      <c r="F174">
        <v>1</v>
      </c>
      <c r="G174" s="1" t="s">
        <v>219</v>
      </c>
      <c r="H174" t="s">
        <v>219</v>
      </c>
      <c r="I174" t="s">
        <v>219</v>
      </c>
    </row>
    <row r="175" spans="1:9" x14ac:dyDescent="0.2">
      <c r="A175">
        <v>24</v>
      </c>
      <c r="B175">
        <v>11</v>
      </c>
      <c r="C175" t="s">
        <v>16</v>
      </c>
      <c r="D175">
        <v>0</v>
      </c>
      <c r="E175">
        <v>0.96767770103178896</v>
      </c>
      <c r="F175">
        <v>2</v>
      </c>
      <c r="G175" s="1" t="s">
        <v>220</v>
      </c>
      <c r="H175" t="s">
        <v>221</v>
      </c>
      <c r="I175" t="s">
        <v>220</v>
      </c>
    </row>
    <row r="176" spans="1:9" x14ac:dyDescent="0.2">
      <c r="A176">
        <v>80</v>
      </c>
      <c r="B176">
        <v>2</v>
      </c>
      <c r="C176" t="s">
        <v>16</v>
      </c>
      <c r="D176">
        <v>3</v>
      </c>
      <c r="E176">
        <v>0.80727581505197998</v>
      </c>
      <c r="F176">
        <v>3</v>
      </c>
      <c r="G176" s="1" t="s">
        <v>222</v>
      </c>
      <c r="H176" t="s">
        <v>223</v>
      </c>
      <c r="I176" t="s">
        <v>222</v>
      </c>
    </row>
    <row r="177" spans="1:9" x14ac:dyDescent="0.2">
      <c r="A177">
        <v>76</v>
      </c>
      <c r="B177">
        <v>5</v>
      </c>
      <c r="C177" t="s">
        <v>8</v>
      </c>
      <c r="D177">
        <v>0</v>
      </c>
      <c r="E177">
        <v>0.67078780545853101</v>
      </c>
      <c r="F177">
        <v>1</v>
      </c>
      <c r="G177" s="1" t="s">
        <v>224</v>
      </c>
      <c r="H177" t="s">
        <v>224</v>
      </c>
      <c r="I177" t="s">
        <v>224</v>
      </c>
    </row>
    <row r="178" spans="1:9" x14ac:dyDescent="0.2">
      <c r="A178">
        <v>60</v>
      </c>
      <c r="B178">
        <v>3</v>
      </c>
      <c r="C178" t="s">
        <v>8</v>
      </c>
      <c r="D178">
        <v>1</v>
      </c>
      <c r="E178">
        <v>0.79682715784292701</v>
      </c>
      <c r="F178">
        <v>1</v>
      </c>
      <c r="G178" s="1" t="s">
        <v>225</v>
      </c>
      <c r="H178" t="s">
        <v>225</v>
      </c>
      <c r="I178" t="s">
        <v>225</v>
      </c>
    </row>
    <row r="179" spans="1:9" x14ac:dyDescent="0.2">
      <c r="A179">
        <v>56</v>
      </c>
      <c r="B179">
        <v>13</v>
      </c>
      <c r="C179" t="s">
        <v>16</v>
      </c>
      <c r="D179">
        <v>0</v>
      </c>
      <c r="E179">
        <v>0.57012449647299901</v>
      </c>
      <c r="F179">
        <v>1</v>
      </c>
      <c r="G179" s="1" t="s">
        <v>226</v>
      </c>
      <c r="H179" t="s">
        <v>226</v>
      </c>
      <c r="I179" t="s">
        <v>226</v>
      </c>
    </row>
    <row r="180" spans="1:9" x14ac:dyDescent="0.2">
      <c r="A180">
        <v>19</v>
      </c>
      <c r="B180">
        <v>5</v>
      </c>
      <c r="C180" t="s">
        <v>16</v>
      </c>
      <c r="D180">
        <v>0</v>
      </c>
      <c r="E180">
        <v>0.97472626483067903</v>
      </c>
      <c r="F180">
        <v>1</v>
      </c>
      <c r="G180" s="1" t="s">
        <v>227</v>
      </c>
      <c r="H180" t="s">
        <v>227</v>
      </c>
      <c r="I180" t="s">
        <v>227</v>
      </c>
    </row>
    <row r="181" spans="1:9" x14ac:dyDescent="0.2">
      <c r="A181">
        <v>85</v>
      </c>
      <c r="B181">
        <v>13</v>
      </c>
      <c r="C181" t="s">
        <v>16</v>
      </c>
      <c r="D181">
        <v>1</v>
      </c>
      <c r="E181">
        <v>0.89031740196514897</v>
      </c>
      <c r="F181">
        <v>3</v>
      </c>
      <c r="G181" s="1" t="s">
        <v>228</v>
      </c>
      <c r="H181" t="s">
        <v>229</v>
      </c>
      <c r="I181" t="s">
        <v>228</v>
      </c>
    </row>
    <row r="182" spans="1:9" x14ac:dyDescent="0.2">
      <c r="A182">
        <v>46</v>
      </c>
      <c r="B182">
        <v>6</v>
      </c>
      <c r="C182" t="s">
        <v>10</v>
      </c>
      <c r="D182">
        <v>0</v>
      </c>
      <c r="E182">
        <v>0.99855707120150305</v>
      </c>
      <c r="F182">
        <v>1</v>
      </c>
      <c r="G182" s="1" t="s">
        <v>230</v>
      </c>
      <c r="H182" t="s">
        <v>230</v>
      </c>
      <c r="I182" t="s">
        <v>230</v>
      </c>
    </row>
    <row r="183" spans="1:9" x14ac:dyDescent="0.2">
      <c r="A183">
        <v>76</v>
      </c>
      <c r="B183">
        <v>2</v>
      </c>
      <c r="C183" t="s">
        <v>8</v>
      </c>
      <c r="D183">
        <v>0</v>
      </c>
      <c r="E183">
        <v>0.72912481392268103</v>
      </c>
      <c r="F183">
        <v>1</v>
      </c>
      <c r="G183" s="1" t="s">
        <v>231</v>
      </c>
      <c r="H183" t="s">
        <v>231</v>
      </c>
      <c r="I183" t="s">
        <v>231</v>
      </c>
    </row>
    <row r="184" spans="1:9" x14ac:dyDescent="0.2">
      <c r="A184">
        <v>82</v>
      </c>
      <c r="B184">
        <v>10</v>
      </c>
      <c r="C184" t="s">
        <v>8</v>
      </c>
      <c r="D184">
        <v>0</v>
      </c>
      <c r="E184">
        <v>0.92772241414058998</v>
      </c>
      <c r="F184">
        <v>1</v>
      </c>
      <c r="G184" s="1" t="s">
        <v>232</v>
      </c>
      <c r="H184" t="s">
        <v>232</v>
      </c>
      <c r="I184" t="s">
        <v>232</v>
      </c>
    </row>
    <row r="185" spans="1:9" x14ac:dyDescent="0.2">
      <c r="A185">
        <v>60</v>
      </c>
      <c r="B185">
        <v>10</v>
      </c>
      <c r="C185" t="s">
        <v>16</v>
      </c>
      <c r="D185">
        <v>1</v>
      </c>
      <c r="E185">
        <v>0.85792603902518705</v>
      </c>
      <c r="F185">
        <v>1</v>
      </c>
      <c r="G185" s="1" t="s">
        <v>233</v>
      </c>
      <c r="H185" t="s">
        <v>233</v>
      </c>
      <c r="I185" t="s">
        <v>233</v>
      </c>
    </row>
    <row r="186" spans="1:9" x14ac:dyDescent="0.2">
      <c r="A186">
        <v>59</v>
      </c>
      <c r="B186">
        <v>8</v>
      </c>
      <c r="C186" t="s">
        <v>16</v>
      </c>
      <c r="D186">
        <v>0</v>
      </c>
      <c r="E186">
        <v>0.90478027227800295</v>
      </c>
      <c r="F186">
        <v>2</v>
      </c>
      <c r="G186" s="1" t="s">
        <v>234</v>
      </c>
      <c r="H186" t="s">
        <v>235</v>
      </c>
      <c r="I186" t="s">
        <v>234</v>
      </c>
    </row>
    <row r="187" spans="1:9" x14ac:dyDescent="0.2">
      <c r="A187">
        <v>53</v>
      </c>
      <c r="B187">
        <v>11</v>
      </c>
      <c r="C187" t="s">
        <v>8</v>
      </c>
      <c r="D187">
        <v>2</v>
      </c>
      <c r="E187">
        <v>0.90890787588432398</v>
      </c>
      <c r="F187">
        <v>1</v>
      </c>
      <c r="G187" s="1" t="s">
        <v>236</v>
      </c>
      <c r="H187" t="s">
        <v>236</v>
      </c>
      <c r="I187" t="s">
        <v>236</v>
      </c>
    </row>
    <row r="188" spans="1:9" x14ac:dyDescent="0.2">
      <c r="A188">
        <v>81</v>
      </c>
      <c r="B188">
        <v>12</v>
      </c>
      <c r="C188" t="s">
        <v>8</v>
      </c>
      <c r="D188">
        <v>0</v>
      </c>
      <c r="E188">
        <v>0.70919784170109801</v>
      </c>
      <c r="F188">
        <v>1</v>
      </c>
      <c r="G188" s="1" t="s">
        <v>237</v>
      </c>
      <c r="H188" t="s">
        <v>237</v>
      </c>
      <c r="I188" t="s">
        <v>237</v>
      </c>
    </row>
    <row r="189" spans="1:9" x14ac:dyDescent="0.2">
      <c r="A189">
        <v>79</v>
      </c>
      <c r="B189">
        <v>8</v>
      </c>
      <c r="C189" t="s">
        <v>16</v>
      </c>
      <c r="D189">
        <v>1</v>
      </c>
      <c r="E189">
        <v>0.633555531734601</v>
      </c>
      <c r="F189">
        <v>2</v>
      </c>
      <c r="G189" s="1" t="s">
        <v>238</v>
      </c>
      <c r="H189" t="s">
        <v>239</v>
      </c>
      <c r="I189" t="s">
        <v>238</v>
      </c>
    </row>
    <row r="190" spans="1:9" x14ac:dyDescent="0.2">
      <c r="A190">
        <v>44</v>
      </c>
      <c r="B190">
        <v>11</v>
      </c>
      <c r="C190" t="s">
        <v>8</v>
      </c>
      <c r="D190">
        <v>0</v>
      </c>
      <c r="E190">
        <v>0.74311877309810404</v>
      </c>
      <c r="F190">
        <v>2</v>
      </c>
      <c r="G190" s="1" t="s">
        <v>240</v>
      </c>
      <c r="H190" t="s">
        <v>241</v>
      </c>
      <c r="I190" t="s">
        <v>240</v>
      </c>
    </row>
    <row r="191" spans="1:9" x14ac:dyDescent="0.2">
      <c r="A191">
        <v>22</v>
      </c>
      <c r="B191">
        <v>4</v>
      </c>
      <c r="C191" t="s">
        <v>8</v>
      </c>
      <c r="D191">
        <v>0</v>
      </c>
      <c r="E191">
        <v>0.73749001149553794</v>
      </c>
      <c r="F191">
        <v>1</v>
      </c>
      <c r="G191" s="1" t="s">
        <v>242</v>
      </c>
      <c r="H191" t="s">
        <v>242</v>
      </c>
      <c r="I191" t="s">
        <v>242</v>
      </c>
    </row>
    <row r="192" spans="1:9" x14ac:dyDescent="0.2">
      <c r="A192">
        <v>27</v>
      </c>
      <c r="B192">
        <v>7</v>
      </c>
      <c r="C192" t="s">
        <v>8</v>
      </c>
      <c r="D192">
        <v>0</v>
      </c>
      <c r="E192">
        <v>0.74192119645886101</v>
      </c>
      <c r="F192">
        <v>1</v>
      </c>
      <c r="G192" s="1" t="s">
        <v>243</v>
      </c>
      <c r="H192" t="s">
        <v>243</v>
      </c>
      <c r="I192" t="s">
        <v>243</v>
      </c>
    </row>
    <row r="193" spans="1:9" x14ac:dyDescent="0.2">
      <c r="A193">
        <v>24</v>
      </c>
      <c r="B193">
        <v>6</v>
      </c>
      <c r="C193" t="s">
        <v>10</v>
      </c>
      <c r="D193">
        <v>0</v>
      </c>
      <c r="E193">
        <v>0.85094006813596901</v>
      </c>
      <c r="F193">
        <v>1</v>
      </c>
      <c r="G193" s="1" t="s">
        <v>244</v>
      </c>
      <c r="H193" t="s">
        <v>244</v>
      </c>
      <c r="I193" t="s">
        <v>244</v>
      </c>
    </row>
    <row r="194" spans="1:9" x14ac:dyDescent="0.2">
      <c r="A194">
        <v>35</v>
      </c>
      <c r="B194">
        <v>9</v>
      </c>
      <c r="C194" t="s">
        <v>8</v>
      </c>
      <c r="D194">
        <v>1</v>
      </c>
      <c r="E194">
        <v>0.847106766072102</v>
      </c>
      <c r="F194">
        <v>1</v>
      </c>
      <c r="G194" s="1" t="s">
        <v>245</v>
      </c>
      <c r="H194" t="s">
        <v>245</v>
      </c>
      <c r="I194" t="s">
        <v>245</v>
      </c>
    </row>
    <row r="195" spans="1:9" x14ac:dyDescent="0.2">
      <c r="A195">
        <v>76</v>
      </c>
      <c r="B195">
        <v>10</v>
      </c>
      <c r="C195" t="s">
        <v>8</v>
      </c>
      <c r="D195">
        <v>1</v>
      </c>
      <c r="E195">
        <v>0.73848077212460295</v>
      </c>
      <c r="F195">
        <v>4</v>
      </c>
      <c r="G195" s="1" t="s">
        <v>246</v>
      </c>
      <c r="H195" t="s">
        <v>247</v>
      </c>
      <c r="I195" t="s">
        <v>246</v>
      </c>
    </row>
    <row r="196" spans="1:9" x14ac:dyDescent="0.2">
      <c r="A196">
        <v>77</v>
      </c>
      <c r="B196">
        <v>12</v>
      </c>
      <c r="C196" t="s">
        <v>8</v>
      </c>
      <c r="D196">
        <v>0</v>
      </c>
      <c r="E196">
        <v>0.885539042763412</v>
      </c>
      <c r="F196">
        <v>1</v>
      </c>
      <c r="G196" s="1" t="s">
        <v>248</v>
      </c>
      <c r="H196" t="s">
        <v>248</v>
      </c>
      <c r="I196" t="s">
        <v>248</v>
      </c>
    </row>
    <row r="197" spans="1:9" x14ac:dyDescent="0.2">
      <c r="A197">
        <v>25</v>
      </c>
      <c r="B197">
        <v>10</v>
      </c>
      <c r="C197" t="s">
        <v>16</v>
      </c>
      <c r="D197">
        <v>0</v>
      </c>
      <c r="E197">
        <v>0.78038117918185901</v>
      </c>
      <c r="F197">
        <v>1</v>
      </c>
      <c r="G197" s="1" t="s">
        <v>249</v>
      </c>
      <c r="H197" t="s">
        <v>249</v>
      </c>
      <c r="I197" t="s">
        <v>249</v>
      </c>
    </row>
    <row r="198" spans="1:9" x14ac:dyDescent="0.2">
      <c r="A198">
        <v>60</v>
      </c>
      <c r="B198">
        <v>12</v>
      </c>
      <c r="C198" t="s">
        <v>10</v>
      </c>
      <c r="D198">
        <v>0</v>
      </c>
      <c r="E198">
        <v>0.86576987069565803</v>
      </c>
      <c r="F198">
        <v>1</v>
      </c>
      <c r="G198" s="1" t="s">
        <v>250</v>
      </c>
      <c r="H198" t="s">
        <v>250</v>
      </c>
      <c r="I198" t="s">
        <v>250</v>
      </c>
    </row>
    <row r="199" spans="1:9" x14ac:dyDescent="0.2">
      <c r="A199">
        <v>74</v>
      </c>
      <c r="B199">
        <v>13</v>
      </c>
      <c r="C199" t="s">
        <v>16</v>
      </c>
      <c r="D199">
        <v>0</v>
      </c>
      <c r="E199">
        <v>0.87003449560143098</v>
      </c>
      <c r="F199">
        <v>1</v>
      </c>
      <c r="G199" s="1" t="s">
        <v>251</v>
      </c>
      <c r="H199" t="s">
        <v>251</v>
      </c>
      <c r="I199" t="s">
        <v>251</v>
      </c>
    </row>
    <row r="200" spans="1:9" x14ac:dyDescent="0.2">
      <c r="A200">
        <v>72</v>
      </c>
      <c r="B200">
        <v>10</v>
      </c>
      <c r="C200" t="s">
        <v>8</v>
      </c>
      <c r="D200">
        <v>1</v>
      </c>
      <c r="E200">
        <v>0.86141785350628197</v>
      </c>
      <c r="F200">
        <v>2</v>
      </c>
      <c r="G200" s="1" t="s">
        <v>252</v>
      </c>
      <c r="H200" t="s">
        <v>253</v>
      </c>
      <c r="I200" t="s">
        <v>252</v>
      </c>
    </row>
    <row r="201" spans="1:9" x14ac:dyDescent="0.2">
      <c r="A201">
        <v>74</v>
      </c>
      <c r="B201">
        <v>5</v>
      </c>
      <c r="C201" t="s">
        <v>8</v>
      </c>
      <c r="D201">
        <v>0</v>
      </c>
      <c r="E201">
        <v>0.61964352428913105</v>
      </c>
      <c r="F201">
        <v>1</v>
      </c>
      <c r="G201" s="1" t="s">
        <v>254</v>
      </c>
      <c r="H201" t="s">
        <v>254</v>
      </c>
      <c r="I201" t="s">
        <v>254</v>
      </c>
    </row>
    <row r="202" spans="1:9" x14ac:dyDescent="0.2">
      <c r="A202">
        <v>44</v>
      </c>
      <c r="B202">
        <v>14</v>
      </c>
      <c r="C202" t="s">
        <v>8</v>
      </c>
      <c r="D202">
        <v>3</v>
      </c>
      <c r="E202">
        <v>0.96846495638601504</v>
      </c>
      <c r="F202">
        <v>1</v>
      </c>
      <c r="G202" s="1" t="s">
        <v>255</v>
      </c>
      <c r="H202" t="s">
        <v>255</v>
      </c>
      <c r="I202" t="s">
        <v>255</v>
      </c>
    </row>
    <row r="203" spans="1:9" x14ac:dyDescent="0.2">
      <c r="A203">
        <v>40</v>
      </c>
      <c r="B203">
        <v>6</v>
      </c>
      <c r="C203" t="s">
        <v>10</v>
      </c>
      <c r="D203">
        <v>0</v>
      </c>
      <c r="E203">
        <v>0.81556152389384795</v>
      </c>
      <c r="F203">
        <v>1</v>
      </c>
      <c r="G203" s="1" t="s">
        <v>256</v>
      </c>
      <c r="H203" t="s">
        <v>256</v>
      </c>
      <c r="I203" t="s">
        <v>256</v>
      </c>
    </row>
    <row r="204" spans="1:9" x14ac:dyDescent="0.2">
      <c r="A204">
        <v>79</v>
      </c>
      <c r="B204">
        <v>13</v>
      </c>
      <c r="C204" t="s">
        <v>16</v>
      </c>
      <c r="D204">
        <v>0</v>
      </c>
      <c r="E204">
        <v>0.76358346920460496</v>
      </c>
      <c r="F204">
        <v>1</v>
      </c>
      <c r="G204" s="1" t="s">
        <v>257</v>
      </c>
      <c r="H204" t="s">
        <v>257</v>
      </c>
      <c r="I204" t="s">
        <v>257</v>
      </c>
    </row>
    <row r="205" spans="1:9" x14ac:dyDescent="0.2">
      <c r="A205">
        <v>71</v>
      </c>
      <c r="B205">
        <v>7</v>
      </c>
      <c r="C205" t="s">
        <v>8</v>
      </c>
      <c r="D205">
        <v>0</v>
      </c>
      <c r="E205">
        <v>0.68242582085076697</v>
      </c>
      <c r="F205">
        <v>1</v>
      </c>
      <c r="G205" s="1" t="s">
        <v>258</v>
      </c>
      <c r="H205" t="s">
        <v>258</v>
      </c>
      <c r="I205" t="s">
        <v>258</v>
      </c>
    </row>
    <row r="206" spans="1:9" x14ac:dyDescent="0.2">
      <c r="A206">
        <v>77</v>
      </c>
      <c r="B206">
        <v>13</v>
      </c>
      <c r="C206" t="s">
        <v>8</v>
      </c>
      <c r="D206">
        <v>2</v>
      </c>
      <c r="E206">
        <v>0.68821542733348895</v>
      </c>
      <c r="F206">
        <v>2</v>
      </c>
      <c r="G206" s="1" t="s">
        <v>259</v>
      </c>
      <c r="H206" t="s">
        <v>260</v>
      </c>
      <c r="I206" t="s">
        <v>259</v>
      </c>
    </row>
    <row r="207" spans="1:9" x14ac:dyDescent="0.2">
      <c r="A207">
        <v>48</v>
      </c>
      <c r="B207">
        <v>3</v>
      </c>
      <c r="C207" t="s">
        <v>10</v>
      </c>
      <c r="D207">
        <v>0</v>
      </c>
      <c r="E207">
        <v>0.61897721525747296</v>
      </c>
      <c r="F207">
        <v>2</v>
      </c>
      <c r="G207" s="1" t="s">
        <v>261</v>
      </c>
      <c r="H207" t="s">
        <v>262</v>
      </c>
      <c r="I207" t="s">
        <v>261</v>
      </c>
    </row>
    <row r="208" spans="1:9" x14ac:dyDescent="0.2">
      <c r="A208">
        <v>72</v>
      </c>
      <c r="B208">
        <v>15</v>
      </c>
      <c r="C208" t="s">
        <v>8</v>
      </c>
      <c r="D208">
        <v>0</v>
      </c>
      <c r="E208">
        <v>0.82476876513101205</v>
      </c>
      <c r="F208">
        <v>1</v>
      </c>
      <c r="G208" s="1" t="s">
        <v>263</v>
      </c>
      <c r="H208" t="s">
        <v>263</v>
      </c>
      <c r="I208" t="s">
        <v>263</v>
      </c>
    </row>
    <row r="209" spans="1:9" x14ac:dyDescent="0.2">
      <c r="A209">
        <v>84</v>
      </c>
      <c r="B209">
        <v>12</v>
      </c>
      <c r="C209" t="s">
        <v>10</v>
      </c>
      <c r="D209">
        <v>0</v>
      </c>
      <c r="E209">
        <v>0.97188827604986705</v>
      </c>
      <c r="F209">
        <v>2</v>
      </c>
      <c r="G209" s="1" t="s">
        <v>264</v>
      </c>
      <c r="H209" t="s">
        <v>265</v>
      </c>
      <c r="I209" t="s">
        <v>264</v>
      </c>
    </row>
    <row r="210" spans="1:9" x14ac:dyDescent="0.2">
      <c r="A210">
        <v>71</v>
      </c>
      <c r="B210">
        <v>7</v>
      </c>
      <c r="C210" t="s">
        <v>8</v>
      </c>
      <c r="D210">
        <v>0</v>
      </c>
      <c r="E210">
        <v>0.91964136075694103</v>
      </c>
      <c r="F210">
        <v>1</v>
      </c>
      <c r="G210" s="1" t="s">
        <v>266</v>
      </c>
      <c r="H210" t="s">
        <v>266</v>
      </c>
      <c r="I210" t="s">
        <v>266</v>
      </c>
    </row>
    <row r="211" spans="1:9" x14ac:dyDescent="0.2">
      <c r="A211">
        <v>83</v>
      </c>
      <c r="B211">
        <v>9</v>
      </c>
      <c r="C211" t="s">
        <v>10</v>
      </c>
      <c r="D211">
        <v>0</v>
      </c>
      <c r="E211">
        <v>0.57366530655417602</v>
      </c>
      <c r="F211">
        <v>1</v>
      </c>
      <c r="G211" s="1" t="s">
        <v>267</v>
      </c>
      <c r="H211" t="s">
        <v>267</v>
      </c>
      <c r="I211" t="s">
        <v>267</v>
      </c>
    </row>
    <row r="212" spans="1:9" x14ac:dyDescent="0.2">
      <c r="A212">
        <v>22</v>
      </c>
      <c r="B212">
        <v>6</v>
      </c>
      <c r="C212" t="s">
        <v>8</v>
      </c>
      <c r="D212">
        <v>1</v>
      </c>
      <c r="E212">
        <v>0.50611407472752001</v>
      </c>
      <c r="F212">
        <v>1</v>
      </c>
      <c r="G212" s="1" t="s">
        <v>268</v>
      </c>
      <c r="H212" t="s">
        <v>268</v>
      </c>
      <c r="I212" t="s">
        <v>268</v>
      </c>
    </row>
    <row r="213" spans="1:9" x14ac:dyDescent="0.2">
      <c r="A213">
        <v>69</v>
      </c>
      <c r="B213">
        <v>2</v>
      </c>
      <c r="C213" t="s">
        <v>8</v>
      </c>
      <c r="D213">
        <v>0</v>
      </c>
      <c r="E213">
        <v>0.83338230685330905</v>
      </c>
      <c r="F213">
        <v>1</v>
      </c>
      <c r="G213" s="1" t="s">
        <v>269</v>
      </c>
      <c r="H213" t="s">
        <v>269</v>
      </c>
      <c r="I213" t="s">
        <v>269</v>
      </c>
    </row>
    <row r="214" spans="1:9" x14ac:dyDescent="0.2">
      <c r="A214">
        <v>85</v>
      </c>
      <c r="B214">
        <v>6</v>
      </c>
      <c r="C214" t="s">
        <v>8</v>
      </c>
      <c r="D214">
        <v>0</v>
      </c>
      <c r="E214">
        <v>0.73342463013250403</v>
      </c>
      <c r="F214">
        <v>1</v>
      </c>
      <c r="G214" s="1" t="s">
        <v>270</v>
      </c>
      <c r="H214" t="s">
        <v>270</v>
      </c>
      <c r="I214" t="s">
        <v>270</v>
      </c>
    </row>
    <row r="215" spans="1:9" x14ac:dyDescent="0.2">
      <c r="A215">
        <v>38</v>
      </c>
      <c r="B215">
        <v>2</v>
      </c>
      <c r="C215" t="s">
        <v>10</v>
      </c>
      <c r="D215">
        <v>0</v>
      </c>
      <c r="E215">
        <v>0.83396960049867597</v>
      </c>
      <c r="F215">
        <v>1</v>
      </c>
      <c r="G215" s="1" t="s">
        <v>271</v>
      </c>
      <c r="H215" t="s">
        <v>271</v>
      </c>
      <c r="I215" t="s">
        <v>271</v>
      </c>
    </row>
    <row r="216" spans="1:9" x14ac:dyDescent="0.2">
      <c r="A216">
        <v>76</v>
      </c>
      <c r="B216">
        <v>15</v>
      </c>
      <c r="C216" t="s">
        <v>10</v>
      </c>
      <c r="D216">
        <v>0</v>
      </c>
      <c r="E216">
        <v>0.97152755991555795</v>
      </c>
      <c r="F216">
        <v>1</v>
      </c>
      <c r="G216" s="1" t="s">
        <v>272</v>
      </c>
      <c r="H216" t="s">
        <v>272</v>
      </c>
      <c r="I216" t="s">
        <v>272</v>
      </c>
    </row>
    <row r="217" spans="1:9" x14ac:dyDescent="0.2">
      <c r="A217">
        <v>82</v>
      </c>
      <c r="B217">
        <v>5</v>
      </c>
      <c r="C217" t="s">
        <v>10</v>
      </c>
      <c r="D217">
        <v>1</v>
      </c>
      <c r="E217">
        <v>0.680070649832487</v>
      </c>
      <c r="F217">
        <v>1</v>
      </c>
      <c r="G217" s="1" t="s">
        <v>273</v>
      </c>
      <c r="H217" t="s">
        <v>273</v>
      </c>
      <c r="I217" t="s">
        <v>273</v>
      </c>
    </row>
    <row r="218" spans="1:9" x14ac:dyDescent="0.2">
      <c r="A218">
        <v>58</v>
      </c>
      <c r="B218">
        <v>3</v>
      </c>
      <c r="C218" t="s">
        <v>16</v>
      </c>
      <c r="D218">
        <v>0</v>
      </c>
      <c r="E218">
        <v>0.66204680595547005</v>
      </c>
      <c r="F218">
        <v>1</v>
      </c>
      <c r="G218" s="1" t="s">
        <v>274</v>
      </c>
      <c r="H218" t="s">
        <v>274</v>
      </c>
      <c r="I218" t="s">
        <v>274</v>
      </c>
    </row>
    <row r="219" spans="1:9" x14ac:dyDescent="0.2">
      <c r="A219">
        <v>30</v>
      </c>
      <c r="B219">
        <v>1</v>
      </c>
      <c r="C219" t="s">
        <v>8</v>
      </c>
      <c r="D219">
        <v>1</v>
      </c>
      <c r="E219">
        <v>0.506494307424873</v>
      </c>
      <c r="F219">
        <v>1</v>
      </c>
      <c r="G219" s="1" t="s">
        <v>275</v>
      </c>
      <c r="H219" t="s">
        <v>275</v>
      </c>
      <c r="I219" t="s">
        <v>275</v>
      </c>
    </row>
    <row r="220" spans="1:9" x14ac:dyDescent="0.2">
      <c r="A220">
        <v>36</v>
      </c>
      <c r="B220">
        <v>13</v>
      </c>
      <c r="C220" t="s">
        <v>8</v>
      </c>
      <c r="D220">
        <v>0</v>
      </c>
      <c r="E220">
        <v>0.89820033614523698</v>
      </c>
      <c r="F220">
        <v>2</v>
      </c>
      <c r="G220" s="1" t="s">
        <v>276</v>
      </c>
      <c r="H220" t="s">
        <v>277</v>
      </c>
      <c r="I220" t="s">
        <v>276</v>
      </c>
    </row>
    <row r="221" spans="1:9" x14ac:dyDescent="0.2">
      <c r="A221">
        <v>57</v>
      </c>
      <c r="B221">
        <v>10</v>
      </c>
      <c r="C221" t="s">
        <v>16</v>
      </c>
      <c r="D221">
        <v>0</v>
      </c>
      <c r="E221">
        <v>0.75783263775520004</v>
      </c>
      <c r="F221">
        <v>1</v>
      </c>
      <c r="G221" s="1" t="s">
        <v>278</v>
      </c>
      <c r="H221" t="s">
        <v>278</v>
      </c>
      <c r="I221" t="s">
        <v>278</v>
      </c>
    </row>
    <row r="222" spans="1:9" x14ac:dyDescent="0.2">
      <c r="A222">
        <v>37</v>
      </c>
      <c r="B222">
        <v>8</v>
      </c>
      <c r="C222" t="s">
        <v>16</v>
      </c>
      <c r="D222">
        <v>2</v>
      </c>
      <c r="E222">
        <v>0.53171092143748</v>
      </c>
      <c r="F222">
        <v>1</v>
      </c>
      <c r="G222" s="1" t="s">
        <v>279</v>
      </c>
      <c r="H222" t="s">
        <v>279</v>
      </c>
      <c r="I222" t="s">
        <v>279</v>
      </c>
    </row>
    <row r="223" spans="1:9" x14ac:dyDescent="0.2">
      <c r="A223">
        <v>56</v>
      </c>
      <c r="B223">
        <v>7</v>
      </c>
      <c r="C223" t="s">
        <v>16</v>
      </c>
      <c r="D223">
        <v>0</v>
      </c>
      <c r="E223">
        <v>0.85326003213413104</v>
      </c>
      <c r="F223">
        <v>2</v>
      </c>
      <c r="G223" s="1" t="s">
        <v>280</v>
      </c>
      <c r="H223" t="s">
        <v>281</v>
      </c>
      <c r="I223" t="s">
        <v>280</v>
      </c>
    </row>
    <row r="224" spans="1:9" x14ac:dyDescent="0.2">
      <c r="A224">
        <v>65</v>
      </c>
      <c r="B224">
        <v>5</v>
      </c>
      <c r="C224" t="s">
        <v>16</v>
      </c>
      <c r="D224">
        <v>2</v>
      </c>
      <c r="E224">
        <v>0.69013189012184695</v>
      </c>
      <c r="F224">
        <v>2</v>
      </c>
      <c r="G224" s="1" t="s">
        <v>282</v>
      </c>
      <c r="H224" t="s">
        <v>283</v>
      </c>
      <c r="I224" t="s">
        <v>282</v>
      </c>
    </row>
    <row r="225" spans="1:9" x14ac:dyDescent="0.2">
      <c r="A225">
        <v>71</v>
      </c>
      <c r="B225">
        <v>13</v>
      </c>
      <c r="C225" t="s">
        <v>8</v>
      </c>
      <c r="D225">
        <v>0</v>
      </c>
      <c r="E225">
        <v>0.82206131238490299</v>
      </c>
      <c r="F225">
        <v>1</v>
      </c>
      <c r="G225" s="1" t="s">
        <v>284</v>
      </c>
      <c r="H225" t="s">
        <v>284</v>
      </c>
      <c r="I225" t="s">
        <v>284</v>
      </c>
    </row>
    <row r="226" spans="1:9" x14ac:dyDescent="0.2">
      <c r="A226">
        <v>46</v>
      </c>
      <c r="B226">
        <v>8</v>
      </c>
      <c r="C226" t="s">
        <v>8</v>
      </c>
      <c r="D226">
        <v>0</v>
      </c>
      <c r="E226">
        <v>0.74894434912130203</v>
      </c>
      <c r="F226">
        <v>1</v>
      </c>
      <c r="G226" s="1" t="s">
        <v>285</v>
      </c>
      <c r="H226" t="s">
        <v>285</v>
      </c>
      <c r="I226" t="s">
        <v>285</v>
      </c>
    </row>
    <row r="227" spans="1:9" x14ac:dyDescent="0.2">
      <c r="A227">
        <v>26</v>
      </c>
      <c r="B227">
        <v>7</v>
      </c>
      <c r="C227" t="s">
        <v>16</v>
      </c>
      <c r="D227">
        <v>2</v>
      </c>
      <c r="E227">
        <v>0.560754496138543</v>
      </c>
      <c r="F227">
        <v>1</v>
      </c>
      <c r="G227" s="1" t="s">
        <v>286</v>
      </c>
      <c r="H227" t="s">
        <v>286</v>
      </c>
      <c r="I227" t="s">
        <v>286</v>
      </c>
    </row>
    <row r="228" spans="1:9" x14ac:dyDescent="0.2">
      <c r="A228">
        <v>48</v>
      </c>
      <c r="B228">
        <v>7</v>
      </c>
      <c r="C228" t="s">
        <v>8</v>
      </c>
      <c r="D228">
        <v>0</v>
      </c>
      <c r="E228">
        <v>0.81326373363845095</v>
      </c>
      <c r="F228">
        <v>1</v>
      </c>
      <c r="G228" s="1" t="s">
        <v>287</v>
      </c>
      <c r="H228" t="s">
        <v>287</v>
      </c>
      <c r="I228" t="s">
        <v>287</v>
      </c>
    </row>
    <row r="229" spans="1:9" x14ac:dyDescent="0.2">
      <c r="A229">
        <v>62</v>
      </c>
      <c r="B229">
        <v>3</v>
      </c>
      <c r="C229" t="s">
        <v>10</v>
      </c>
      <c r="D229">
        <v>2</v>
      </c>
      <c r="E229">
        <v>0.99555077566765204</v>
      </c>
      <c r="F229">
        <v>1</v>
      </c>
      <c r="G229" s="1" t="s">
        <v>288</v>
      </c>
      <c r="H229" t="s">
        <v>288</v>
      </c>
      <c r="I229" t="s">
        <v>288</v>
      </c>
    </row>
    <row r="230" spans="1:9" x14ac:dyDescent="0.2">
      <c r="A230">
        <v>72</v>
      </c>
      <c r="B230">
        <v>8</v>
      </c>
      <c r="C230" t="s">
        <v>16</v>
      </c>
      <c r="D230">
        <v>0</v>
      </c>
      <c r="E230">
        <v>0.61146752617787603</v>
      </c>
      <c r="F230">
        <v>1</v>
      </c>
      <c r="G230" s="1" t="s">
        <v>289</v>
      </c>
      <c r="H230" t="s">
        <v>289</v>
      </c>
      <c r="I230" t="s">
        <v>289</v>
      </c>
    </row>
    <row r="231" spans="1:9" x14ac:dyDescent="0.2">
      <c r="A231">
        <v>79</v>
      </c>
      <c r="B231">
        <v>13</v>
      </c>
      <c r="C231" t="s">
        <v>8</v>
      </c>
      <c r="D231">
        <v>0</v>
      </c>
      <c r="E231">
        <v>0.69095724029466499</v>
      </c>
      <c r="F231">
        <v>1</v>
      </c>
      <c r="G231" s="1" t="s">
        <v>290</v>
      </c>
      <c r="H231" t="s">
        <v>290</v>
      </c>
      <c r="I231" t="s">
        <v>290</v>
      </c>
    </row>
    <row r="232" spans="1:9" x14ac:dyDescent="0.2">
      <c r="A232">
        <v>62</v>
      </c>
      <c r="B232">
        <v>1</v>
      </c>
      <c r="C232" t="s">
        <v>8</v>
      </c>
      <c r="D232">
        <v>0</v>
      </c>
      <c r="E232">
        <v>0.93101462023332704</v>
      </c>
      <c r="F232">
        <v>1</v>
      </c>
      <c r="G232" s="1" t="s">
        <v>291</v>
      </c>
      <c r="H232" t="s">
        <v>291</v>
      </c>
      <c r="I232" t="s">
        <v>291</v>
      </c>
    </row>
    <row r="233" spans="1:9" x14ac:dyDescent="0.2">
      <c r="A233">
        <v>75</v>
      </c>
      <c r="B233">
        <v>7</v>
      </c>
      <c r="C233" t="s">
        <v>8</v>
      </c>
      <c r="D233">
        <v>0</v>
      </c>
      <c r="E233">
        <v>0.74466794705949702</v>
      </c>
      <c r="F233">
        <v>1</v>
      </c>
      <c r="G233" s="1" t="s">
        <v>292</v>
      </c>
      <c r="H233" t="s">
        <v>292</v>
      </c>
      <c r="I233" t="s">
        <v>292</v>
      </c>
    </row>
    <row r="234" spans="1:9" x14ac:dyDescent="0.2">
      <c r="A234">
        <v>81</v>
      </c>
      <c r="B234">
        <v>9</v>
      </c>
      <c r="C234" t="s">
        <v>16</v>
      </c>
      <c r="D234">
        <v>0</v>
      </c>
      <c r="E234">
        <v>0.73506445053499203</v>
      </c>
      <c r="F234">
        <v>3</v>
      </c>
      <c r="G234" s="1" t="s">
        <v>293</v>
      </c>
      <c r="H234" t="s">
        <v>294</v>
      </c>
      <c r="I234" t="s">
        <v>293</v>
      </c>
    </row>
    <row r="235" spans="1:9" x14ac:dyDescent="0.2">
      <c r="A235">
        <v>85</v>
      </c>
      <c r="B235">
        <v>11</v>
      </c>
      <c r="C235" t="s">
        <v>8</v>
      </c>
      <c r="D235">
        <v>0</v>
      </c>
      <c r="E235">
        <v>0.69400230713654298</v>
      </c>
      <c r="F235">
        <v>1</v>
      </c>
      <c r="G235" s="1" t="s">
        <v>295</v>
      </c>
      <c r="H235" t="s">
        <v>295</v>
      </c>
      <c r="I235" t="s">
        <v>295</v>
      </c>
    </row>
    <row r="236" spans="1:9" x14ac:dyDescent="0.2">
      <c r="A236">
        <v>76</v>
      </c>
      <c r="B236">
        <v>14</v>
      </c>
      <c r="C236" t="s">
        <v>10</v>
      </c>
      <c r="D236">
        <v>0</v>
      </c>
      <c r="E236">
        <v>0.84932726447004803</v>
      </c>
      <c r="F236">
        <v>1</v>
      </c>
      <c r="G236" s="1" t="s">
        <v>296</v>
      </c>
      <c r="H236" t="s">
        <v>296</v>
      </c>
      <c r="I236" t="s">
        <v>296</v>
      </c>
    </row>
    <row r="237" spans="1:9" x14ac:dyDescent="0.2">
      <c r="A237">
        <v>89</v>
      </c>
      <c r="B237">
        <v>9</v>
      </c>
      <c r="C237" t="s">
        <v>10</v>
      </c>
      <c r="D237">
        <v>0</v>
      </c>
      <c r="E237">
        <v>0.55320298695005499</v>
      </c>
      <c r="F237">
        <v>1</v>
      </c>
      <c r="G237" s="1" t="s">
        <v>297</v>
      </c>
      <c r="H237" t="s">
        <v>297</v>
      </c>
      <c r="I237" t="s">
        <v>297</v>
      </c>
    </row>
    <row r="238" spans="1:9" x14ac:dyDescent="0.2">
      <c r="A238">
        <v>29</v>
      </c>
      <c r="B238">
        <v>6</v>
      </c>
      <c r="C238" t="s">
        <v>8</v>
      </c>
      <c r="D238">
        <v>0</v>
      </c>
      <c r="E238">
        <v>0.83211291837505996</v>
      </c>
      <c r="F238">
        <v>1</v>
      </c>
      <c r="G238" s="1" t="s">
        <v>298</v>
      </c>
      <c r="H238" t="s">
        <v>298</v>
      </c>
      <c r="I238" t="s">
        <v>298</v>
      </c>
    </row>
    <row r="239" spans="1:9" x14ac:dyDescent="0.2">
      <c r="A239">
        <v>68</v>
      </c>
      <c r="B239">
        <v>4</v>
      </c>
      <c r="C239" t="s">
        <v>16</v>
      </c>
      <c r="D239">
        <v>0</v>
      </c>
      <c r="E239">
        <v>0.75643697252962705</v>
      </c>
      <c r="F239">
        <v>2</v>
      </c>
      <c r="G239" s="1" t="s">
        <v>299</v>
      </c>
      <c r="H239" t="s">
        <v>300</v>
      </c>
      <c r="I239" t="s">
        <v>299</v>
      </c>
    </row>
    <row r="240" spans="1:9" x14ac:dyDescent="0.2">
      <c r="A240">
        <v>36</v>
      </c>
      <c r="B240">
        <v>12</v>
      </c>
      <c r="C240" t="s">
        <v>8</v>
      </c>
      <c r="D240">
        <v>1</v>
      </c>
      <c r="E240">
        <v>0.590903456555679</v>
      </c>
      <c r="F240">
        <v>1</v>
      </c>
      <c r="G240" s="1" t="s">
        <v>301</v>
      </c>
      <c r="H240" t="s">
        <v>301</v>
      </c>
      <c r="I240" t="s">
        <v>301</v>
      </c>
    </row>
    <row r="241" spans="1:9" x14ac:dyDescent="0.2">
      <c r="A241">
        <v>23</v>
      </c>
      <c r="B241">
        <v>1</v>
      </c>
      <c r="C241" t="s">
        <v>8</v>
      </c>
      <c r="D241">
        <v>0</v>
      </c>
      <c r="E241">
        <v>0.95609817537479103</v>
      </c>
      <c r="F241">
        <v>1</v>
      </c>
      <c r="G241" s="1" t="s">
        <v>302</v>
      </c>
      <c r="H241" t="s">
        <v>302</v>
      </c>
      <c r="I241" t="s">
        <v>302</v>
      </c>
    </row>
    <row r="242" spans="1:9" x14ac:dyDescent="0.2">
      <c r="A242">
        <v>58</v>
      </c>
      <c r="B242">
        <v>10</v>
      </c>
      <c r="C242" t="s">
        <v>8</v>
      </c>
      <c r="D242">
        <v>0</v>
      </c>
      <c r="E242">
        <v>0.61562475527171001</v>
      </c>
      <c r="F242">
        <v>2</v>
      </c>
      <c r="G242" s="1" t="s">
        <v>303</v>
      </c>
      <c r="H242" t="s">
        <v>304</v>
      </c>
      <c r="I242" t="s">
        <v>303</v>
      </c>
    </row>
    <row r="243" spans="1:9" x14ac:dyDescent="0.2">
      <c r="A243">
        <v>54</v>
      </c>
      <c r="B243">
        <v>5</v>
      </c>
      <c r="C243" t="s">
        <v>8</v>
      </c>
      <c r="D243">
        <v>0</v>
      </c>
      <c r="E243">
        <v>0.900705178501084</v>
      </c>
      <c r="F243">
        <v>1</v>
      </c>
      <c r="G243" s="1" t="s">
        <v>305</v>
      </c>
      <c r="H243" t="s">
        <v>305</v>
      </c>
      <c r="I243" t="s">
        <v>305</v>
      </c>
    </row>
    <row r="244" spans="1:9" x14ac:dyDescent="0.2">
      <c r="A244">
        <v>82</v>
      </c>
      <c r="B244">
        <v>6</v>
      </c>
      <c r="C244" t="s">
        <v>8</v>
      </c>
      <c r="D244">
        <v>0</v>
      </c>
      <c r="E244">
        <v>0.58233622112311401</v>
      </c>
      <c r="F244">
        <v>1</v>
      </c>
      <c r="G244" s="1" t="s">
        <v>306</v>
      </c>
      <c r="H244" t="s">
        <v>306</v>
      </c>
      <c r="I244" t="s">
        <v>306</v>
      </c>
    </row>
    <row r="245" spans="1:9" x14ac:dyDescent="0.2">
      <c r="A245">
        <v>35</v>
      </c>
      <c r="B245">
        <v>12</v>
      </c>
      <c r="C245" t="s">
        <v>16</v>
      </c>
      <c r="D245">
        <v>0</v>
      </c>
      <c r="E245">
        <v>0.90177742810919903</v>
      </c>
      <c r="F245">
        <v>1</v>
      </c>
      <c r="G245" s="1" t="s">
        <v>307</v>
      </c>
      <c r="H245" t="s">
        <v>307</v>
      </c>
      <c r="I245" t="s">
        <v>307</v>
      </c>
    </row>
    <row r="246" spans="1:9" x14ac:dyDescent="0.2">
      <c r="A246">
        <v>65</v>
      </c>
      <c r="B246">
        <v>10</v>
      </c>
      <c r="C246" t="s">
        <v>16</v>
      </c>
      <c r="D246">
        <v>2</v>
      </c>
      <c r="E246">
        <v>0.87514263333287101</v>
      </c>
      <c r="F246">
        <v>1</v>
      </c>
      <c r="G246" s="1" t="s">
        <v>308</v>
      </c>
      <c r="H246" t="s">
        <v>308</v>
      </c>
      <c r="I246" t="s">
        <v>308</v>
      </c>
    </row>
    <row r="247" spans="1:9" x14ac:dyDescent="0.2">
      <c r="A247">
        <v>76</v>
      </c>
      <c r="B247">
        <v>10</v>
      </c>
      <c r="C247" t="s">
        <v>8</v>
      </c>
      <c r="D247">
        <v>0</v>
      </c>
      <c r="E247">
        <v>0.958052747417241</v>
      </c>
      <c r="F247">
        <v>1</v>
      </c>
      <c r="G247" s="1" t="s">
        <v>309</v>
      </c>
      <c r="H247" t="s">
        <v>309</v>
      </c>
      <c r="I247" t="s">
        <v>309</v>
      </c>
    </row>
    <row r="248" spans="1:9" x14ac:dyDescent="0.2">
      <c r="A248">
        <v>76</v>
      </c>
      <c r="B248">
        <v>6</v>
      </c>
      <c r="C248" t="s">
        <v>8</v>
      </c>
      <c r="D248">
        <v>1</v>
      </c>
      <c r="E248">
        <v>0.56311910715885505</v>
      </c>
      <c r="F248">
        <v>1</v>
      </c>
      <c r="G248" s="1" t="s">
        <v>310</v>
      </c>
      <c r="H248" t="s">
        <v>310</v>
      </c>
      <c r="I248" t="s">
        <v>310</v>
      </c>
    </row>
    <row r="249" spans="1:9" x14ac:dyDescent="0.2">
      <c r="A249">
        <v>85</v>
      </c>
      <c r="B249">
        <v>10</v>
      </c>
      <c r="C249" t="s">
        <v>8</v>
      </c>
      <c r="D249">
        <v>0</v>
      </c>
      <c r="E249">
        <v>0.87595043319743104</v>
      </c>
      <c r="F249">
        <v>1</v>
      </c>
      <c r="G249" s="1" t="s">
        <v>311</v>
      </c>
      <c r="H249" t="s">
        <v>311</v>
      </c>
      <c r="I249" t="s">
        <v>311</v>
      </c>
    </row>
    <row r="250" spans="1:9" x14ac:dyDescent="0.2">
      <c r="A250">
        <v>34</v>
      </c>
      <c r="B250">
        <v>13</v>
      </c>
      <c r="C250" t="s">
        <v>10</v>
      </c>
      <c r="D250">
        <v>0</v>
      </c>
      <c r="E250">
        <v>0.58827902539633203</v>
      </c>
      <c r="F250">
        <v>1</v>
      </c>
      <c r="G250" s="1" t="s">
        <v>312</v>
      </c>
      <c r="H250" t="s">
        <v>312</v>
      </c>
      <c r="I250" t="s">
        <v>312</v>
      </c>
    </row>
    <row r="251" spans="1:9" x14ac:dyDescent="0.2">
      <c r="A251">
        <v>76</v>
      </c>
      <c r="B251">
        <v>5</v>
      </c>
      <c r="C251" t="s">
        <v>8</v>
      </c>
      <c r="D251">
        <v>0</v>
      </c>
      <c r="E251">
        <v>0.97854689368978098</v>
      </c>
      <c r="F251">
        <v>1</v>
      </c>
      <c r="G251" s="1" t="s">
        <v>313</v>
      </c>
      <c r="H251" t="s">
        <v>313</v>
      </c>
      <c r="I251" t="s">
        <v>313</v>
      </c>
    </row>
    <row r="252" spans="1:9" x14ac:dyDescent="0.2">
      <c r="A252">
        <v>47</v>
      </c>
      <c r="B252">
        <v>6</v>
      </c>
      <c r="C252" t="s">
        <v>8</v>
      </c>
      <c r="D252">
        <v>0</v>
      </c>
      <c r="E252">
        <v>0.90105238417163502</v>
      </c>
      <c r="F252">
        <v>1</v>
      </c>
      <c r="G252" s="1" t="s">
        <v>314</v>
      </c>
      <c r="H252" t="s">
        <v>314</v>
      </c>
      <c r="I252" t="s">
        <v>314</v>
      </c>
    </row>
    <row r="253" spans="1:9" x14ac:dyDescent="0.2">
      <c r="A253">
        <v>38</v>
      </c>
      <c r="B253">
        <v>1</v>
      </c>
      <c r="C253" t="s">
        <v>16</v>
      </c>
      <c r="D253">
        <v>0</v>
      </c>
      <c r="E253">
        <v>0.85721059865318205</v>
      </c>
      <c r="F253">
        <v>1</v>
      </c>
      <c r="G253" s="1" t="s">
        <v>315</v>
      </c>
      <c r="H253" t="s">
        <v>315</v>
      </c>
      <c r="I253" t="s">
        <v>315</v>
      </c>
    </row>
    <row r="254" spans="1:9" x14ac:dyDescent="0.2">
      <c r="A254">
        <v>37</v>
      </c>
      <c r="B254">
        <v>11</v>
      </c>
      <c r="C254" t="s">
        <v>8</v>
      </c>
      <c r="D254">
        <v>0</v>
      </c>
      <c r="E254">
        <v>0.63147188420407496</v>
      </c>
      <c r="F254">
        <v>1</v>
      </c>
      <c r="G254" s="1" t="s">
        <v>316</v>
      </c>
      <c r="H254" t="s">
        <v>316</v>
      </c>
      <c r="I254" t="s">
        <v>316</v>
      </c>
    </row>
    <row r="255" spans="1:9" x14ac:dyDescent="0.2">
      <c r="A255">
        <v>53</v>
      </c>
      <c r="B255">
        <v>9</v>
      </c>
      <c r="C255" t="s">
        <v>8</v>
      </c>
      <c r="D255">
        <v>0</v>
      </c>
      <c r="E255">
        <v>0.94074377976357904</v>
      </c>
      <c r="F255">
        <v>1</v>
      </c>
      <c r="G255" s="1" t="s">
        <v>317</v>
      </c>
      <c r="H255" t="s">
        <v>317</v>
      </c>
      <c r="I255" t="s">
        <v>317</v>
      </c>
    </row>
    <row r="256" spans="1:9" x14ac:dyDescent="0.2">
      <c r="A256">
        <v>52</v>
      </c>
      <c r="B256">
        <v>8</v>
      </c>
      <c r="C256" t="s">
        <v>8</v>
      </c>
      <c r="D256">
        <v>1</v>
      </c>
      <c r="E256">
        <v>0.682751546031795</v>
      </c>
      <c r="F256">
        <v>1</v>
      </c>
      <c r="G256" s="1" t="s">
        <v>318</v>
      </c>
      <c r="H256" t="s">
        <v>318</v>
      </c>
      <c r="I256" t="s">
        <v>318</v>
      </c>
    </row>
    <row r="257" spans="1:9" x14ac:dyDescent="0.2">
      <c r="A257">
        <v>22</v>
      </c>
      <c r="B257">
        <v>6</v>
      </c>
      <c r="C257" t="s">
        <v>16</v>
      </c>
      <c r="D257">
        <v>1</v>
      </c>
      <c r="E257">
        <v>0.98299857450183503</v>
      </c>
      <c r="F257">
        <v>1</v>
      </c>
      <c r="G257" s="1" t="s">
        <v>319</v>
      </c>
      <c r="H257" t="s">
        <v>319</v>
      </c>
      <c r="I257" t="s">
        <v>319</v>
      </c>
    </row>
    <row r="258" spans="1:9" x14ac:dyDescent="0.2">
      <c r="A258">
        <v>44</v>
      </c>
      <c r="B258">
        <v>14</v>
      </c>
      <c r="C258" t="s">
        <v>8</v>
      </c>
      <c r="D258">
        <v>0</v>
      </c>
      <c r="E258">
        <v>0.67012139747384902</v>
      </c>
      <c r="F258">
        <v>2</v>
      </c>
      <c r="G258" s="1" t="s">
        <v>320</v>
      </c>
      <c r="H258" t="s">
        <v>321</v>
      </c>
      <c r="I258" t="s">
        <v>320</v>
      </c>
    </row>
    <row r="259" spans="1:9" x14ac:dyDescent="0.2">
      <c r="A259">
        <v>74</v>
      </c>
      <c r="B259">
        <v>13</v>
      </c>
      <c r="C259" t="s">
        <v>16</v>
      </c>
      <c r="D259">
        <v>0</v>
      </c>
      <c r="E259">
        <v>0.90042854216881096</v>
      </c>
      <c r="F259">
        <v>1</v>
      </c>
      <c r="G259" s="1" t="s">
        <v>322</v>
      </c>
      <c r="H259" t="s">
        <v>322</v>
      </c>
      <c r="I259" t="s">
        <v>322</v>
      </c>
    </row>
    <row r="260" spans="1:9" x14ac:dyDescent="0.2">
      <c r="A260">
        <v>60</v>
      </c>
      <c r="B260">
        <v>1</v>
      </c>
      <c r="C260" t="s">
        <v>10</v>
      </c>
      <c r="D260">
        <v>0</v>
      </c>
      <c r="E260">
        <v>0.79420555650722202</v>
      </c>
      <c r="F260">
        <v>1</v>
      </c>
      <c r="G260" s="1" t="s">
        <v>323</v>
      </c>
      <c r="H260" t="s">
        <v>323</v>
      </c>
      <c r="I260" t="s">
        <v>323</v>
      </c>
    </row>
    <row r="261" spans="1:9" x14ac:dyDescent="0.2">
      <c r="A261">
        <v>62</v>
      </c>
      <c r="B261">
        <v>11</v>
      </c>
      <c r="C261" t="s">
        <v>8</v>
      </c>
      <c r="D261">
        <v>2</v>
      </c>
      <c r="E261">
        <v>0.72182037029415402</v>
      </c>
      <c r="F261">
        <v>1</v>
      </c>
      <c r="G261" s="1" t="s">
        <v>324</v>
      </c>
      <c r="H261" t="s">
        <v>324</v>
      </c>
      <c r="I261" t="s">
        <v>324</v>
      </c>
    </row>
    <row r="262" spans="1:9" x14ac:dyDescent="0.2">
      <c r="A262">
        <v>23</v>
      </c>
      <c r="B262">
        <v>11</v>
      </c>
      <c r="C262" t="s">
        <v>8</v>
      </c>
      <c r="D262">
        <v>2</v>
      </c>
      <c r="E262">
        <v>0.66517387959174801</v>
      </c>
      <c r="F262">
        <v>1</v>
      </c>
      <c r="G262" s="1" t="s">
        <v>325</v>
      </c>
      <c r="H262" t="s">
        <v>325</v>
      </c>
      <c r="I262" t="s">
        <v>325</v>
      </c>
    </row>
    <row r="263" spans="1:9" x14ac:dyDescent="0.2">
      <c r="A263">
        <v>22</v>
      </c>
      <c r="B263">
        <v>5</v>
      </c>
      <c r="C263" t="s">
        <v>16</v>
      </c>
      <c r="D263">
        <v>0</v>
      </c>
      <c r="E263">
        <v>0.66191011480987105</v>
      </c>
      <c r="F263">
        <v>1</v>
      </c>
      <c r="G263" s="1" t="s">
        <v>326</v>
      </c>
      <c r="H263" t="s">
        <v>326</v>
      </c>
      <c r="I263" t="s">
        <v>326</v>
      </c>
    </row>
    <row r="264" spans="1:9" x14ac:dyDescent="0.2">
      <c r="A264">
        <v>71</v>
      </c>
      <c r="B264">
        <v>6</v>
      </c>
      <c r="C264" t="s">
        <v>16</v>
      </c>
      <c r="D264">
        <v>0</v>
      </c>
      <c r="E264">
        <v>0.90032590390182998</v>
      </c>
      <c r="F264">
        <v>1</v>
      </c>
      <c r="G264" s="1" t="s">
        <v>327</v>
      </c>
      <c r="H264" t="s">
        <v>327</v>
      </c>
      <c r="I264" t="s">
        <v>327</v>
      </c>
    </row>
    <row r="265" spans="1:9" x14ac:dyDescent="0.2">
      <c r="A265">
        <v>74</v>
      </c>
      <c r="B265">
        <v>8</v>
      </c>
      <c r="C265" t="s">
        <v>10</v>
      </c>
      <c r="D265">
        <v>0</v>
      </c>
      <c r="E265">
        <v>0.71376359765417896</v>
      </c>
      <c r="F265">
        <v>1</v>
      </c>
      <c r="G265" s="1" t="s">
        <v>328</v>
      </c>
      <c r="H265" t="s">
        <v>328</v>
      </c>
      <c r="I265" t="s">
        <v>328</v>
      </c>
    </row>
    <row r="266" spans="1:9" x14ac:dyDescent="0.2">
      <c r="A266">
        <v>51</v>
      </c>
      <c r="B266">
        <v>10</v>
      </c>
      <c r="C266" t="s">
        <v>8</v>
      </c>
      <c r="D266">
        <v>1</v>
      </c>
      <c r="E266">
        <v>0.55276762740686503</v>
      </c>
      <c r="F266">
        <v>2</v>
      </c>
      <c r="G266" s="1" t="s">
        <v>329</v>
      </c>
      <c r="H266" t="s">
        <v>330</v>
      </c>
      <c r="I266" t="s">
        <v>329</v>
      </c>
    </row>
    <row r="267" spans="1:9" x14ac:dyDescent="0.2">
      <c r="A267">
        <v>70</v>
      </c>
      <c r="B267">
        <v>4</v>
      </c>
      <c r="C267" t="s">
        <v>16</v>
      </c>
      <c r="D267">
        <v>0</v>
      </c>
      <c r="E267">
        <v>0.66866893821861595</v>
      </c>
      <c r="F267">
        <v>1</v>
      </c>
      <c r="G267" s="1" t="s">
        <v>331</v>
      </c>
      <c r="H267" t="s">
        <v>331</v>
      </c>
      <c r="I267" t="s">
        <v>331</v>
      </c>
    </row>
    <row r="268" spans="1:9" x14ac:dyDescent="0.2">
      <c r="A268">
        <v>39</v>
      </c>
      <c r="B268">
        <v>13</v>
      </c>
      <c r="C268" t="s">
        <v>8</v>
      </c>
      <c r="D268">
        <v>0</v>
      </c>
      <c r="E268">
        <v>0.90315666724927701</v>
      </c>
      <c r="F268">
        <v>1</v>
      </c>
      <c r="G268" s="1" t="s">
        <v>332</v>
      </c>
      <c r="H268" t="s">
        <v>332</v>
      </c>
      <c r="I268" t="s">
        <v>332</v>
      </c>
    </row>
    <row r="269" spans="1:9" x14ac:dyDescent="0.2">
      <c r="A269">
        <v>25</v>
      </c>
      <c r="B269">
        <v>7</v>
      </c>
      <c r="C269" t="s">
        <v>8</v>
      </c>
      <c r="D269">
        <v>0</v>
      </c>
      <c r="E269">
        <v>0.73037886759266302</v>
      </c>
      <c r="F269">
        <v>1</v>
      </c>
      <c r="G269" s="1" t="s">
        <v>333</v>
      </c>
      <c r="H269" t="s">
        <v>333</v>
      </c>
      <c r="I269" t="s">
        <v>333</v>
      </c>
    </row>
    <row r="270" spans="1:9" x14ac:dyDescent="0.2">
      <c r="A270">
        <v>87</v>
      </c>
      <c r="B270">
        <v>13</v>
      </c>
      <c r="C270" t="s">
        <v>8</v>
      </c>
      <c r="D270">
        <v>0</v>
      </c>
      <c r="E270">
        <v>0.82542558468412597</v>
      </c>
      <c r="F270">
        <v>1</v>
      </c>
      <c r="G270" s="1" t="s">
        <v>334</v>
      </c>
      <c r="H270" t="s">
        <v>334</v>
      </c>
      <c r="I270" t="s">
        <v>334</v>
      </c>
    </row>
    <row r="271" spans="1:9" x14ac:dyDescent="0.2">
      <c r="A271">
        <v>71</v>
      </c>
      <c r="B271">
        <v>13</v>
      </c>
      <c r="C271" t="s">
        <v>16</v>
      </c>
      <c r="D271">
        <v>0</v>
      </c>
      <c r="E271">
        <v>0.96864303783513594</v>
      </c>
      <c r="F271">
        <v>2</v>
      </c>
      <c r="G271" s="1" t="s">
        <v>335</v>
      </c>
      <c r="H271" t="s">
        <v>336</v>
      </c>
      <c r="I271" t="s">
        <v>335</v>
      </c>
    </row>
    <row r="272" spans="1:9" x14ac:dyDescent="0.2">
      <c r="A272">
        <v>83</v>
      </c>
      <c r="B272">
        <v>12</v>
      </c>
      <c r="C272" t="s">
        <v>8</v>
      </c>
      <c r="D272">
        <v>0</v>
      </c>
      <c r="E272">
        <v>0.92982404935173701</v>
      </c>
      <c r="F272">
        <v>2</v>
      </c>
      <c r="G272" s="1" t="s">
        <v>337</v>
      </c>
      <c r="H272" t="s">
        <v>338</v>
      </c>
      <c r="I272" t="s">
        <v>337</v>
      </c>
    </row>
    <row r="273" spans="1:9" x14ac:dyDescent="0.2">
      <c r="A273">
        <v>41</v>
      </c>
      <c r="B273">
        <v>4</v>
      </c>
      <c r="C273" t="s">
        <v>10</v>
      </c>
      <c r="D273">
        <v>0</v>
      </c>
      <c r="E273">
        <v>0.725829866831191</v>
      </c>
      <c r="F273">
        <v>1</v>
      </c>
      <c r="G273" s="1" t="s">
        <v>339</v>
      </c>
      <c r="H273" t="s">
        <v>339</v>
      </c>
      <c r="I273" t="s">
        <v>339</v>
      </c>
    </row>
    <row r="274" spans="1:9" x14ac:dyDescent="0.2">
      <c r="A274">
        <v>69</v>
      </c>
      <c r="B274">
        <v>11</v>
      </c>
      <c r="C274" t="s">
        <v>16</v>
      </c>
      <c r="D274">
        <v>0</v>
      </c>
      <c r="E274">
        <v>0.660553129157051</v>
      </c>
      <c r="F274">
        <v>1</v>
      </c>
      <c r="G274" s="1" t="s">
        <v>340</v>
      </c>
      <c r="H274" t="s">
        <v>340</v>
      </c>
      <c r="I274" t="s">
        <v>340</v>
      </c>
    </row>
    <row r="275" spans="1:9" x14ac:dyDescent="0.2">
      <c r="A275">
        <v>54</v>
      </c>
      <c r="B275">
        <v>10</v>
      </c>
      <c r="C275" t="s">
        <v>16</v>
      </c>
      <c r="D275">
        <v>0</v>
      </c>
      <c r="E275">
        <v>0.95127338706515696</v>
      </c>
      <c r="F275">
        <v>2</v>
      </c>
      <c r="G275" s="1" t="s">
        <v>341</v>
      </c>
      <c r="H275" t="s">
        <v>342</v>
      </c>
      <c r="I275" t="s">
        <v>341</v>
      </c>
    </row>
    <row r="276" spans="1:9" x14ac:dyDescent="0.2">
      <c r="A276">
        <v>86</v>
      </c>
      <c r="B276">
        <v>0</v>
      </c>
      <c r="C276" t="s">
        <v>8</v>
      </c>
      <c r="D276">
        <v>0</v>
      </c>
      <c r="E276">
        <v>0.67336539749521795</v>
      </c>
      <c r="F276">
        <v>1</v>
      </c>
      <c r="G276" s="1" t="s">
        <v>343</v>
      </c>
      <c r="H276" t="s">
        <v>343</v>
      </c>
      <c r="I276" t="s">
        <v>343</v>
      </c>
    </row>
    <row r="277" spans="1:9" x14ac:dyDescent="0.2">
      <c r="A277">
        <v>82</v>
      </c>
      <c r="B277">
        <v>15</v>
      </c>
      <c r="C277" t="s">
        <v>16</v>
      </c>
      <c r="D277">
        <v>1</v>
      </c>
      <c r="E277">
        <v>0.97290964866988405</v>
      </c>
      <c r="F277">
        <v>1</v>
      </c>
      <c r="G277" s="1" t="s">
        <v>344</v>
      </c>
      <c r="H277" t="s">
        <v>344</v>
      </c>
      <c r="I277" t="s">
        <v>344</v>
      </c>
    </row>
    <row r="278" spans="1:9" x14ac:dyDescent="0.2">
      <c r="A278">
        <v>62</v>
      </c>
      <c r="B278">
        <v>2</v>
      </c>
      <c r="C278" t="s">
        <v>16</v>
      </c>
      <c r="D278">
        <v>1</v>
      </c>
      <c r="E278">
        <v>0.89080430183093995</v>
      </c>
      <c r="F278">
        <v>1</v>
      </c>
      <c r="G278" s="1" t="s">
        <v>345</v>
      </c>
      <c r="H278" t="s">
        <v>345</v>
      </c>
      <c r="I278" t="s">
        <v>345</v>
      </c>
    </row>
    <row r="279" spans="1:9" x14ac:dyDescent="0.2">
      <c r="A279">
        <v>26</v>
      </c>
      <c r="B279">
        <v>13</v>
      </c>
      <c r="C279" t="s">
        <v>8</v>
      </c>
      <c r="D279">
        <v>1</v>
      </c>
      <c r="E279">
        <v>0.85499921371229004</v>
      </c>
      <c r="F279">
        <v>2</v>
      </c>
      <c r="G279" s="1" t="s">
        <v>346</v>
      </c>
      <c r="H279" t="s">
        <v>347</v>
      </c>
      <c r="I279" t="s">
        <v>346</v>
      </c>
    </row>
    <row r="280" spans="1:9" x14ac:dyDescent="0.2">
      <c r="A280">
        <v>73</v>
      </c>
      <c r="B280">
        <v>10</v>
      </c>
      <c r="C280" t="s">
        <v>8</v>
      </c>
      <c r="D280">
        <v>0</v>
      </c>
      <c r="E280">
        <v>0.54179734305944305</v>
      </c>
      <c r="F280">
        <v>2</v>
      </c>
      <c r="G280" s="1" t="s">
        <v>348</v>
      </c>
      <c r="H280" t="s">
        <v>349</v>
      </c>
      <c r="I280" t="s">
        <v>348</v>
      </c>
    </row>
    <row r="281" spans="1:9" x14ac:dyDescent="0.2">
      <c r="A281">
        <v>56</v>
      </c>
      <c r="B281">
        <v>12</v>
      </c>
      <c r="C281" t="s">
        <v>16</v>
      </c>
      <c r="D281">
        <v>0</v>
      </c>
      <c r="E281">
        <v>0.84509699698537599</v>
      </c>
      <c r="F281">
        <v>2</v>
      </c>
      <c r="G281" s="1" t="s">
        <v>350</v>
      </c>
      <c r="H281" t="s">
        <v>351</v>
      </c>
      <c r="I281" t="s">
        <v>350</v>
      </c>
    </row>
    <row r="282" spans="1:9" x14ac:dyDescent="0.2">
      <c r="A282">
        <v>80</v>
      </c>
      <c r="B282">
        <v>2</v>
      </c>
      <c r="C282" t="s">
        <v>16</v>
      </c>
      <c r="D282">
        <v>0</v>
      </c>
      <c r="E282">
        <v>0.52431060816161301</v>
      </c>
      <c r="F282">
        <v>1</v>
      </c>
      <c r="G282" s="1" t="s">
        <v>352</v>
      </c>
      <c r="H282" t="s">
        <v>352</v>
      </c>
      <c r="I282" t="s">
        <v>352</v>
      </c>
    </row>
    <row r="283" spans="1:9" x14ac:dyDescent="0.2">
      <c r="A283">
        <v>82</v>
      </c>
      <c r="B283">
        <v>6</v>
      </c>
      <c r="C283" t="s">
        <v>10</v>
      </c>
      <c r="D283">
        <v>1</v>
      </c>
      <c r="E283">
        <v>0.89324470644351095</v>
      </c>
      <c r="F283">
        <v>3</v>
      </c>
      <c r="G283" s="1" t="s">
        <v>353</v>
      </c>
      <c r="H283" t="s">
        <v>354</v>
      </c>
      <c r="I283" t="s">
        <v>353</v>
      </c>
    </row>
    <row r="284" spans="1:9" x14ac:dyDescent="0.2">
      <c r="A284">
        <v>63</v>
      </c>
      <c r="B284">
        <v>7</v>
      </c>
      <c r="C284" t="s">
        <v>8</v>
      </c>
      <c r="D284">
        <v>0</v>
      </c>
      <c r="E284">
        <v>0.71112766733858701</v>
      </c>
      <c r="F284">
        <v>1</v>
      </c>
      <c r="G284" s="1" t="s">
        <v>355</v>
      </c>
      <c r="H284" t="s">
        <v>355</v>
      </c>
      <c r="I284" t="s">
        <v>355</v>
      </c>
    </row>
    <row r="285" spans="1:9" x14ac:dyDescent="0.2">
      <c r="A285">
        <v>26</v>
      </c>
      <c r="B285">
        <v>11</v>
      </c>
      <c r="C285" t="s">
        <v>10</v>
      </c>
      <c r="D285">
        <v>2</v>
      </c>
      <c r="E285">
        <v>0.93285701738204796</v>
      </c>
      <c r="F285">
        <v>1</v>
      </c>
      <c r="G285" s="1" t="s">
        <v>356</v>
      </c>
      <c r="H285" t="s">
        <v>356</v>
      </c>
      <c r="I285" t="s">
        <v>356</v>
      </c>
    </row>
    <row r="286" spans="1:9" x14ac:dyDescent="0.2">
      <c r="A286">
        <v>86</v>
      </c>
      <c r="B286">
        <v>14</v>
      </c>
      <c r="C286" t="s">
        <v>8</v>
      </c>
      <c r="D286">
        <v>2</v>
      </c>
      <c r="E286">
        <v>0.767095420742407</v>
      </c>
      <c r="F286">
        <v>1</v>
      </c>
      <c r="G286" s="1" t="s">
        <v>357</v>
      </c>
      <c r="H286" t="s">
        <v>357</v>
      </c>
      <c r="I286" t="s">
        <v>357</v>
      </c>
    </row>
    <row r="287" spans="1:9" x14ac:dyDescent="0.2">
      <c r="A287">
        <v>57</v>
      </c>
      <c r="B287">
        <v>4</v>
      </c>
      <c r="C287" t="s">
        <v>10</v>
      </c>
      <c r="D287">
        <v>0</v>
      </c>
      <c r="E287">
        <v>0.60497412877157297</v>
      </c>
      <c r="F287">
        <v>1</v>
      </c>
      <c r="G287" s="1" t="s">
        <v>358</v>
      </c>
      <c r="H287" t="s">
        <v>358</v>
      </c>
      <c r="I287" t="s">
        <v>358</v>
      </c>
    </row>
    <row r="288" spans="1:9" x14ac:dyDescent="0.2">
      <c r="A288">
        <v>45</v>
      </c>
      <c r="B288">
        <v>14</v>
      </c>
      <c r="C288" t="s">
        <v>16</v>
      </c>
      <c r="D288">
        <v>0</v>
      </c>
      <c r="E288">
        <v>0.87800442788284305</v>
      </c>
      <c r="F288">
        <v>1</v>
      </c>
      <c r="G288" s="1" t="s">
        <v>359</v>
      </c>
      <c r="H288" t="s">
        <v>359</v>
      </c>
      <c r="I288" t="s">
        <v>359</v>
      </c>
    </row>
    <row r="289" spans="1:9" x14ac:dyDescent="0.2">
      <c r="A289">
        <v>57</v>
      </c>
      <c r="B289">
        <v>11</v>
      </c>
      <c r="C289" t="s">
        <v>8</v>
      </c>
      <c r="D289">
        <v>1</v>
      </c>
      <c r="E289">
        <v>0.87068855192046601</v>
      </c>
      <c r="F289">
        <v>1</v>
      </c>
      <c r="G289" s="1" t="s">
        <v>360</v>
      </c>
      <c r="H289" t="s">
        <v>360</v>
      </c>
      <c r="I289" t="s">
        <v>360</v>
      </c>
    </row>
    <row r="290" spans="1:9" x14ac:dyDescent="0.2">
      <c r="A290">
        <v>60</v>
      </c>
      <c r="B290">
        <v>7</v>
      </c>
      <c r="C290" t="s">
        <v>8</v>
      </c>
      <c r="D290">
        <v>0</v>
      </c>
      <c r="E290">
        <v>0.64985891769174498</v>
      </c>
      <c r="F290">
        <v>1</v>
      </c>
      <c r="G290" s="1" t="s">
        <v>361</v>
      </c>
      <c r="H290" t="s">
        <v>361</v>
      </c>
      <c r="I290" t="s">
        <v>361</v>
      </c>
    </row>
    <row r="291" spans="1:9" x14ac:dyDescent="0.2">
      <c r="A291">
        <v>66</v>
      </c>
      <c r="B291">
        <v>4</v>
      </c>
      <c r="C291" t="s">
        <v>8</v>
      </c>
      <c r="D291">
        <v>1</v>
      </c>
      <c r="E291">
        <v>0.59533206047490195</v>
      </c>
      <c r="F291">
        <v>1</v>
      </c>
      <c r="G291" s="1" t="s">
        <v>362</v>
      </c>
      <c r="H291" t="s">
        <v>362</v>
      </c>
      <c r="I291" t="s">
        <v>362</v>
      </c>
    </row>
    <row r="292" spans="1:9" x14ac:dyDescent="0.2">
      <c r="A292">
        <v>55</v>
      </c>
      <c r="B292">
        <v>12</v>
      </c>
      <c r="C292" t="s">
        <v>10</v>
      </c>
      <c r="D292">
        <v>0</v>
      </c>
      <c r="E292">
        <v>0.80002325156237897</v>
      </c>
      <c r="F292">
        <v>2</v>
      </c>
      <c r="G292" s="1" t="s">
        <v>363</v>
      </c>
      <c r="H292" t="s">
        <v>364</v>
      </c>
      <c r="I292" t="s">
        <v>363</v>
      </c>
    </row>
    <row r="293" spans="1:9" x14ac:dyDescent="0.2">
      <c r="A293">
        <v>77</v>
      </c>
      <c r="B293">
        <v>4</v>
      </c>
      <c r="C293" t="s">
        <v>8</v>
      </c>
      <c r="D293">
        <v>1</v>
      </c>
      <c r="E293">
        <v>0.98284193978179202</v>
      </c>
      <c r="F293">
        <v>2</v>
      </c>
      <c r="G293" s="1" t="s">
        <v>365</v>
      </c>
      <c r="H293" t="s">
        <v>366</v>
      </c>
      <c r="I293" t="s">
        <v>365</v>
      </c>
    </row>
    <row r="294" spans="1:9" x14ac:dyDescent="0.2">
      <c r="A294">
        <v>59</v>
      </c>
      <c r="B294">
        <v>6</v>
      </c>
      <c r="C294" t="s">
        <v>16</v>
      </c>
      <c r="D294">
        <v>0</v>
      </c>
      <c r="E294">
        <v>0.53344591078348502</v>
      </c>
      <c r="F294">
        <v>1</v>
      </c>
      <c r="G294" s="1" t="s">
        <v>367</v>
      </c>
      <c r="H294" t="s">
        <v>367</v>
      </c>
      <c r="I294" t="s">
        <v>367</v>
      </c>
    </row>
    <row r="295" spans="1:9" x14ac:dyDescent="0.2">
      <c r="A295">
        <v>87</v>
      </c>
      <c r="B295">
        <v>8</v>
      </c>
      <c r="C295" t="s">
        <v>8</v>
      </c>
      <c r="D295">
        <v>0</v>
      </c>
      <c r="E295">
        <v>0.50065656797960401</v>
      </c>
      <c r="F295">
        <v>1</v>
      </c>
      <c r="G295" s="1" t="s">
        <v>368</v>
      </c>
      <c r="H295" t="s">
        <v>368</v>
      </c>
      <c r="I295" t="s">
        <v>368</v>
      </c>
    </row>
    <row r="296" spans="1:9" x14ac:dyDescent="0.2">
      <c r="A296">
        <v>61</v>
      </c>
      <c r="B296">
        <v>13</v>
      </c>
      <c r="C296" t="s">
        <v>16</v>
      </c>
      <c r="D296">
        <v>0</v>
      </c>
      <c r="E296">
        <v>0.96473667386453599</v>
      </c>
      <c r="F296">
        <v>2</v>
      </c>
      <c r="G296" s="1" t="s">
        <v>369</v>
      </c>
      <c r="H296" t="s">
        <v>370</v>
      </c>
      <c r="I296" t="s">
        <v>369</v>
      </c>
    </row>
    <row r="297" spans="1:9" x14ac:dyDescent="0.2">
      <c r="A297">
        <v>41</v>
      </c>
      <c r="B297">
        <v>4</v>
      </c>
      <c r="C297" t="s">
        <v>8</v>
      </c>
      <c r="D297">
        <v>0</v>
      </c>
      <c r="E297">
        <v>0.80767214193474501</v>
      </c>
      <c r="F297">
        <v>1</v>
      </c>
      <c r="G297" s="1" t="s">
        <v>371</v>
      </c>
      <c r="H297" t="s">
        <v>371</v>
      </c>
      <c r="I297" t="s">
        <v>371</v>
      </c>
    </row>
    <row r="298" spans="1:9" x14ac:dyDescent="0.2">
      <c r="A298">
        <v>76</v>
      </c>
      <c r="B298">
        <v>11</v>
      </c>
      <c r="C298" t="s">
        <v>8</v>
      </c>
      <c r="D298">
        <v>0</v>
      </c>
      <c r="E298">
        <v>0.60979014297481604</v>
      </c>
      <c r="F298">
        <v>1</v>
      </c>
      <c r="G298" s="1" t="s">
        <v>372</v>
      </c>
      <c r="H298" t="s">
        <v>372</v>
      </c>
      <c r="I298" t="s">
        <v>372</v>
      </c>
    </row>
    <row r="299" spans="1:9" x14ac:dyDescent="0.2">
      <c r="A299">
        <v>80</v>
      </c>
      <c r="B299">
        <v>9</v>
      </c>
      <c r="C299" t="s">
        <v>8</v>
      </c>
      <c r="D299">
        <v>0</v>
      </c>
      <c r="E299">
        <v>0.99059424560982701</v>
      </c>
      <c r="F299">
        <v>1</v>
      </c>
      <c r="G299" s="1" t="s">
        <v>373</v>
      </c>
      <c r="H299" t="s">
        <v>373</v>
      </c>
      <c r="I299" t="s">
        <v>373</v>
      </c>
    </row>
    <row r="300" spans="1:9" x14ac:dyDescent="0.2">
      <c r="A300">
        <v>67</v>
      </c>
      <c r="B300">
        <v>10</v>
      </c>
      <c r="C300" t="s">
        <v>8</v>
      </c>
      <c r="D300">
        <v>1</v>
      </c>
      <c r="E300">
        <v>0.94543461664579798</v>
      </c>
      <c r="F300">
        <v>2</v>
      </c>
      <c r="G300" s="1" t="s">
        <v>374</v>
      </c>
      <c r="H300" t="s">
        <v>375</v>
      </c>
      <c r="I300" t="s">
        <v>374</v>
      </c>
    </row>
    <row r="301" spans="1:9" x14ac:dyDescent="0.2">
      <c r="A301">
        <v>61</v>
      </c>
      <c r="B301">
        <v>2</v>
      </c>
      <c r="C301" t="s">
        <v>10</v>
      </c>
      <c r="D301">
        <v>0</v>
      </c>
      <c r="E301">
        <v>0.959398106439039</v>
      </c>
      <c r="F301">
        <v>1</v>
      </c>
      <c r="G301" s="1" t="s">
        <v>376</v>
      </c>
      <c r="H301" t="s">
        <v>376</v>
      </c>
      <c r="I301" t="s">
        <v>376</v>
      </c>
    </row>
    <row r="302" spans="1:9" x14ac:dyDescent="0.2">
      <c r="A302">
        <v>29</v>
      </c>
      <c r="B302">
        <v>14</v>
      </c>
      <c r="C302" t="s">
        <v>8</v>
      </c>
      <c r="D302">
        <v>1</v>
      </c>
      <c r="E302">
        <v>0.79868855024687901</v>
      </c>
      <c r="F302">
        <v>1</v>
      </c>
      <c r="G302" s="1" t="s">
        <v>377</v>
      </c>
      <c r="H302" t="s">
        <v>377</v>
      </c>
      <c r="I302" t="s">
        <v>377</v>
      </c>
    </row>
    <row r="303" spans="1:9" x14ac:dyDescent="0.2">
      <c r="A303">
        <v>56</v>
      </c>
      <c r="B303">
        <v>6</v>
      </c>
      <c r="C303" t="s">
        <v>8</v>
      </c>
      <c r="D303">
        <v>0</v>
      </c>
      <c r="E303">
        <v>0.969576795119792</v>
      </c>
      <c r="F303">
        <v>1</v>
      </c>
      <c r="G303" s="1" t="s">
        <v>378</v>
      </c>
      <c r="H303" t="s">
        <v>378</v>
      </c>
      <c r="I303" t="s">
        <v>378</v>
      </c>
    </row>
    <row r="304" spans="1:9" x14ac:dyDescent="0.2">
      <c r="A304">
        <v>40</v>
      </c>
      <c r="B304">
        <v>12</v>
      </c>
      <c r="C304" t="s">
        <v>8</v>
      </c>
      <c r="D304">
        <v>0</v>
      </c>
      <c r="E304">
        <v>0.82490353810135297</v>
      </c>
      <c r="F304">
        <v>1</v>
      </c>
      <c r="G304" s="1" t="s">
        <v>379</v>
      </c>
      <c r="H304" t="s">
        <v>379</v>
      </c>
      <c r="I304" t="s">
        <v>379</v>
      </c>
    </row>
    <row r="305" spans="1:9" x14ac:dyDescent="0.2">
      <c r="A305">
        <v>58</v>
      </c>
      <c r="B305">
        <v>9</v>
      </c>
      <c r="C305" t="s">
        <v>10</v>
      </c>
      <c r="D305">
        <v>0</v>
      </c>
      <c r="E305">
        <v>0.77681175712495998</v>
      </c>
      <c r="F305">
        <v>1</v>
      </c>
      <c r="G305" s="1" t="s">
        <v>380</v>
      </c>
      <c r="H305" t="s">
        <v>380</v>
      </c>
      <c r="I305" t="s">
        <v>380</v>
      </c>
    </row>
    <row r="306" spans="1:9" x14ac:dyDescent="0.2">
      <c r="A306">
        <v>87</v>
      </c>
      <c r="B306">
        <v>12</v>
      </c>
      <c r="C306" t="s">
        <v>16</v>
      </c>
      <c r="D306">
        <v>0</v>
      </c>
      <c r="E306">
        <v>0.773537914501503</v>
      </c>
      <c r="F306">
        <v>2</v>
      </c>
      <c r="G306" s="1" t="s">
        <v>381</v>
      </c>
      <c r="H306" t="s">
        <v>382</v>
      </c>
      <c r="I306" t="s">
        <v>381</v>
      </c>
    </row>
    <row r="307" spans="1:9" x14ac:dyDescent="0.2">
      <c r="A307">
        <v>64</v>
      </c>
      <c r="B307">
        <v>14</v>
      </c>
      <c r="C307" t="s">
        <v>8</v>
      </c>
      <c r="D307">
        <v>1</v>
      </c>
      <c r="E307">
        <v>0.64652010344434496</v>
      </c>
      <c r="F307">
        <v>1</v>
      </c>
      <c r="G307" s="1" t="s">
        <v>383</v>
      </c>
      <c r="H307" t="s">
        <v>383</v>
      </c>
      <c r="I307" t="s">
        <v>383</v>
      </c>
    </row>
    <row r="308" spans="1:9" x14ac:dyDescent="0.2">
      <c r="A308">
        <v>22</v>
      </c>
      <c r="B308">
        <v>12</v>
      </c>
      <c r="C308" t="s">
        <v>8</v>
      </c>
      <c r="D308">
        <v>0</v>
      </c>
      <c r="E308">
        <v>0.96491319686174404</v>
      </c>
      <c r="F308">
        <v>1</v>
      </c>
      <c r="G308" s="1" t="s">
        <v>384</v>
      </c>
      <c r="H308" t="s">
        <v>384</v>
      </c>
      <c r="I308" t="s">
        <v>384</v>
      </c>
    </row>
    <row r="309" spans="1:9" x14ac:dyDescent="0.2">
      <c r="A309">
        <v>63</v>
      </c>
      <c r="B309">
        <v>15</v>
      </c>
      <c r="C309" t="s">
        <v>8</v>
      </c>
      <c r="D309">
        <v>0</v>
      </c>
      <c r="E309">
        <v>0.753905533929355</v>
      </c>
      <c r="F309">
        <v>1</v>
      </c>
      <c r="G309" s="1" t="s">
        <v>385</v>
      </c>
      <c r="H309" t="s">
        <v>385</v>
      </c>
      <c r="I309" t="s">
        <v>385</v>
      </c>
    </row>
    <row r="310" spans="1:9" x14ac:dyDescent="0.2">
      <c r="A310">
        <v>57</v>
      </c>
      <c r="B310">
        <v>4</v>
      </c>
      <c r="C310" t="s">
        <v>16</v>
      </c>
      <c r="D310">
        <v>0</v>
      </c>
      <c r="E310">
        <v>0.66445410321466603</v>
      </c>
      <c r="F310">
        <v>1</v>
      </c>
      <c r="G310" s="1" t="s">
        <v>386</v>
      </c>
      <c r="H310" t="s">
        <v>386</v>
      </c>
      <c r="I310" t="s">
        <v>386</v>
      </c>
    </row>
    <row r="311" spans="1:9" x14ac:dyDescent="0.2">
      <c r="A311">
        <v>77</v>
      </c>
      <c r="B311">
        <v>7</v>
      </c>
      <c r="C311" t="s">
        <v>10</v>
      </c>
      <c r="D311">
        <v>0</v>
      </c>
      <c r="E311">
        <v>0.62580901116598397</v>
      </c>
      <c r="F311">
        <v>1</v>
      </c>
      <c r="G311" s="1" t="s">
        <v>387</v>
      </c>
      <c r="H311" t="s">
        <v>387</v>
      </c>
      <c r="I311" t="s">
        <v>387</v>
      </c>
    </row>
    <row r="312" spans="1:9" x14ac:dyDescent="0.2">
      <c r="A312">
        <v>37</v>
      </c>
      <c r="B312">
        <v>2</v>
      </c>
      <c r="C312" t="s">
        <v>8</v>
      </c>
      <c r="D312">
        <v>2</v>
      </c>
      <c r="E312">
        <v>0.68959062697831497</v>
      </c>
      <c r="F312">
        <v>1</v>
      </c>
      <c r="G312" s="1" t="s">
        <v>388</v>
      </c>
      <c r="H312" t="s">
        <v>388</v>
      </c>
      <c r="I312" t="s">
        <v>388</v>
      </c>
    </row>
    <row r="313" spans="1:9" x14ac:dyDescent="0.2">
      <c r="A313">
        <v>38</v>
      </c>
      <c r="B313">
        <v>12</v>
      </c>
      <c r="C313" t="s">
        <v>10</v>
      </c>
      <c r="D313">
        <v>1</v>
      </c>
      <c r="E313">
        <v>0.63079013442620602</v>
      </c>
      <c r="F313">
        <v>1</v>
      </c>
      <c r="G313" s="1" t="s">
        <v>389</v>
      </c>
      <c r="H313" t="s">
        <v>389</v>
      </c>
      <c r="I313" t="s">
        <v>389</v>
      </c>
    </row>
    <row r="314" spans="1:9" x14ac:dyDescent="0.2">
      <c r="A314">
        <v>64</v>
      </c>
      <c r="B314">
        <v>2</v>
      </c>
      <c r="C314" t="s">
        <v>10</v>
      </c>
      <c r="D314">
        <v>1</v>
      </c>
      <c r="E314">
        <v>0.624967026175</v>
      </c>
      <c r="F314">
        <v>2</v>
      </c>
      <c r="G314" s="1" t="s">
        <v>390</v>
      </c>
      <c r="H314" t="s">
        <v>391</v>
      </c>
      <c r="I314" t="s">
        <v>390</v>
      </c>
    </row>
    <row r="315" spans="1:9" x14ac:dyDescent="0.2">
      <c r="A315">
        <v>86</v>
      </c>
      <c r="B315">
        <v>8</v>
      </c>
      <c r="C315" t="s">
        <v>8</v>
      </c>
      <c r="D315">
        <v>0</v>
      </c>
      <c r="E315">
        <v>0.765823000576347</v>
      </c>
      <c r="F315">
        <v>1</v>
      </c>
      <c r="G315" s="1" t="s">
        <v>392</v>
      </c>
      <c r="H315" t="s">
        <v>392</v>
      </c>
      <c r="I315" t="s">
        <v>392</v>
      </c>
    </row>
    <row r="316" spans="1:9" x14ac:dyDescent="0.2">
      <c r="A316">
        <v>43</v>
      </c>
      <c r="B316">
        <v>9</v>
      </c>
      <c r="C316" t="s">
        <v>8</v>
      </c>
      <c r="D316">
        <v>0</v>
      </c>
      <c r="E316">
        <v>0.81568208918906704</v>
      </c>
      <c r="F316">
        <v>1</v>
      </c>
      <c r="G316" s="1" t="s">
        <v>393</v>
      </c>
      <c r="H316" t="s">
        <v>393</v>
      </c>
      <c r="I316" t="s">
        <v>393</v>
      </c>
    </row>
    <row r="317" spans="1:9" x14ac:dyDescent="0.2">
      <c r="A317">
        <v>48</v>
      </c>
      <c r="B317">
        <v>8</v>
      </c>
      <c r="C317" t="s">
        <v>8</v>
      </c>
      <c r="D317">
        <v>0</v>
      </c>
      <c r="E317">
        <v>0.72866292914841302</v>
      </c>
      <c r="F317">
        <v>1</v>
      </c>
      <c r="G317" s="1" t="s">
        <v>394</v>
      </c>
      <c r="H317" t="s">
        <v>394</v>
      </c>
      <c r="I317" t="s">
        <v>394</v>
      </c>
    </row>
    <row r="318" spans="1:9" x14ac:dyDescent="0.2">
      <c r="A318">
        <v>69</v>
      </c>
      <c r="B318">
        <v>3</v>
      </c>
      <c r="C318" t="s">
        <v>8</v>
      </c>
      <c r="D318">
        <v>0</v>
      </c>
      <c r="E318">
        <v>0.52295485557988297</v>
      </c>
      <c r="F318">
        <v>1</v>
      </c>
      <c r="G318" s="1" t="s">
        <v>395</v>
      </c>
      <c r="H318" t="s">
        <v>395</v>
      </c>
      <c r="I318" t="s">
        <v>395</v>
      </c>
    </row>
    <row r="319" spans="1:9" x14ac:dyDescent="0.2">
      <c r="A319">
        <v>73</v>
      </c>
      <c r="B319">
        <v>14</v>
      </c>
      <c r="C319" t="s">
        <v>8</v>
      </c>
      <c r="D319">
        <v>1</v>
      </c>
      <c r="E319">
        <v>0.94283066852949604</v>
      </c>
      <c r="F319">
        <v>2</v>
      </c>
      <c r="G319" s="1" t="s">
        <v>396</v>
      </c>
      <c r="H319" t="s">
        <v>397</v>
      </c>
      <c r="I319" t="s">
        <v>396</v>
      </c>
    </row>
    <row r="320" spans="1:9" x14ac:dyDescent="0.2">
      <c r="A320">
        <v>46</v>
      </c>
      <c r="B320">
        <v>14</v>
      </c>
      <c r="C320" t="s">
        <v>16</v>
      </c>
      <c r="D320">
        <v>0</v>
      </c>
      <c r="E320">
        <v>0.68637077580206096</v>
      </c>
      <c r="F320">
        <v>1</v>
      </c>
      <c r="G320" s="1" t="s">
        <v>398</v>
      </c>
      <c r="H320" t="s">
        <v>398</v>
      </c>
      <c r="I320" t="s">
        <v>398</v>
      </c>
    </row>
    <row r="321" spans="1:9" x14ac:dyDescent="0.2">
      <c r="A321">
        <v>69</v>
      </c>
      <c r="B321">
        <v>12</v>
      </c>
      <c r="C321" t="s">
        <v>8</v>
      </c>
      <c r="D321">
        <v>0</v>
      </c>
      <c r="E321">
        <v>0.562240007566288</v>
      </c>
      <c r="F321">
        <v>1</v>
      </c>
      <c r="G321" s="1" t="s">
        <v>399</v>
      </c>
      <c r="H321" t="s">
        <v>399</v>
      </c>
      <c r="I321" t="s">
        <v>399</v>
      </c>
    </row>
    <row r="322" spans="1:9" x14ac:dyDescent="0.2">
      <c r="A322">
        <v>79</v>
      </c>
      <c r="B322">
        <v>8</v>
      </c>
      <c r="C322" t="s">
        <v>10</v>
      </c>
      <c r="D322">
        <v>0</v>
      </c>
      <c r="E322">
        <v>0.71943037933669995</v>
      </c>
      <c r="F322">
        <v>2</v>
      </c>
      <c r="G322" s="1" t="s">
        <v>400</v>
      </c>
      <c r="H322" t="s">
        <v>401</v>
      </c>
      <c r="I322" t="s">
        <v>400</v>
      </c>
    </row>
    <row r="323" spans="1:9" x14ac:dyDescent="0.2">
      <c r="A323">
        <v>79</v>
      </c>
      <c r="B323">
        <v>1</v>
      </c>
      <c r="C323" t="s">
        <v>8</v>
      </c>
      <c r="D323">
        <v>0</v>
      </c>
      <c r="E323">
        <v>0.85896802879869905</v>
      </c>
      <c r="F323">
        <v>1</v>
      </c>
      <c r="G323" s="1" t="s">
        <v>402</v>
      </c>
      <c r="H323" t="s">
        <v>402</v>
      </c>
      <c r="I323" t="s">
        <v>402</v>
      </c>
    </row>
    <row r="324" spans="1:9" x14ac:dyDescent="0.2">
      <c r="A324">
        <v>52</v>
      </c>
      <c r="B324">
        <v>11</v>
      </c>
      <c r="C324" t="s">
        <v>8</v>
      </c>
      <c r="D324">
        <v>1</v>
      </c>
      <c r="E324">
        <v>0.92669945571105905</v>
      </c>
      <c r="F324">
        <v>1</v>
      </c>
      <c r="G324" s="1" t="s">
        <v>403</v>
      </c>
      <c r="H324" t="s">
        <v>403</v>
      </c>
      <c r="I324" t="s">
        <v>403</v>
      </c>
    </row>
    <row r="325" spans="1:9" x14ac:dyDescent="0.2">
      <c r="A325">
        <v>39</v>
      </c>
      <c r="B325">
        <v>13</v>
      </c>
      <c r="C325" t="s">
        <v>8</v>
      </c>
      <c r="D325">
        <v>0</v>
      </c>
      <c r="E325">
        <v>0.85455970978364304</v>
      </c>
      <c r="F325">
        <v>2</v>
      </c>
      <c r="G325" s="1" t="s">
        <v>404</v>
      </c>
      <c r="H325" t="s">
        <v>405</v>
      </c>
      <c r="I325" t="s">
        <v>404</v>
      </c>
    </row>
    <row r="326" spans="1:9" x14ac:dyDescent="0.2">
      <c r="A326">
        <v>51</v>
      </c>
      <c r="B326">
        <v>7</v>
      </c>
      <c r="C326" t="s">
        <v>16</v>
      </c>
      <c r="D326">
        <v>0</v>
      </c>
      <c r="E326">
        <v>0.85887881403323296</v>
      </c>
      <c r="F326">
        <v>1</v>
      </c>
      <c r="G326" s="1" t="s">
        <v>406</v>
      </c>
      <c r="H326" t="s">
        <v>406</v>
      </c>
      <c r="I326" t="s">
        <v>406</v>
      </c>
    </row>
    <row r="327" spans="1:9" x14ac:dyDescent="0.2">
      <c r="A327">
        <v>74</v>
      </c>
      <c r="B327">
        <v>14</v>
      </c>
      <c r="C327" t="s">
        <v>10</v>
      </c>
      <c r="D327">
        <v>1</v>
      </c>
      <c r="E327">
        <v>0.91833070688881002</v>
      </c>
      <c r="F327">
        <v>2</v>
      </c>
      <c r="G327" s="1" t="s">
        <v>407</v>
      </c>
      <c r="H327" t="s">
        <v>408</v>
      </c>
      <c r="I327" t="s">
        <v>407</v>
      </c>
    </row>
    <row r="328" spans="1:9" x14ac:dyDescent="0.2">
      <c r="A328">
        <v>52</v>
      </c>
      <c r="B328">
        <v>7</v>
      </c>
      <c r="C328" t="s">
        <v>16</v>
      </c>
      <c r="D328">
        <v>0</v>
      </c>
      <c r="E328">
        <v>0.92519396543502797</v>
      </c>
      <c r="F328">
        <v>1</v>
      </c>
      <c r="G328" s="1" t="s">
        <v>409</v>
      </c>
      <c r="H328" t="s">
        <v>409</v>
      </c>
      <c r="I328" t="s">
        <v>409</v>
      </c>
    </row>
    <row r="329" spans="1:9" x14ac:dyDescent="0.2">
      <c r="A329">
        <v>51</v>
      </c>
      <c r="B329">
        <v>14</v>
      </c>
      <c r="C329" t="s">
        <v>8</v>
      </c>
      <c r="D329">
        <v>0</v>
      </c>
      <c r="E329">
        <v>0.68949580728076398</v>
      </c>
      <c r="F329">
        <v>1</v>
      </c>
      <c r="G329" s="1" t="s">
        <v>410</v>
      </c>
      <c r="H329" t="s">
        <v>410</v>
      </c>
      <c r="I329" t="s">
        <v>410</v>
      </c>
    </row>
    <row r="330" spans="1:9" x14ac:dyDescent="0.2">
      <c r="A330">
        <v>60</v>
      </c>
      <c r="B330">
        <v>5</v>
      </c>
      <c r="C330" t="s">
        <v>8</v>
      </c>
      <c r="D330">
        <v>0</v>
      </c>
      <c r="E330">
        <v>0.74126117897685595</v>
      </c>
      <c r="F330">
        <v>1</v>
      </c>
      <c r="G330" s="1" t="s">
        <v>411</v>
      </c>
      <c r="H330" t="s">
        <v>411</v>
      </c>
      <c r="I330" t="s">
        <v>411</v>
      </c>
    </row>
    <row r="331" spans="1:9" x14ac:dyDescent="0.2">
      <c r="A331">
        <v>60</v>
      </c>
      <c r="B331">
        <v>12</v>
      </c>
      <c r="C331" t="s">
        <v>16</v>
      </c>
      <c r="D331">
        <v>2</v>
      </c>
      <c r="E331">
        <v>0.83419571316335395</v>
      </c>
      <c r="F331">
        <v>1</v>
      </c>
      <c r="G331" s="1" t="s">
        <v>412</v>
      </c>
      <c r="H331" t="s">
        <v>412</v>
      </c>
      <c r="I331" t="s">
        <v>412</v>
      </c>
    </row>
    <row r="332" spans="1:9" x14ac:dyDescent="0.2">
      <c r="A332">
        <v>58</v>
      </c>
      <c r="B332">
        <v>4</v>
      </c>
      <c r="C332" t="s">
        <v>10</v>
      </c>
      <c r="D332">
        <v>1</v>
      </c>
      <c r="E332">
        <v>0.899667217745446</v>
      </c>
      <c r="F332">
        <v>1</v>
      </c>
      <c r="G332" s="1" t="s">
        <v>413</v>
      </c>
      <c r="H332" t="s">
        <v>413</v>
      </c>
      <c r="I332" t="s">
        <v>413</v>
      </c>
    </row>
    <row r="333" spans="1:9" x14ac:dyDescent="0.2">
      <c r="A333">
        <v>35</v>
      </c>
      <c r="B333">
        <v>14</v>
      </c>
      <c r="C333" t="s">
        <v>16</v>
      </c>
      <c r="D333">
        <v>0</v>
      </c>
      <c r="E333">
        <v>0.55906617315486096</v>
      </c>
      <c r="F333">
        <v>1</v>
      </c>
      <c r="G333" s="1" t="s">
        <v>414</v>
      </c>
      <c r="H333" t="s">
        <v>414</v>
      </c>
      <c r="I333" t="s">
        <v>414</v>
      </c>
    </row>
    <row r="334" spans="1:9" x14ac:dyDescent="0.2">
      <c r="A334">
        <v>27</v>
      </c>
      <c r="B334">
        <v>8</v>
      </c>
      <c r="C334" t="s">
        <v>10</v>
      </c>
      <c r="D334">
        <v>1</v>
      </c>
      <c r="E334">
        <v>0.93903449806384698</v>
      </c>
      <c r="F334">
        <v>1</v>
      </c>
      <c r="G334" s="1" t="s">
        <v>415</v>
      </c>
      <c r="H334" t="s">
        <v>415</v>
      </c>
      <c r="I334" t="s">
        <v>415</v>
      </c>
    </row>
    <row r="335" spans="1:9" x14ac:dyDescent="0.2">
      <c r="A335">
        <v>63</v>
      </c>
      <c r="B335">
        <v>14</v>
      </c>
      <c r="C335" t="s">
        <v>10</v>
      </c>
      <c r="D335">
        <v>1</v>
      </c>
      <c r="E335">
        <v>0.95751920691691295</v>
      </c>
      <c r="F335">
        <v>1</v>
      </c>
      <c r="G335" s="1" t="s">
        <v>416</v>
      </c>
      <c r="H335" t="s">
        <v>416</v>
      </c>
      <c r="I335" t="s">
        <v>416</v>
      </c>
    </row>
    <row r="336" spans="1:9" x14ac:dyDescent="0.2">
      <c r="A336">
        <v>57</v>
      </c>
      <c r="B336">
        <v>8</v>
      </c>
      <c r="C336" t="s">
        <v>8</v>
      </c>
      <c r="D336">
        <v>0</v>
      </c>
      <c r="E336">
        <v>0.94870169367641199</v>
      </c>
      <c r="F336">
        <v>1</v>
      </c>
      <c r="G336" s="1" t="s">
        <v>417</v>
      </c>
      <c r="H336" t="s">
        <v>417</v>
      </c>
      <c r="I336" t="s">
        <v>417</v>
      </c>
    </row>
    <row r="337" spans="1:9" x14ac:dyDescent="0.2">
      <c r="A337">
        <v>49</v>
      </c>
      <c r="B337">
        <v>5</v>
      </c>
      <c r="C337" t="s">
        <v>10</v>
      </c>
      <c r="D337">
        <v>1</v>
      </c>
      <c r="E337">
        <v>0.88756030518561602</v>
      </c>
      <c r="F337">
        <v>1</v>
      </c>
      <c r="G337" s="1" t="s">
        <v>418</v>
      </c>
      <c r="H337" t="s">
        <v>418</v>
      </c>
      <c r="I337" t="s">
        <v>418</v>
      </c>
    </row>
    <row r="338" spans="1:9" x14ac:dyDescent="0.2">
      <c r="A338">
        <v>78</v>
      </c>
      <c r="B338">
        <v>11</v>
      </c>
      <c r="C338" t="s">
        <v>16</v>
      </c>
      <c r="D338">
        <v>0</v>
      </c>
      <c r="E338">
        <v>0.52971291169524204</v>
      </c>
      <c r="F338">
        <v>1</v>
      </c>
      <c r="G338" s="1" t="s">
        <v>419</v>
      </c>
      <c r="H338" t="s">
        <v>419</v>
      </c>
      <c r="I338" t="s">
        <v>419</v>
      </c>
    </row>
    <row r="339" spans="1:9" x14ac:dyDescent="0.2">
      <c r="A339">
        <v>70</v>
      </c>
      <c r="B339">
        <v>12</v>
      </c>
      <c r="C339" t="s">
        <v>10</v>
      </c>
      <c r="D339">
        <v>0</v>
      </c>
      <c r="E339">
        <v>0.85487370064947799</v>
      </c>
      <c r="F339">
        <v>2</v>
      </c>
      <c r="G339" s="1" t="s">
        <v>420</v>
      </c>
      <c r="H339" t="s">
        <v>421</v>
      </c>
      <c r="I339" t="s">
        <v>420</v>
      </c>
    </row>
    <row r="340" spans="1:9" x14ac:dyDescent="0.2">
      <c r="A340">
        <v>56</v>
      </c>
      <c r="B340">
        <v>1</v>
      </c>
      <c r="C340" t="s">
        <v>8</v>
      </c>
      <c r="D340">
        <v>0</v>
      </c>
      <c r="E340">
        <v>0.84754951845388904</v>
      </c>
      <c r="F340">
        <v>1</v>
      </c>
      <c r="G340" s="1" t="s">
        <v>422</v>
      </c>
      <c r="H340" t="s">
        <v>422</v>
      </c>
      <c r="I340" t="s">
        <v>422</v>
      </c>
    </row>
    <row r="341" spans="1:9" x14ac:dyDescent="0.2">
      <c r="A341">
        <v>39</v>
      </c>
      <c r="B341">
        <v>11</v>
      </c>
      <c r="C341" t="s">
        <v>16</v>
      </c>
      <c r="D341">
        <v>0</v>
      </c>
      <c r="E341">
        <v>0.79429905326105699</v>
      </c>
      <c r="F341">
        <v>2</v>
      </c>
      <c r="G341" s="1" t="s">
        <v>423</v>
      </c>
      <c r="H341" t="s">
        <v>424</v>
      </c>
      <c r="I341" t="s">
        <v>423</v>
      </c>
    </row>
    <row r="342" spans="1:9" x14ac:dyDescent="0.2">
      <c r="A342">
        <v>70</v>
      </c>
      <c r="B342">
        <v>3</v>
      </c>
      <c r="C342" t="s">
        <v>16</v>
      </c>
      <c r="D342">
        <v>0</v>
      </c>
      <c r="E342">
        <v>0.974424632731825</v>
      </c>
      <c r="F342">
        <v>1</v>
      </c>
      <c r="G342" s="1" t="s">
        <v>425</v>
      </c>
      <c r="H342" t="s">
        <v>425</v>
      </c>
      <c r="I342" t="s">
        <v>425</v>
      </c>
    </row>
    <row r="343" spans="1:9" x14ac:dyDescent="0.2">
      <c r="A343">
        <v>69</v>
      </c>
      <c r="B343">
        <v>4</v>
      </c>
      <c r="C343" t="s">
        <v>8</v>
      </c>
      <c r="D343">
        <v>1</v>
      </c>
      <c r="E343">
        <v>0.63732044503558405</v>
      </c>
      <c r="F343">
        <v>1</v>
      </c>
      <c r="G343" s="1" t="s">
        <v>426</v>
      </c>
      <c r="H343" t="s">
        <v>426</v>
      </c>
      <c r="I343" t="s">
        <v>426</v>
      </c>
    </row>
    <row r="344" spans="1:9" x14ac:dyDescent="0.2">
      <c r="A344">
        <v>88</v>
      </c>
      <c r="B344">
        <v>11</v>
      </c>
      <c r="C344" t="s">
        <v>10</v>
      </c>
      <c r="D344">
        <v>0</v>
      </c>
      <c r="E344">
        <v>0.92033507721498597</v>
      </c>
      <c r="F344">
        <v>1</v>
      </c>
      <c r="G344" s="1" t="s">
        <v>427</v>
      </c>
      <c r="H344" t="s">
        <v>427</v>
      </c>
      <c r="I344" t="s">
        <v>427</v>
      </c>
    </row>
    <row r="345" spans="1:9" x14ac:dyDescent="0.2">
      <c r="A345">
        <v>58</v>
      </c>
      <c r="B345">
        <v>5</v>
      </c>
      <c r="C345" t="s">
        <v>8</v>
      </c>
      <c r="D345">
        <v>1</v>
      </c>
      <c r="E345">
        <v>0.9380130127538</v>
      </c>
      <c r="F345">
        <v>1</v>
      </c>
      <c r="G345" s="1" t="s">
        <v>428</v>
      </c>
      <c r="H345" t="s">
        <v>428</v>
      </c>
      <c r="I345" t="s">
        <v>428</v>
      </c>
    </row>
    <row r="346" spans="1:9" x14ac:dyDescent="0.2">
      <c r="A346">
        <v>81</v>
      </c>
      <c r="B346">
        <v>1</v>
      </c>
      <c r="C346" t="s">
        <v>10</v>
      </c>
      <c r="D346">
        <v>0</v>
      </c>
      <c r="E346">
        <v>0.73202575754839905</v>
      </c>
      <c r="F346">
        <v>1</v>
      </c>
      <c r="G346" s="1" t="s">
        <v>429</v>
      </c>
      <c r="H346" t="s">
        <v>429</v>
      </c>
      <c r="I346" t="s">
        <v>429</v>
      </c>
    </row>
    <row r="347" spans="1:9" x14ac:dyDescent="0.2">
      <c r="A347">
        <v>64</v>
      </c>
      <c r="B347">
        <v>4</v>
      </c>
      <c r="C347" t="s">
        <v>16</v>
      </c>
      <c r="D347">
        <v>1</v>
      </c>
      <c r="E347">
        <v>0.92118362709879897</v>
      </c>
      <c r="F347">
        <v>1</v>
      </c>
      <c r="G347" s="1" t="s">
        <v>430</v>
      </c>
      <c r="H347" t="s">
        <v>430</v>
      </c>
      <c r="I347" t="s">
        <v>430</v>
      </c>
    </row>
    <row r="348" spans="1:9" x14ac:dyDescent="0.2">
      <c r="A348">
        <v>63</v>
      </c>
      <c r="B348">
        <v>5</v>
      </c>
      <c r="C348" t="s">
        <v>8</v>
      </c>
      <c r="D348">
        <v>0</v>
      </c>
      <c r="E348">
        <v>0.67373898590449199</v>
      </c>
      <c r="F348">
        <v>2</v>
      </c>
      <c r="G348" s="1" t="s">
        <v>431</v>
      </c>
      <c r="H348" t="s">
        <v>432</v>
      </c>
      <c r="I348" t="s">
        <v>431</v>
      </c>
    </row>
    <row r="349" spans="1:9" x14ac:dyDescent="0.2">
      <c r="A349">
        <v>38</v>
      </c>
      <c r="B349">
        <v>13</v>
      </c>
      <c r="C349" t="s">
        <v>10</v>
      </c>
      <c r="D349">
        <v>0</v>
      </c>
      <c r="E349">
        <v>0.78601917426567502</v>
      </c>
      <c r="F349">
        <v>2</v>
      </c>
      <c r="G349" s="1" t="s">
        <v>433</v>
      </c>
      <c r="H349" t="s">
        <v>434</v>
      </c>
      <c r="I349" t="s">
        <v>433</v>
      </c>
    </row>
    <row r="350" spans="1:9" x14ac:dyDescent="0.2">
      <c r="A350">
        <v>48</v>
      </c>
      <c r="B350">
        <v>6</v>
      </c>
      <c r="C350" t="s">
        <v>16</v>
      </c>
      <c r="D350">
        <v>0</v>
      </c>
      <c r="E350">
        <v>0.73468153027351901</v>
      </c>
      <c r="F350">
        <v>1</v>
      </c>
      <c r="G350" s="1" t="s">
        <v>435</v>
      </c>
      <c r="H350" t="s">
        <v>435</v>
      </c>
      <c r="I350" t="s">
        <v>435</v>
      </c>
    </row>
    <row r="351" spans="1:9" x14ac:dyDescent="0.2">
      <c r="A351">
        <v>46</v>
      </c>
      <c r="B351">
        <v>8</v>
      </c>
      <c r="C351" t="s">
        <v>8</v>
      </c>
      <c r="D351">
        <v>1</v>
      </c>
      <c r="E351">
        <v>0.75864064844790802</v>
      </c>
      <c r="F351">
        <v>2</v>
      </c>
      <c r="G351" s="1" t="s">
        <v>436</v>
      </c>
      <c r="H351" t="s">
        <v>437</v>
      </c>
      <c r="I351" t="s">
        <v>436</v>
      </c>
    </row>
    <row r="352" spans="1:9" x14ac:dyDescent="0.2">
      <c r="A352">
        <v>41</v>
      </c>
      <c r="B352">
        <v>10</v>
      </c>
      <c r="C352" t="s">
        <v>10</v>
      </c>
      <c r="D352">
        <v>0</v>
      </c>
      <c r="E352">
        <v>0.936429638648406</v>
      </c>
      <c r="F352">
        <v>1</v>
      </c>
      <c r="G352" s="1" t="s">
        <v>438</v>
      </c>
      <c r="H352" t="s">
        <v>438</v>
      </c>
      <c r="I352" t="s">
        <v>438</v>
      </c>
    </row>
    <row r="353" spans="1:9" x14ac:dyDescent="0.2">
      <c r="A353">
        <v>73</v>
      </c>
      <c r="B353">
        <v>11</v>
      </c>
      <c r="C353" t="s">
        <v>16</v>
      </c>
      <c r="D353">
        <v>0</v>
      </c>
      <c r="E353">
        <v>0.60621002409607205</v>
      </c>
      <c r="F353">
        <v>2</v>
      </c>
      <c r="G353" s="1" t="s">
        <v>439</v>
      </c>
      <c r="H353" t="s">
        <v>440</v>
      </c>
      <c r="I353" t="s">
        <v>439</v>
      </c>
    </row>
    <row r="354" spans="1:9" x14ac:dyDescent="0.2">
      <c r="A354">
        <v>26</v>
      </c>
      <c r="B354">
        <v>5</v>
      </c>
      <c r="C354" t="s">
        <v>16</v>
      </c>
      <c r="D354">
        <v>2</v>
      </c>
      <c r="E354">
        <v>0.85846519551705602</v>
      </c>
      <c r="F354">
        <v>1</v>
      </c>
      <c r="G354" s="1" t="s">
        <v>441</v>
      </c>
      <c r="H354" t="s">
        <v>441</v>
      </c>
      <c r="I354" t="s">
        <v>441</v>
      </c>
    </row>
    <row r="355" spans="1:9" x14ac:dyDescent="0.2">
      <c r="A355">
        <v>71</v>
      </c>
      <c r="B355">
        <v>9</v>
      </c>
      <c r="C355" t="s">
        <v>8</v>
      </c>
      <c r="D355">
        <v>1</v>
      </c>
      <c r="E355">
        <v>0.82728133606724397</v>
      </c>
      <c r="F355">
        <v>1</v>
      </c>
      <c r="G355" s="1" t="s">
        <v>442</v>
      </c>
      <c r="H355" t="s">
        <v>442</v>
      </c>
      <c r="I355" t="s">
        <v>442</v>
      </c>
    </row>
    <row r="356" spans="1:9" x14ac:dyDescent="0.2">
      <c r="A356">
        <v>73</v>
      </c>
      <c r="B356">
        <v>4</v>
      </c>
      <c r="C356" t="s">
        <v>10</v>
      </c>
      <c r="D356">
        <v>0</v>
      </c>
      <c r="E356">
        <v>0.70233493368141398</v>
      </c>
      <c r="F356">
        <v>1</v>
      </c>
      <c r="G356" s="1" t="s">
        <v>443</v>
      </c>
      <c r="H356" t="s">
        <v>443</v>
      </c>
      <c r="I356" t="s">
        <v>443</v>
      </c>
    </row>
    <row r="357" spans="1:9" x14ac:dyDescent="0.2">
      <c r="A357">
        <v>89</v>
      </c>
      <c r="B357">
        <v>7</v>
      </c>
      <c r="C357" t="s">
        <v>8</v>
      </c>
      <c r="D357">
        <v>0</v>
      </c>
      <c r="E357">
        <v>0.98124487884342704</v>
      </c>
      <c r="F357">
        <v>1</v>
      </c>
      <c r="G357" s="1" t="s">
        <v>444</v>
      </c>
      <c r="H357" t="s">
        <v>444</v>
      </c>
      <c r="I357" t="s">
        <v>444</v>
      </c>
    </row>
    <row r="358" spans="1:9" x14ac:dyDescent="0.2">
      <c r="A358">
        <v>34</v>
      </c>
      <c r="B358">
        <v>13</v>
      </c>
      <c r="C358" t="s">
        <v>16</v>
      </c>
      <c r="D358">
        <v>0</v>
      </c>
      <c r="E358">
        <v>0.95990401471499398</v>
      </c>
      <c r="F358">
        <v>1</v>
      </c>
      <c r="G358" s="1" t="s">
        <v>445</v>
      </c>
      <c r="H358" t="s">
        <v>445</v>
      </c>
      <c r="I358" t="s">
        <v>445</v>
      </c>
    </row>
    <row r="359" spans="1:9" x14ac:dyDescent="0.2">
      <c r="A359">
        <v>56</v>
      </c>
      <c r="B359">
        <v>9</v>
      </c>
      <c r="C359" t="s">
        <v>16</v>
      </c>
      <c r="D359">
        <v>0</v>
      </c>
      <c r="E359">
        <v>0.97997704485896997</v>
      </c>
      <c r="F359">
        <v>1</v>
      </c>
      <c r="G359" s="1" t="s">
        <v>446</v>
      </c>
      <c r="H359" t="s">
        <v>446</v>
      </c>
      <c r="I359" t="s">
        <v>446</v>
      </c>
    </row>
    <row r="360" spans="1:9" x14ac:dyDescent="0.2">
      <c r="A360">
        <v>86</v>
      </c>
      <c r="B360">
        <v>12</v>
      </c>
      <c r="C360" t="s">
        <v>8</v>
      </c>
      <c r="D360">
        <v>0</v>
      </c>
      <c r="E360">
        <v>0.97137334826402399</v>
      </c>
      <c r="F360">
        <v>1</v>
      </c>
      <c r="G360" s="1" t="s">
        <v>447</v>
      </c>
      <c r="H360" t="s">
        <v>447</v>
      </c>
      <c r="I360" t="s">
        <v>447</v>
      </c>
    </row>
    <row r="361" spans="1:9" x14ac:dyDescent="0.2">
      <c r="A361">
        <v>86</v>
      </c>
      <c r="B361">
        <v>9</v>
      </c>
      <c r="C361" t="s">
        <v>16</v>
      </c>
      <c r="D361">
        <v>0</v>
      </c>
      <c r="E361">
        <v>0.79113135812804103</v>
      </c>
      <c r="F361">
        <v>1</v>
      </c>
      <c r="G361" s="1" t="s">
        <v>448</v>
      </c>
      <c r="H361" t="s">
        <v>448</v>
      </c>
      <c r="I361" t="s">
        <v>448</v>
      </c>
    </row>
    <row r="362" spans="1:9" x14ac:dyDescent="0.2">
      <c r="A362">
        <v>40</v>
      </c>
      <c r="B362">
        <v>15</v>
      </c>
      <c r="C362" t="s">
        <v>8</v>
      </c>
      <c r="D362">
        <v>0</v>
      </c>
      <c r="E362">
        <v>0.60729242651723303</v>
      </c>
      <c r="F362">
        <v>1</v>
      </c>
      <c r="G362" s="1" t="s">
        <v>449</v>
      </c>
      <c r="H362" t="s">
        <v>449</v>
      </c>
      <c r="I362" t="s">
        <v>449</v>
      </c>
    </row>
    <row r="363" spans="1:9" x14ac:dyDescent="0.2">
      <c r="A363">
        <v>37</v>
      </c>
      <c r="B363">
        <v>5</v>
      </c>
      <c r="C363" t="s">
        <v>8</v>
      </c>
      <c r="D363">
        <v>0</v>
      </c>
      <c r="E363">
        <v>0.94802406511735204</v>
      </c>
      <c r="F363">
        <v>1</v>
      </c>
      <c r="G363" s="1" t="s">
        <v>450</v>
      </c>
      <c r="H363" t="s">
        <v>450</v>
      </c>
      <c r="I363" t="s">
        <v>450</v>
      </c>
    </row>
    <row r="364" spans="1:9" x14ac:dyDescent="0.2">
      <c r="A364">
        <v>70</v>
      </c>
      <c r="B364">
        <v>0</v>
      </c>
      <c r="C364" t="s">
        <v>8</v>
      </c>
      <c r="D364">
        <v>0</v>
      </c>
      <c r="E364">
        <v>0.81030767783522595</v>
      </c>
      <c r="F364">
        <v>2</v>
      </c>
      <c r="G364" s="1" t="s">
        <v>451</v>
      </c>
      <c r="H364" t="s">
        <v>452</v>
      </c>
      <c r="I364" t="s">
        <v>451</v>
      </c>
    </row>
    <row r="365" spans="1:9" x14ac:dyDescent="0.2">
      <c r="A365">
        <v>59</v>
      </c>
      <c r="B365">
        <v>4</v>
      </c>
      <c r="C365" t="s">
        <v>8</v>
      </c>
      <c r="D365">
        <v>0</v>
      </c>
      <c r="E365">
        <v>0.66585481876973096</v>
      </c>
      <c r="F365">
        <v>1</v>
      </c>
      <c r="G365" s="1" t="s">
        <v>453</v>
      </c>
      <c r="H365" t="s">
        <v>453</v>
      </c>
      <c r="I365" t="s">
        <v>453</v>
      </c>
    </row>
    <row r="366" spans="1:9" x14ac:dyDescent="0.2">
      <c r="A366">
        <v>26</v>
      </c>
      <c r="B366">
        <v>15</v>
      </c>
      <c r="C366" t="s">
        <v>10</v>
      </c>
      <c r="D366">
        <v>1</v>
      </c>
      <c r="E366">
        <v>0.71143784804735299</v>
      </c>
      <c r="F366">
        <v>1</v>
      </c>
      <c r="G366" s="1" t="s">
        <v>454</v>
      </c>
      <c r="H366" t="s">
        <v>454</v>
      </c>
      <c r="I366" t="s">
        <v>454</v>
      </c>
    </row>
    <row r="367" spans="1:9" x14ac:dyDescent="0.2">
      <c r="A367">
        <v>57</v>
      </c>
      <c r="B367">
        <v>0</v>
      </c>
      <c r="C367" t="s">
        <v>16</v>
      </c>
      <c r="D367">
        <v>0</v>
      </c>
      <c r="E367">
        <v>0.51460451632738102</v>
      </c>
      <c r="F367">
        <v>1</v>
      </c>
      <c r="G367" s="1" t="s">
        <v>455</v>
      </c>
      <c r="H367" t="s">
        <v>455</v>
      </c>
      <c r="I367" t="s">
        <v>455</v>
      </c>
    </row>
    <row r="368" spans="1:9" x14ac:dyDescent="0.2">
      <c r="A368">
        <v>70</v>
      </c>
      <c r="B368">
        <v>13</v>
      </c>
      <c r="C368" t="s">
        <v>16</v>
      </c>
      <c r="D368">
        <v>0</v>
      </c>
      <c r="E368">
        <v>0.94549614330753695</v>
      </c>
      <c r="F368">
        <v>1</v>
      </c>
      <c r="G368" s="1" t="s">
        <v>456</v>
      </c>
      <c r="H368" t="s">
        <v>456</v>
      </c>
      <c r="I368" t="s">
        <v>456</v>
      </c>
    </row>
    <row r="369" spans="1:9" x14ac:dyDescent="0.2">
      <c r="A369">
        <v>72</v>
      </c>
      <c r="B369">
        <v>12</v>
      </c>
      <c r="C369" t="s">
        <v>8</v>
      </c>
      <c r="D369">
        <v>1</v>
      </c>
      <c r="E369">
        <v>0.67171278316527605</v>
      </c>
      <c r="F369">
        <v>1</v>
      </c>
      <c r="G369" s="1" t="s">
        <v>457</v>
      </c>
      <c r="H369" t="s">
        <v>457</v>
      </c>
      <c r="I369" t="s">
        <v>457</v>
      </c>
    </row>
    <row r="370" spans="1:9" x14ac:dyDescent="0.2">
      <c r="A370">
        <v>39</v>
      </c>
      <c r="B370">
        <v>9</v>
      </c>
      <c r="C370" t="s">
        <v>16</v>
      </c>
      <c r="D370">
        <v>0</v>
      </c>
      <c r="E370">
        <v>0.94708799268119004</v>
      </c>
      <c r="F370">
        <v>2</v>
      </c>
      <c r="G370" s="1" t="s">
        <v>458</v>
      </c>
      <c r="H370" t="s">
        <v>459</v>
      </c>
      <c r="I370" t="s">
        <v>458</v>
      </c>
    </row>
    <row r="371" spans="1:9" x14ac:dyDescent="0.2">
      <c r="A371">
        <v>56</v>
      </c>
      <c r="B371">
        <v>8</v>
      </c>
      <c r="C371" t="s">
        <v>8</v>
      </c>
      <c r="D371">
        <v>0</v>
      </c>
      <c r="E371">
        <v>0.91268114384729404</v>
      </c>
      <c r="F371">
        <v>1</v>
      </c>
      <c r="G371" s="1" t="s">
        <v>460</v>
      </c>
      <c r="H371" t="s">
        <v>460</v>
      </c>
      <c r="I371" t="s">
        <v>460</v>
      </c>
    </row>
    <row r="372" spans="1:9" x14ac:dyDescent="0.2">
      <c r="A372">
        <v>23</v>
      </c>
      <c r="B372">
        <v>13</v>
      </c>
      <c r="C372" t="s">
        <v>8</v>
      </c>
      <c r="D372">
        <v>0</v>
      </c>
      <c r="E372">
        <v>0.95343400677666101</v>
      </c>
      <c r="F372">
        <v>1</v>
      </c>
      <c r="G372" s="1" t="s">
        <v>461</v>
      </c>
      <c r="H372" t="s">
        <v>461</v>
      </c>
      <c r="I372" t="s">
        <v>461</v>
      </c>
    </row>
    <row r="373" spans="1:9" x14ac:dyDescent="0.2">
      <c r="A373">
        <v>34</v>
      </c>
      <c r="B373">
        <v>3</v>
      </c>
      <c r="C373" t="s">
        <v>10</v>
      </c>
      <c r="D373">
        <v>0</v>
      </c>
      <c r="E373">
        <v>0.703750186017714</v>
      </c>
      <c r="F373">
        <v>1</v>
      </c>
      <c r="G373" s="1" t="s">
        <v>462</v>
      </c>
      <c r="H373" t="s">
        <v>462</v>
      </c>
      <c r="I373" t="s">
        <v>462</v>
      </c>
    </row>
    <row r="374" spans="1:9" x14ac:dyDescent="0.2">
      <c r="A374">
        <v>47</v>
      </c>
      <c r="B374">
        <v>6</v>
      </c>
      <c r="C374" t="s">
        <v>16</v>
      </c>
      <c r="D374">
        <v>0</v>
      </c>
      <c r="E374">
        <v>0.64302865962963596</v>
      </c>
      <c r="F374">
        <v>1</v>
      </c>
      <c r="G374" s="1" t="s">
        <v>463</v>
      </c>
      <c r="H374" t="s">
        <v>463</v>
      </c>
      <c r="I374" t="s">
        <v>463</v>
      </c>
    </row>
    <row r="375" spans="1:9" x14ac:dyDescent="0.2">
      <c r="A375">
        <v>63</v>
      </c>
      <c r="B375">
        <v>11</v>
      </c>
      <c r="C375" t="s">
        <v>16</v>
      </c>
      <c r="D375">
        <v>1</v>
      </c>
      <c r="E375">
        <v>0.51441617857199196</v>
      </c>
      <c r="F375">
        <v>1</v>
      </c>
      <c r="G375" s="1" t="s">
        <v>464</v>
      </c>
      <c r="H375" t="s">
        <v>464</v>
      </c>
      <c r="I375" t="s">
        <v>464</v>
      </c>
    </row>
    <row r="376" spans="1:9" x14ac:dyDescent="0.2">
      <c r="A376">
        <v>42</v>
      </c>
      <c r="B376">
        <v>10</v>
      </c>
      <c r="C376" t="s">
        <v>8</v>
      </c>
      <c r="D376">
        <v>1</v>
      </c>
      <c r="E376">
        <v>0.98563178745098401</v>
      </c>
      <c r="F376">
        <v>1</v>
      </c>
      <c r="G376" s="1" t="s">
        <v>465</v>
      </c>
      <c r="H376" t="s">
        <v>465</v>
      </c>
      <c r="I376" t="s">
        <v>465</v>
      </c>
    </row>
    <row r="377" spans="1:9" x14ac:dyDescent="0.2">
      <c r="A377">
        <v>84</v>
      </c>
      <c r="B377">
        <v>13</v>
      </c>
      <c r="C377" t="s">
        <v>8</v>
      </c>
      <c r="D377">
        <v>1</v>
      </c>
      <c r="E377">
        <v>0.94167032430414099</v>
      </c>
      <c r="F377">
        <v>1</v>
      </c>
      <c r="G377" s="1" t="s">
        <v>466</v>
      </c>
      <c r="H377" t="s">
        <v>466</v>
      </c>
      <c r="I377" t="s">
        <v>466</v>
      </c>
    </row>
    <row r="378" spans="1:9" x14ac:dyDescent="0.2">
      <c r="A378">
        <v>61</v>
      </c>
      <c r="B378">
        <v>3</v>
      </c>
      <c r="C378" t="s">
        <v>16</v>
      </c>
      <c r="D378">
        <v>1</v>
      </c>
      <c r="E378">
        <v>0.87984340067487199</v>
      </c>
      <c r="F378">
        <v>3</v>
      </c>
      <c r="G378" s="1" t="s">
        <v>467</v>
      </c>
      <c r="H378" t="s">
        <v>468</v>
      </c>
      <c r="I378" t="s">
        <v>467</v>
      </c>
    </row>
    <row r="379" spans="1:9" x14ac:dyDescent="0.2">
      <c r="A379">
        <v>56</v>
      </c>
      <c r="B379">
        <v>4</v>
      </c>
      <c r="C379" t="s">
        <v>8</v>
      </c>
      <c r="D379">
        <v>1</v>
      </c>
      <c r="E379">
        <v>0.55092195456381898</v>
      </c>
      <c r="F379">
        <v>1</v>
      </c>
      <c r="G379" s="1" t="s">
        <v>469</v>
      </c>
      <c r="H379" t="s">
        <v>469</v>
      </c>
      <c r="I379" t="s">
        <v>469</v>
      </c>
    </row>
    <row r="380" spans="1:9" x14ac:dyDescent="0.2">
      <c r="A380">
        <v>55</v>
      </c>
      <c r="B380">
        <v>9</v>
      </c>
      <c r="C380" t="s">
        <v>8</v>
      </c>
      <c r="D380">
        <v>0</v>
      </c>
      <c r="E380">
        <v>0.72299527935683705</v>
      </c>
      <c r="F380">
        <v>1</v>
      </c>
      <c r="G380" s="1" t="s">
        <v>470</v>
      </c>
      <c r="H380" t="s">
        <v>470</v>
      </c>
      <c r="I380" t="s">
        <v>470</v>
      </c>
    </row>
    <row r="381" spans="1:9" x14ac:dyDescent="0.2">
      <c r="A381">
        <v>33</v>
      </c>
      <c r="B381">
        <v>1</v>
      </c>
      <c r="C381" t="s">
        <v>10</v>
      </c>
      <c r="D381">
        <v>2</v>
      </c>
      <c r="E381">
        <v>0.673366459319368</v>
      </c>
      <c r="F381">
        <v>1</v>
      </c>
      <c r="G381" s="1" t="s">
        <v>471</v>
      </c>
      <c r="H381" t="s">
        <v>471</v>
      </c>
      <c r="I381" t="s">
        <v>471</v>
      </c>
    </row>
    <row r="382" spans="1:9" x14ac:dyDescent="0.2">
      <c r="A382">
        <v>51</v>
      </c>
      <c r="B382">
        <v>10</v>
      </c>
      <c r="C382" t="s">
        <v>10</v>
      </c>
      <c r="D382">
        <v>2</v>
      </c>
      <c r="E382">
        <v>0.98760859691537906</v>
      </c>
      <c r="F382">
        <v>1</v>
      </c>
      <c r="G382" s="1" t="s">
        <v>472</v>
      </c>
      <c r="H382" t="s">
        <v>472</v>
      </c>
      <c r="I382" t="s">
        <v>472</v>
      </c>
    </row>
    <row r="383" spans="1:9" x14ac:dyDescent="0.2">
      <c r="A383">
        <v>48</v>
      </c>
      <c r="B383">
        <v>13</v>
      </c>
      <c r="C383" t="s">
        <v>16</v>
      </c>
      <c r="D383">
        <v>0</v>
      </c>
      <c r="E383">
        <v>0.93263278820086304</v>
      </c>
      <c r="F383">
        <v>1</v>
      </c>
      <c r="G383" s="1" t="s">
        <v>473</v>
      </c>
      <c r="H383" t="s">
        <v>473</v>
      </c>
      <c r="I383" t="s">
        <v>473</v>
      </c>
    </row>
    <row r="384" spans="1:9" x14ac:dyDescent="0.2">
      <c r="A384">
        <v>57</v>
      </c>
      <c r="B384">
        <v>8</v>
      </c>
      <c r="C384" t="s">
        <v>8</v>
      </c>
      <c r="D384">
        <v>0</v>
      </c>
      <c r="E384">
        <v>0.75394112290814497</v>
      </c>
      <c r="F384">
        <v>1</v>
      </c>
      <c r="G384" s="1" t="s">
        <v>474</v>
      </c>
      <c r="H384" t="s">
        <v>474</v>
      </c>
      <c r="I384" t="s">
        <v>474</v>
      </c>
    </row>
    <row r="385" spans="1:9" x14ac:dyDescent="0.2">
      <c r="A385">
        <v>47</v>
      </c>
      <c r="B385">
        <v>4</v>
      </c>
      <c r="C385" t="s">
        <v>8</v>
      </c>
      <c r="D385">
        <v>0</v>
      </c>
      <c r="E385">
        <v>0.56348737410735295</v>
      </c>
      <c r="F385">
        <v>1</v>
      </c>
      <c r="G385" s="1" t="s">
        <v>475</v>
      </c>
      <c r="H385" t="s">
        <v>475</v>
      </c>
      <c r="I385" t="s">
        <v>475</v>
      </c>
    </row>
    <row r="386" spans="1:9" x14ac:dyDescent="0.2">
      <c r="A386">
        <v>25</v>
      </c>
      <c r="B386">
        <v>9</v>
      </c>
      <c r="C386" t="s">
        <v>8</v>
      </c>
      <c r="D386">
        <v>0</v>
      </c>
      <c r="E386">
        <v>0.87618835398461703</v>
      </c>
      <c r="F386">
        <v>1</v>
      </c>
      <c r="G386" s="1" t="s">
        <v>476</v>
      </c>
      <c r="H386" t="s">
        <v>476</v>
      </c>
      <c r="I386" t="s">
        <v>476</v>
      </c>
    </row>
    <row r="387" spans="1:9" x14ac:dyDescent="0.2">
      <c r="A387">
        <v>67</v>
      </c>
      <c r="B387">
        <v>6</v>
      </c>
      <c r="C387" t="s">
        <v>8</v>
      </c>
      <c r="D387">
        <v>0</v>
      </c>
      <c r="E387">
        <v>0.52910191169939902</v>
      </c>
      <c r="F387">
        <v>1</v>
      </c>
      <c r="G387" s="1" t="s">
        <v>477</v>
      </c>
      <c r="H387" t="s">
        <v>477</v>
      </c>
      <c r="I387" t="s">
        <v>477</v>
      </c>
    </row>
    <row r="388" spans="1:9" x14ac:dyDescent="0.2">
      <c r="A388">
        <v>76</v>
      </c>
      <c r="B388">
        <v>1</v>
      </c>
      <c r="C388" t="s">
        <v>8</v>
      </c>
      <c r="D388">
        <v>0</v>
      </c>
      <c r="E388">
        <v>0.85596904018893805</v>
      </c>
      <c r="F388">
        <v>2</v>
      </c>
      <c r="G388" s="1" t="s">
        <v>478</v>
      </c>
      <c r="H388" t="s">
        <v>479</v>
      </c>
      <c r="I388" t="s">
        <v>478</v>
      </c>
    </row>
    <row r="389" spans="1:9" x14ac:dyDescent="0.2">
      <c r="A389">
        <v>28</v>
      </c>
      <c r="B389">
        <v>13</v>
      </c>
      <c r="C389" t="s">
        <v>8</v>
      </c>
      <c r="D389">
        <v>0</v>
      </c>
      <c r="E389">
        <v>0.93042007461190201</v>
      </c>
      <c r="F389">
        <v>1</v>
      </c>
      <c r="G389" s="1" t="s">
        <v>480</v>
      </c>
      <c r="H389" t="s">
        <v>480</v>
      </c>
      <c r="I389" t="s">
        <v>480</v>
      </c>
    </row>
    <row r="390" spans="1:9" x14ac:dyDescent="0.2">
      <c r="A390">
        <v>46</v>
      </c>
      <c r="B390">
        <v>4</v>
      </c>
      <c r="C390" t="s">
        <v>10</v>
      </c>
      <c r="D390">
        <v>0</v>
      </c>
      <c r="E390">
        <v>0.745744982617907</v>
      </c>
      <c r="F390">
        <v>1</v>
      </c>
      <c r="G390" s="1" t="s">
        <v>481</v>
      </c>
      <c r="H390" t="s">
        <v>481</v>
      </c>
      <c r="I390" t="s">
        <v>481</v>
      </c>
    </row>
    <row r="391" spans="1:9" x14ac:dyDescent="0.2">
      <c r="A391">
        <v>61</v>
      </c>
      <c r="B391">
        <v>14</v>
      </c>
      <c r="C391" t="s">
        <v>8</v>
      </c>
      <c r="D391">
        <v>0</v>
      </c>
      <c r="E391">
        <v>0.82005879899952605</v>
      </c>
      <c r="F391">
        <v>1</v>
      </c>
      <c r="G391" s="1" t="s">
        <v>482</v>
      </c>
      <c r="H391" t="s">
        <v>482</v>
      </c>
      <c r="I391" t="s">
        <v>482</v>
      </c>
    </row>
    <row r="392" spans="1:9" x14ac:dyDescent="0.2">
      <c r="A392">
        <v>58</v>
      </c>
      <c r="B392">
        <v>6</v>
      </c>
      <c r="C392" t="s">
        <v>10</v>
      </c>
      <c r="D392">
        <v>1</v>
      </c>
      <c r="E392">
        <v>0.62494949286337897</v>
      </c>
      <c r="F392">
        <v>2</v>
      </c>
      <c r="G392" s="1" t="s">
        <v>483</v>
      </c>
      <c r="H392" t="s">
        <v>484</v>
      </c>
      <c r="I392" t="s">
        <v>483</v>
      </c>
    </row>
    <row r="393" spans="1:9" x14ac:dyDescent="0.2">
      <c r="A393">
        <v>20</v>
      </c>
      <c r="B393">
        <v>3</v>
      </c>
      <c r="C393" t="s">
        <v>8</v>
      </c>
      <c r="D393">
        <v>0</v>
      </c>
      <c r="E393">
        <v>0.80621414538472902</v>
      </c>
      <c r="F393">
        <v>1</v>
      </c>
      <c r="G393" s="1" t="s">
        <v>485</v>
      </c>
      <c r="H393" t="s">
        <v>485</v>
      </c>
      <c r="I393" t="s">
        <v>485</v>
      </c>
    </row>
    <row r="394" spans="1:9" x14ac:dyDescent="0.2">
      <c r="A394">
        <v>32</v>
      </c>
      <c r="B394">
        <v>4</v>
      </c>
      <c r="C394" t="s">
        <v>16</v>
      </c>
      <c r="D394">
        <v>1</v>
      </c>
      <c r="E394">
        <v>0.5308536964003</v>
      </c>
      <c r="F394">
        <v>1</v>
      </c>
      <c r="G394" s="1" t="s">
        <v>486</v>
      </c>
      <c r="H394" t="s">
        <v>486</v>
      </c>
      <c r="I394" t="s">
        <v>486</v>
      </c>
    </row>
    <row r="395" spans="1:9" x14ac:dyDescent="0.2">
      <c r="A395">
        <v>26</v>
      </c>
      <c r="B395">
        <v>7</v>
      </c>
      <c r="C395" t="s">
        <v>16</v>
      </c>
      <c r="D395">
        <v>0</v>
      </c>
      <c r="E395">
        <v>0.50181493186391901</v>
      </c>
      <c r="F395">
        <v>1</v>
      </c>
      <c r="G395" s="1" t="s">
        <v>487</v>
      </c>
      <c r="H395" t="s">
        <v>487</v>
      </c>
      <c r="I395" t="s">
        <v>487</v>
      </c>
    </row>
    <row r="396" spans="1:9" x14ac:dyDescent="0.2">
      <c r="A396">
        <v>88</v>
      </c>
      <c r="B396">
        <v>14</v>
      </c>
      <c r="C396" t="s">
        <v>10</v>
      </c>
      <c r="D396">
        <v>1</v>
      </c>
      <c r="E396">
        <v>0.61971618514507998</v>
      </c>
      <c r="F396">
        <v>1</v>
      </c>
      <c r="G396" s="1" t="s">
        <v>488</v>
      </c>
      <c r="H396" t="s">
        <v>488</v>
      </c>
      <c r="I396" t="s">
        <v>488</v>
      </c>
    </row>
    <row r="397" spans="1:9" x14ac:dyDescent="0.2">
      <c r="A397">
        <v>82</v>
      </c>
      <c r="B397">
        <v>9</v>
      </c>
      <c r="C397" t="s">
        <v>16</v>
      </c>
      <c r="D397">
        <v>1</v>
      </c>
      <c r="E397">
        <v>0.75353334960527696</v>
      </c>
      <c r="F397">
        <v>1</v>
      </c>
      <c r="G397" s="1" t="s">
        <v>489</v>
      </c>
      <c r="H397" t="s">
        <v>489</v>
      </c>
      <c r="I397" t="s">
        <v>489</v>
      </c>
    </row>
    <row r="398" spans="1:9" x14ac:dyDescent="0.2">
      <c r="A398">
        <v>75</v>
      </c>
      <c r="B398">
        <v>7</v>
      </c>
      <c r="C398" t="s">
        <v>8</v>
      </c>
      <c r="D398">
        <v>0</v>
      </c>
      <c r="E398">
        <v>0.92480938299559101</v>
      </c>
      <c r="F398">
        <v>1</v>
      </c>
      <c r="G398" s="1" t="s">
        <v>490</v>
      </c>
      <c r="H398" t="s">
        <v>490</v>
      </c>
      <c r="I398" t="s">
        <v>490</v>
      </c>
    </row>
    <row r="399" spans="1:9" x14ac:dyDescent="0.2">
      <c r="A399">
        <v>57</v>
      </c>
      <c r="B399">
        <v>15</v>
      </c>
      <c r="C399" t="s">
        <v>16</v>
      </c>
      <c r="D399">
        <v>0</v>
      </c>
      <c r="E399">
        <v>0.56765074911527302</v>
      </c>
      <c r="F399">
        <v>1</v>
      </c>
      <c r="G399" s="1" t="s">
        <v>491</v>
      </c>
      <c r="H399" t="s">
        <v>491</v>
      </c>
      <c r="I399" t="s">
        <v>491</v>
      </c>
    </row>
    <row r="400" spans="1:9" x14ac:dyDescent="0.2">
      <c r="A400">
        <v>36</v>
      </c>
      <c r="B400">
        <v>6</v>
      </c>
      <c r="C400" t="s">
        <v>8</v>
      </c>
      <c r="D400">
        <v>0</v>
      </c>
      <c r="E400">
        <v>0.85369306791108102</v>
      </c>
      <c r="F400">
        <v>2</v>
      </c>
      <c r="G400" s="1" t="s">
        <v>492</v>
      </c>
      <c r="H400" t="s">
        <v>493</v>
      </c>
      <c r="I400" t="s">
        <v>492</v>
      </c>
    </row>
    <row r="401" spans="1:9" x14ac:dyDescent="0.2">
      <c r="A401">
        <v>24</v>
      </c>
      <c r="B401">
        <v>7</v>
      </c>
      <c r="C401" t="s">
        <v>8</v>
      </c>
      <c r="D401">
        <v>1</v>
      </c>
      <c r="E401">
        <v>0.67620065016672004</v>
      </c>
      <c r="F401">
        <v>1</v>
      </c>
      <c r="G401" s="1" t="s">
        <v>494</v>
      </c>
      <c r="H401" t="s">
        <v>494</v>
      </c>
      <c r="I401" t="s">
        <v>494</v>
      </c>
    </row>
    <row r="402" spans="1:9" x14ac:dyDescent="0.2">
      <c r="A402">
        <v>77</v>
      </c>
      <c r="B402">
        <v>15</v>
      </c>
      <c r="C402" t="s">
        <v>16</v>
      </c>
      <c r="D402">
        <v>0</v>
      </c>
      <c r="E402">
        <v>0.87437559408135701</v>
      </c>
      <c r="F402">
        <v>1</v>
      </c>
      <c r="G402" s="1" t="s">
        <v>495</v>
      </c>
      <c r="H402" t="s">
        <v>495</v>
      </c>
      <c r="I402" t="s">
        <v>495</v>
      </c>
    </row>
    <row r="403" spans="1:9" x14ac:dyDescent="0.2">
      <c r="A403">
        <v>82</v>
      </c>
      <c r="B403">
        <v>14</v>
      </c>
      <c r="C403" t="s">
        <v>10</v>
      </c>
      <c r="D403">
        <v>1</v>
      </c>
      <c r="E403">
        <v>0.64180208207108103</v>
      </c>
      <c r="F403">
        <v>2</v>
      </c>
      <c r="G403" s="1" t="s">
        <v>496</v>
      </c>
      <c r="H403" t="s">
        <v>497</v>
      </c>
      <c r="I403" t="s">
        <v>496</v>
      </c>
    </row>
    <row r="404" spans="1:9" x14ac:dyDescent="0.2">
      <c r="A404">
        <v>87</v>
      </c>
      <c r="B404">
        <v>6</v>
      </c>
      <c r="C404" t="s">
        <v>10</v>
      </c>
      <c r="D404">
        <v>0</v>
      </c>
      <c r="E404">
        <v>0.70869262597989302</v>
      </c>
      <c r="F404">
        <v>1</v>
      </c>
      <c r="G404" s="1" t="s">
        <v>498</v>
      </c>
      <c r="H404" t="s">
        <v>498</v>
      </c>
      <c r="I404" t="s">
        <v>498</v>
      </c>
    </row>
    <row r="405" spans="1:9" x14ac:dyDescent="0.2">
      <c r="A405">
        <v>18</v>
      </c>
      <c r="B405">
        <v>6</v>
      </c>
      <c r="C405" t="s">
        <v>8</v>
      </c>
      <c r="D405">
        <v>0</v>
      </c>
      <c r="E405">
        <v>0.75550622446462501</v>
      </c>
      <c r="F405">
        <v>1</v>
      </c>
      <c r="G405" s="1" t="s">
        <v>499</v>
      </c>
      <c r="H405" t="s">
        <v>499</v>
      </c>
      <c r="I405" t="s">
        <v>499</v>
      </c>
    </row>
    <row r="406" spans="1:9" x14ac:dyDescent="0.2">
      <c r="A406">
        <v>38</v>
      </c>
      <c r="B406">
        <v>10</v>
      </c>
      <c r="C406" t="s">
        <v>8</v>
      </c>
      <c r="D406">
        <v>1</v>
      </c>
      <c r="E406">
        <v>0.64897303155157704</v>
      </c>
      <c r="F406">
        <v>1</v>
      </c>
      <c r="G406" s="1" t="s">
        <v>500</v>
      </c>
      <c r="H406" t="s">
        <v>500</v>
      </c>
      <c r="I406" t="s">
        <v>500</v>
      </c>
    </row>
    <row r="407" spans="1:9" x14ac:dyDescent="0.2">
      <c r="A407">
        <v>21</v>
      </c>
      <c r="B407">
        <v>14</v>
      </c>
      <c r="C407" t="s">
        <v>8</v>
      </c>
      <c r="D407">
        <v>0</v>
      </c>
      <c r="E407">
        <v>0.81264651077799499</v>
      </c>
      <c r="F407">
        <v>1</v>
      </c>
      <c r="G407" s="1" t="s">
        <v>501</v>
      </c>
      <c r="H407" t="s">
        <v>501</v>
      </c>
      <c r="I407" t="s">
        <v>501</v>
      </c>
    </row>
    <row r="408" spans="1:9" x14ac:dyDescent="0.2">
      <c r="A408">
        <v>69</v>
      </c>
      <c r="B408">
        <v>4</v>
      </c>
      <c r="C408" t="s">
        <v>8</v>
      </c>
      <c r="D408">
        <v>2</v>
      </c>
      <c r="E408">
        <v>0.78164676204323802</v>
      </c>
      <c r="F408">
        <v>1</v>
      </c>
      <c r="G408" s="1" t="s">
        <v>502</v>
      </c>
      <c r="H408" t="s">
        <v>502</v>
      </c>
      <c r="I408" t="s">
        <v>502</v>
      </c>
    </row>
    <row r="409" spans="1:9" x14ac:dyDescent="0.2">
      <c r="A409">
        <v>50</v>
      </c>
      <c r="B409">
        <v>6</v>
      </c>
      <c r="C409" t="s">
        <v>10</v>
      </c>
      <c r="D409">
        <v>0</v>
      </c>
      <c r="E409">
        <v>0.85519415279850397</v>
      </c>
      <c r="F409">
        <v>3</v>
      </c>
      <c r="G409" s="1" t="s">
        <v>503</v>
      </c>
      <c r="H409" t="s">
        <v>504</v>
      </c>
      <c r="I409" t="s">
        <v>503</v>
      </c>
    </row>
    <row r="410" spans="1:9" x14ac:dyDescent="0.2">
      <c r="A410">
        <v>76</v>
      </c>
      <c r="B410">
        <v>10</v>
      </c>
      <c r="C410" t="s">
        <v>8</v>
      </c>
      <c r="D410">
        <v>1</v>
      </c>
      <c r="E410">
        <v>0.51857815647963401</v>
      </c>
      <c r="F410">
        <v>2</v>
      </c>
      <c r="G410" s="1" t="s">
        <v>505</v>
      </c>
      <c r="H410" t="s">
        <v>506</v>
      </c>
      <c r="I410" t="s">
        <v>505</v>
      </c>
    </row>
    <row r="411" spans="1:9" x14ac:dyDescent="0.2">
      <c r="A411">
        <v>78</v>
      </c>
      <c r="B411">
        <v>11</v>
      </c>
      <c r="C411" t="s">
        <v>10</v>
      </c>
      <c r="D411">
        <v>0</v>
      </c>
      <c r="E411">
        <v>0.88648156239651099</v>
      </c>
      <c r="F411">
        <v>1</v>
      </c>
      <c r="G411" s="1" t="s">
        <v>507</v>
      </c>
      <c r="H411" t="s">
        <v>507</v>
      </c>
      <c r="I411" t="s">
        <v>507</v>
      </c>
    </row>
    <row r="412" spans="1:9" x14ac:dyDescent="0.2">
      <c r="A412">
        <v>59</v>
      </c>
      <c r="B412">
        <v>6</v>
      </c>
      <c r="C412" t="s">
        <v>8</v>
      </c>
      <c r="D412">
        <v>0</v>
      </c>
      <c r="E412">
        <v>0.97339726577047303</v>
      </c>
      <c r="F412">
        <v>2</v>
      </c>
      <c r="G412" s="1" t="s">
        <v>508</v>
      </c>
      <c r="H412" t="s">
        <v>509</v>
      </c>
      <c r="I412" t="s">
        <v>508</v>
      </c>
    </row>
    <row r="413" spans="1:9" x14ac:dyDescent="0.2">
      <c r="A413">
        <v>18</v>
      </c>
      <c r="B413">
        <v>6</v>
      </c>
      <c r="C413" t="s">
        <v>8</v>
      </c>
      <c r="D413">
        <v>0</v>
      </c>
      <c r="E413">
        <v>0.80380609747953702</v>
      </c>
      <c r="F413">
        <v>1</v>
      </c>
      <c r="G413" s="1" t="s">
        <v>510</v>
      </c>
      <c r="H413" t="s">
        <v>510</v>
      </c>
      <c r="I413" t="s">
        <v>510</v>
      </c>
    </row>
    <row r="414" spans="1:9" x14ac:dyDescent="0.2">
      <c r="A414">
        <v>89</v>
      </c>
      <c r="B414">
        <v>6</v>
      </c>
      <c r="C414" t="s">
        <v>8</v>
      </c>
      <c r="D414">
        <v>2</v>
      </c>
      <c r="E414">
        <v>0.75766974908765405</v>
      </c>
      <c r="F414">
        <v>1</v>
      </c>
      <c r="G414" s="1" t="s">
        <v>511</v>
      </c>
      <c r="H414" t="s">
        <v>511</v>
      </c>
      <c r="I414" t="s">
        <v>511</v>
      </c>
    </row>
    <row r="415" spans="1:9" x14ac:dyDescent="0.2">
      <c r="A415">
        <v>62</v>
      </c>
      <c r="B415">
        <v>1</v>
      </c>
      <c r="C415" t="s">
        <v>16</v>
      </c>
      <c r="D415">
        <v>0</v>
      </c>
      <c r="E415">
        <v>0.81254852493293594</v>
      </c>
      <c r="F415">
        <v>1</v>
      </c>
      <c r="G415" s="1" t="s">
        <v>512</v>
      </c>
      <c r="H415" t="s">
        <v>512</v>
      </c>
      <c r="I415" t="s">
        <v>512</v>
      </c>
    </row>
    <row r="416" spans="1:9" x14ac:dyDescent="0.2">
      <c r="A416">
        <v>63</v>
      </c>
      <c r="B416">
        <v>4</v>
      </c>
      <c r="C416" t="s">
        <v>16</v>
      </c>
      <c r="D416">
        <v>1</v>
      </c>
      <c r="E416">
        <v>0.75764075340703096</v>
      </c>
      <c r="F416">
        <v>1</v>
      </c>
      <c r="G416" s="1" t="s">
        <v>513</v>
      </c>
      <c r="H416" t="s">
        <v>513</v>
      </c>
      <c r="I416" t="s">
        <v>513</v>
      </c>
    </row>
    <row r="417" spans="1:9" x14ac:dyDescent="0.2">
      <c r="A417">
        <v>85</v>
      </c>
      <c r="B417">
        <v>1</v>
      </c>
      <c r="C417" t="s">
        <v>8</v>
      </c>
      <c r="D417">
        <v>0</v>
      </c>
      <c r="E417">
        <v>0.97376206016633704</v>
      </c>
      <c r="F417">
        <v>2</v>
      </c>
      <c r="G417" s="1" t="s">
        <v>514</v>
      </c>
      <c r="H417" t="s">
        <v>515</v>
      </c>
      <c r="I417" t="s">
        <v>514</v>
      </c>
    </row>
    <row r="418" spans="1:9" x14ac:dyDescent="0.2">
      <c r="A418">
        <v>70</v>
      </c>
      <c r="B418">
        <v>8</v>
      </c>
      <c r="C418" t="s">
        <v>8</v>
      </c>
      <c r="D418">
        <v>1</v>
      </c>
      <c r="E418">
        <v>0.662434851983562</v>
      </c>
      <c r="F418">
        <v>1</v>
      </c>
      <c r="G418" s="1" t="s">
        <v>516</v>
      </c>
      <c r="H418" t="s">
        <v>516</v>
      </c>
      <c r="I418" t="s">
        <v>516</v>
      </c>
    </row>
    <row r="419" spans="1:9" x14ac:dyDescent="0.2">
      <c r="A419">
        <v>51</v>
      </c>
      <c r="B419">
        <v>5</v>
      </c>
      <c r="C419" t="s">
        <v>10</v>
      </c>
      <c r="D419">
        <v>2</v>
      </c>
      <c r="E419">
        <v>0.586500464822166</v>
      </c>
      <c r="F419">
        <v>1</v>
      </c>
      <c r="G419" s="1" t="s">
        <v>517</v>
      </c>
      <c r="H419" t="s">
        <v>517</v>
      </c>
      <c r="I419" t="s">
        <v>517</v>
      </c>
    </row>
    <row r="420" spans="1:9" x14ac:dyDescent="0.2">
      <c r="A420">
        <v>81</v>
      </c>
      <c r="B420">
        <v>5</v>
      </c>
      <c r="C420" t="s">
        <v>16</v>
      </c>
      <c r="D420">
        <v>1</v>
      </c>
      <c r="E420">
        <v>0.77404580730944905</v>
      </c>
      <c r="F420">
        <v>1</v>
      </c>
      <c r="G420" s="1" t="s">
        <v>518</v>
      </c>
      <c r="H420" t="s">
        <v>518</v>
      </c>
      <c r="I420" t="s">
        <v>518</v>
      </c>
    </row>
    <row r="421" spans="1:9" x14ac:dyDescent="0.2">
      <c r="A421">
        <v>46</v>
      </c>
      <c r="B421">
        <v>10</v>
      </c>
      <c r="C421" t="s">
        <v>8</v>
      </c>
      <c r="D421">
        <v>1</v>
      </c>
      <c r="E421">
        <v>0.80595681373961303</v>
      </c>
      <c r="F421">
        <v>2</v>
      </c>
      <c r="G421" s="1" t="s">
        <v>519</v>
      </c>
      <c r="H421" t="s">
        <v>520</v>
      </c>
      <c r="I421" t="s">
        <v>519</v>
      </c>
    </row>
    <row r="422" spans="1:9" x14ac:dyDescent="0.2">
      <c r="A422">
        <v>33</v>
      </c>
      <c r="B422">
        <v>1</v>
      </c>
      <c r="C422" t="s">
        <v>16</v>
      </c>
      <c r="D422">
        <v>0</v>
      </c>
      <c r="E422">
        <v>0.59278463444206897</v>
      </c>
      <c r="F422">
        <v>1</v>
      </c>
      <c r="G422" s="1" t="s">
        <v>521</v>
      </c>
      <c r="H422" t="s">
        <v>521</v>
      </c>
      <c r="I422" t="s">
        <v>521</v>
      </c>
    </row>
    <row r="423" spans="1:9" x14ac:dyDescent="0.2">
      <c r="A423">
        <v>38</v>
      </c>
      <c r="B423">
        <v>4</v>
      </c>
      <c r="C423" t="s">
        <v>8</v>
      </c>
      <c r="D423">
        <v>0</v>
      </c>
      <c r="E423">
        <v>0.71496351703535799</v>
      </c>
      <c r="F423">
        <v>1</v>
      </c>
      <c r="G423" s="1" t="s">
        <v>522</v>
      </c>
      <c r="H423" t="s">
        <v>522</v>
      </c>
      <c r="I423" t="s">
        <v>522</v>
      </c>
    </row>
    <row r="424" spans="1:9" x14ac:dyDescent="0.2">
      <c r="A424">
        <v>71</v>
      </c>
      <c r="B424">
        <v>1</v>
      </c>
      <c r="C424" t="s">
        <v>10</v>
      </c>
      <c r="D424">
        <v>1</v>
      </c>
      <c r="E424">
        <v>0.61692953389138006</v>
      </c>
      <c r="F424">
        <v>1</v>
      </c>
      <c r="G424" s="1" t="s">
        <v>523</v>
      </c>
      <c r="H424" t="s">
        <v>523</v>
      </c>
      <c r="I424" t="s">
        <v>523</v>
      </c>
    </row>
    <row r="425" spans="1:9" x14ac:dyDescent="0.2">
      <c r="A425">
        <v>58</v>
      </c>
      <c r="B425">
        <v>6</v>
      </c>
      <c r="C425" t="s">
        <v>10</v>
      </c>
      <c r="D425">
        <v>1</v>
      </c>
      <c r="E425">
        <v>0.68612537870649204</v>
      </c>
      <c r="F425">
        <v>1</v>
      </c>
      <c r="G425" s="1" t="s">
        <v>524</v>
      </c>
      <c r="H425" t="s">
        <v>524</v>
      </c>
      <c r="I425" t="s">
        <v>524</v>
      </c>
    </row>
    <row r="426" spans="1:9" x14ac:dyDescent="0.2">
      <c r="A426">
        <v>33</v>
      </c>
      <c r="B426">
        <v>9</v>
      </c>
      <c r="C426" t="s">
        <v>16</v>
      </c>
      <c r="D426">
        <v>1</v>
      </c>
      <c r="E426">
        <v>0.66003978461958501</v>
      </c>
      <c r="F426">
        <v>1</v>
      </c>
      <c r="G426" s="1" t="s">
        <v>525</v>
      </c>
      <c r="H426" t="s">
        <v>525</v>
      </c>
      <c r="I426" t="s">
        <v>525</v>
      </c>
    </row>
    <row r="427" spans="1:9" x14ac:dyDescent="0.2">
      <c r="A427">
        <v>79</v>
      </c>
      <c r="B427">
        <v>10</v>
      </c>
      <c r="C427" t="s">
        <v>10</v>
      </c>
      <c r="D427">
        <v>0</v>
      </c>
      <c r="E427">
        <v>0.83126793499104701</v>
      </c>
      <c r="F427">
        <v>3</v>
      </c>
      <c r="G427" s="1" t="s">
        <v>526</v>
      </c>
      <c r="H427" t="s">
        <v>527</v>
      </c>
      <c r="I427" t="s">
        <v>526</v>
      </c>
    </row>
    <row r="428" spans="1:9" x14ac:dyDescent="0.2">
      <c r="A428">
        <v>45</v>
      </c>
      <c r="B428">
        <v>8</v>
      </c>
      <c r="C428" t="s">
        <v>16</v>
      </c>
      <c r="D428">
        <v>0</v>
      </c>
      <c r="E428">
        <v>0.56582448456902101</v>
      </c>
      <c r="F428">
        <v>1</v>
      </c>
      <c r="G428" s="1" t="s">
        <v>528</v>
      </c>
      <c r="H428" t="s">
        <v>528</v>
      </c>
      <c r="I428" t="s">
        <v>528</v>
      </c>
    </row>
    <row r="429" spans="1:9" x14ac:dyDescent="0.2">
      <c r="A429">
        <v>71</v>
      </c>
      <c r="B429">
        <v>8</v>
      </c>
      <c r="C429" t="s">
        <v>16</v>
      </c>
      <c r="D429">
        <v>1</v>
      </c>
      <c r="E429">
        <v>0.91263434721622605</v>
      </c>
      <c r="F429">
        <v>2</v>
      </c>
      <c r="G429" s="1" t="s">
        <v>529</v>
      </c>
      <c r="H429" t="s">
        <v>530</v>
      </c>
      <c r="I429" t="s">
        <v>529</v>
      </c>
    </row>
    <row r="430" spans="1:9" x14ac:dyDescent="0.2">
      <c r="A430">
        <v>78</v>
      </c>
      <c r="B430">
        <v>10</v>
      </c>
      <c r="C430" t="s">
        <v>8</v>
      </c>
      <c r="D430">
        <v>0</v>
      </c>
      <c r="E430">
        <v>0.91528332978487004</v>
      </c>
      <c r="F430">
        <v>1</v>
      </c>
      <c r="G430" s="1" t="s">
        <v>531</v>
      </c>
      <c r="H430" t="s">
        <v>531</v>
      </c>
      <c r="I430" t="s">
        <v>531</v>
      </c>
    </row>
    <row r="431" spans="1:9" x14ac:dyDescent="0.2">
      <c r="A431">
        <v>58</v>
      </c>
      <c r="B431">
        <v>4</v>
      </c>
      <c r="C431" t="s">
        <v>16</v>
      </c>
      <c r="D431">
        <v>0</v>
      </c>
      <c r="E431">
        <v>0.99030123907141399</v>
      </c>
      <c r="F431">
        <v>1</v>
      </c>
      <c r="G431" s="1" t="s">
        <v>532</v>
      </c>
      <c r="H431" t="s">
        <v>532</v>
      </c>
      <c r="I431" t="s">
        <v>532</v>
      </c>
    </row>
    <row r="432" spans="1:9" x14ac:dyDescent="0.2">
      <c r="A432">
        <v>67</v>
      </c>
      <c r="B432">
        <v>6</v>
      </c>
      <c r="C432" t="s">
        <v>8</v>
      </c>
      <c r="D432">
        <v>0</v>
      </c>
      <c r="E432">
        <v>0.80211120948661097</v>
      </c>
      <c r="F432">
        <v>2</v>
      </c>
      <c r="G432" s="1" t="s">
        <v>533</v>
      </c>
      <c r="H432" t="s">
        <v>534</v>
      </c>
      <c r="I432" t="s">
        <v>533</v>
      </c>
    </row>
    <row r="433" spans="1:9" x14ac:dyDescent="0.2">
      <c r="A433">
        <v>25</v>
      </c>
      <c r="B433">
        <v>6</v>
      </c>
      <c r="C433" t="s">
        <v>8</v>
      </c>
      <c r="D433">
        <v>1</v>
      </c>
      <c r="E433">
        <v>0.91015071317087903</v>
      </c>
      <c r="F433">
        <v>1</v>
      </c>
      <c r="G433" s="1" t="s">
        <v>535</v>
      </c>
      <c r="H433" t="s">
        <v>535</v>
      </c>
      <c r="I433" t="s">
        <v>535</v>
      </c>
    </row>
    <row r="434" spans="1:9" x14ac:dyDescent="0.2">
      <c r="A434">
        <v>33</v>
      </c>
      <c r="B434">
        <v>3</v>
      </c>
      <c r="C434" t="s">
        <v>8</v>
      </c>
      <c r="D434">
        <v>5</v>
      </c>
      <c r="E434">
        <v>0.63569496292620897</v>
      </c>
      <c r="F434">
        <v>2</v>
      </c>
      <c r="G434" s="1" t="s">
        <v>536</v>
      </c>
      <c r="H434" t="s">
        <v>537</v>
      </c>
      <c r="I434" t="s">
        <v>536</v>
      </c>
    </row>
    <row r="435" spans="1:9" x14ac:dyDescent="0.2">
      <c r="A435">
        <v>79</v>
      </c>
      <c r="B435">
        <v>13</v>
      </c>
      <c r="C435" t="s">
        <v>10</v>
      </c>
      <c r="D435">
        <v>0</v>
      </c>
      <c r="E435">
        <v>0.71324184990953698</v>
      </c>
      <c r="F435">
        <v>1</v>
      </c>
      <c r="G435" s="1" t="s">
        <v>538</v>
      </c>
      <c r="H435" t="s">
        <v>538</v>
      </c>
      <c r="I435" t="s">
        <v>538</v>
      </c>
    </row>
    <row r="436" spans="1:9" x14ac:dyDescent="0.2">
      <c r="A436">
        <v>26</v>
      </c>
      <c r="B436">
        <v>9</v>
      </c>
      <c r="C436" t="s">
        <v>8</v>
      </c>
      <c r="D436">
        <v>0</v>
      </c>
      <c r="E436">
        <v>0.766752532683313</v>
      </c>
      <c r="F436">
        <v>1</v>
      </c>
      <c r="G436" s="1" t="s">
        <v>539</v>
      </c>
      <c r="H436" t="s">
        <v>539</v>
      </c>
      <c r="I436" t="s">
        <v>539</v>
      </c>
    </row>
    <row r="437" spans="1:9" x14ac:dyDescent="0.2">
      <c r="A437">
        <v>74</v>
      </c>
      <c r="B437">
        <v>3</v>
      </c>
      <c r="C437" t="s">
        <v>10</v>
      </c>
      <c r="D437">
        <v>0</v>
      </c>
      <c r="E437">
        <v>0.76595023821573704</v>
      </c>
      <c r="F437">
        <v>1</v>
      </c>
      <c r="G437" s="1" t="s">
        <v>540</v>
      </c>
      <c r="H437" t="s">
        <v>540</v>
      </c>
      <c r="I437" t="s">
        <v>540</v>
      </c>
    </row>
    <row r="438" spans="1:9" x14ac:dyDescent="0.2">
      <c r="A438">
        <v>20</v>
      </c>
      <c r="B438">
        <v>0</v>
      </c>
      <c r="C438" t="s">
        <v>8</v>
      </c>
      <c r="D438">
        <v>0</v>
      </c>
      <c r="E438">
        <v>0.88420022372156404</v>
      </c>
      <c r="F438">
        <v>1</v>
      </c>
      <c r="G438" s="1" t="s">
        <v>541</v>
      </c>
      <c r="H438" t="s">
        <v>541</v>
      </c>
      <c r="I438" t="s">
        <v>541</v>
      </c>
    </row>
    <row r="439" spans="1:9" x14ac:dyDescent="0.2">
      <c r="A439">
        <v>76</v>
      </c>
      <c r="B439">
        <v>10</v>
      </c>
      <c r="C439" t="s">
        <v>16</v>
      </c>
      <c r="D439">
        <v>4</v>
      </c>
      <c r="E439">
        <v>0.83808058092836302</v>
      </c>
      <c r="F439">
        <v>3</v>
      </c>
      <c r="G439" s="1" t="s">
        <v>542</v>
      </c>
      <c r="H439" t="s">
        <v>543</v>
      </c>
      <c r="I439" t="s">
        <v>542</v>
      </c>
    </row>
    <row r="440" spans="1:9" x14ac:dyDescent="0.2">
      <c r="A440">
        <v>42</v>
      </c>
      <c r="B440">
        <v>11</v>
      </c>
      <c r="C440" t="s">
        <v>8</v>
      </c>
      <c r="D440">
        <v>0</v>
      </c>
      <c r="E440">
        <v>0.93633205583319101</v>
      </c>
      <c r="F440">
        <v>2</v>
      </c>
      <c r="G440" s="1" t="s">
        <v>544</v>
      </c>
      <c r="H440" t="s">
        <v>545</v>
      </c>
      <c r="I440" t="s">
        <v>544</v>
      </c>
    </row>
    <row r="441" spans="1:9" x14ac:dyDescent="0.2">
      <c r="A441">
        <v>84</v>
      </c>
      <c r="B441">
        <v>7</v>
      </c>
      <c r="C441" t="s">
        <v>8</v>
      </c>
      <c r="D441">
        <v>0</v>
      </c>
      <c r="E441">
        <v>0.85142077843192998</v>
      </c>
      <c r="F441">
        <v>1</v>
      </c>
      <c r="G441" s="1" t="s">
        <v>546</v>
      </c>
      <c r="H441" t="s">
        <v>546</v>
      </c>
      <c r="I441" t="s">
        <v>546</v>
      </c>
    </row>
    <row r="442" spans="1:9" x14ac:dyDescent="0.2">
      <c r="A442">
        <v>88</v>
      </c>
      <c r="B442">
        <v>10</v>
      </c>
      <c r="C442" t="s">
        <v>10</v>
      </c>
      <c r="D442">
        <v>0</v>
      </c>
      <c r="E442">
        <v>0.57075538788922098</v>
      </c>
      <c r="F442">
        <v>1</v>
      </c>
      <c r="G442" s="1" t="s">
        <v>547</v>
      </c>
      <c r="H442" t="s">
        <v>547</v>
      </c>
      <c r="I442" t="s">
        <v>547</v>
      </c>
    </row>
    <row r="443" spans="1:9" x14ac:dyDescent="0.2">
      <c r="A443">
        <v>19</v>
      </c>
      <c r="B443">
        <v>6</v>
      </c>
      <c r="C443" t="s">
        <v>16</v>
      </c>
      <c r="D443">
        <v>1</v>
      </c>
      <c r="E443">
        <v>0.89955461013596505</v>
      </c>
      <c r="F443">
        <v>1</v>
      </c>
      <c r="G443" s="1" t="s">
        <v>548</v>
      </c>
      <c r="H443" t="s">
        <v>548</v>
      </c>
      <c r="I443" t="s">
        <v>548</v>
      </c>
    </row>
    <row r="444" spans="1:9" x14ac:dyDescent="0.2">
      <c r="A444">
        <v>55</v>
      </c>
      <c r="B444">
        <v>2</v>
      </c>
      <c r="C444" t="s">
        <v>8</v>
      </c>
      <c r="D444">
        <v>0</v>
      </c>
      <c r="E444">
        <v>0.58295828558038898</v>
      </c>
      <c r="F444">
        <v>1</v>
      </c>
      <c r="G444" s="1" t="s">
        <v>549</v>
      </c>
      <c r="H444" t="s">
        <v>549</v>
      </c>
      <c r="I444" t="s">
        <v>549</v>
      </c>
    </row>
    <row r="445" spans="1:9" x14ac:dyDescent="0.2">
      <c r="A445">
        <v>69</v>
      </c>
      <c r="B445">
        <v>9</v>
      </c>
      <c r="C445" t="s">
        <v>8</v>
      </c>
      <c r="D445">
        <v>0</v>
      </c>
      <c r="E445">
        <v>0.80423272203188401</v>
      </c>
      <c r="F445">
        <v>1</v>
      </c>
      <c r="G445" s="1" t="s">
        <v>550</v>
      </c>
      <c r="H445" t="s">
        <v>550</v>
      </c>
      <c r="I445" t="s">
        <v>550</v>
      </c>
    </row>
    <row r="446" spans="1:9" x14ac:dyDescent="0.2">
      <c r="A446">
        <v>72</v>
      </c>
      <c r="B446">
        <v>14</v>
      </c>
      <c r="C446" t="s">
        <v>8</v>
      </c>
      <c r="D446">
        <v>0</v>
      </c>
      <c r="E446">
        <v>0.82285347348079096</v>
      </c>
      <c r="F446">
        <v>2</v>
      </c>
      <c r="G446" s="1" t="s">
        <v>551</v>
      </c>
      <c r="H446" t="s">
        <v>552</v>
      </c>
      <c r="I446" t="s">
        <v>551</v>
      </c>
    </row>
    <row r="447" spans="1:9" x14ac:dyDescent="0.2">
      <c r="A447">
        <v>40</v>
      </c>
      <c r="B447">
        <v>6</v>
      </c>
      <c r="C447" t="s">
        <v>10</v>
      </c>
      <c r="D447">
        <v>0</v>
      </c>
      <c r="E447">
        <v>0.56469028606079497</v>
      </c>
      <c r="F447">
        <v>1</v>
      </c>
      <c r="G447" s="1" t="s">
        <v>553</v>
      </c>
      <c r="H447" t="s">
        <v>553</v>
      </c>
      <c r="I447" t="s">
        <v>553</v>
      </c>
    </row>
    <row r="448" spans="1:9" x14ac:dyDescent="0.2">
      <c r="A448">
        <v>51</v>
      </c>
      <c r="B448">
        <v>13</v>
      </c>
      <c r="C448" t="s">
        <v>8</v>
      </c>
      <c r="D448">
        <v>2</v>
      </c>
      <c r="E448">
        <v>0.82363804511260197</v>
      </c>
      <c r="F448">
        <v>2</v>
      </c>
      <c r="G448" s="1" t="s">
        <v>554</v>
      </c>
      <c r="H448" t="s">
        <v>555</v>
      </c>
      <c r="I448" t="s">
        <v>554</v>
      </c>
    </row>
    <row r="449" spans="1:9" x14ac:dyDescent="0.2">
      <c r="A449">
        <v>46</v>
      </c>
      <c r="B449">
        <v>1</v>
      </c>
      <c r="C449" t="s">
        <v>8</v>
      </c>
      <c r="D449">
        <v>1</v>
      </c>
      <c r="E449">
        <v>0.66101376642472998</v>
      </c>
      <c r="F449">
        <v>1</v>
      </c>
      <c r="G449" s="1" t="s">
        <v>556</v>
      </c>
      <c r="H449" t="s">
        <v>556</v>
      </c>
      <c r="I449" t="s">
        <v>556</v>
      </c>
    </row>
    <row r="450" spans="1:9" x14ac:dyDescent="0.2">
      <c r="A450">
        <v>36</v>
      </c>
      <c r="B450">
        <v>0</v>
      </c>
      <c r="C450" t="s">
        <v>10</v>
      </c>
      <c r="D450">
        <v>1</v>
      </c>
      <c r="E450">
        <v>0.82863849645946197</v>
      </c>
      <c r="F450">
        <v>1</v>
      </c>
      <c r="G450" s="1" t="s">
        <v>557</v>
      </c>
      <c r="H450" t="s">
        <v>557</v>
      </c>
      <c r="I450" t="s">
        <v>557</v>
      </c>
    </row>
    <row r="451" spans="1:9" x14ac:dyDescent="0.2">
      <c r="A451">
        <v>65</v>
      </c>
      <c r="B451">
        <v>5</v>
      </c>
      <c r="C451" t="s">
        <v>10</v>
      </c>
      <c r="D451">
        <v>0</v>
      </c>
      <c r="E451">
        <v>0.538164040772244</v>
      </c>
      <c r="F451">
        <v>1</v>
      </c>
      <c r="G451" s="1" t="s">
        <v>558</v>
      </c>
      <c r="H451" t="s">
        <v>558</v>
      </c>
      <c r="I451" t="s">
        <v>558</v>
      </c>
    </row>
    <row r="452" spans="1:9" x14ac:dyDescent="0.2">
      <c r="A452">
        <v>39</v>
      </c>
      <c r="B452">
        <v>13</v>
      </c>
      <c r="C452" t="s">
        <v>10</v>
      </c>
      <c r="D452">
        <v>0</v>
      </c>
      <c r="E452">
        <v>0.90640645974781398</v>
      </c>
      <c r="F452">
        <v>1</v>
      </c>
      <c r="G452" s="1" t="s">
        <v>559</v>
      </c>
      <c r="H452" t="s">
        <v>559</v>
      </c>
      <c r="I452" t="s">
        <v>559</v>
      </c>
    </row>
    <row r="453" spans="1:9" x14ac:dyDescent="0.2">
      <c r="A453">
        <v>65</v>
      </c>
      <c r="B453">
        <v>8</v>
      </c>
      <c r="C453" t="s">
        <v>16</v>
      </c>
      <c r="D453">
        <v>0</v>
      </c>
      <c r="E453">
        <v>0.61818823788780697</v>
      </c>
      <c r="F453">
        <v>1</v>
      </c>
      <c r="G453" s="1" t="s">
        <v>560</v>
      </c>
      <c r="H453" t="s">
        <v>560</v>
      </c>
      <c r="I453" t="s">
        <v>560</v>
      </c>
    </row>
    <row r="454" spans="1:9" x14ac:dyDescent="0.2">
      <c r="A454">
        <v>57</v>
      </c>
      <c r="B454">
        <v>2</v>
      </c>
      <c r="C454" t="s">
        <v>8</v>
      </c>
      <c r="D454">
        <v>0</v>
      </c>
      <c r="E454">
        <v>0.61087950353976295</v>
      </c>
      <c r="F454">
        <v>1</v>
      </c>
      <c r="G454" s="1" t="s">
        <v>561</v>
      </c>
      <c r="H454" t="s">
        <v>561</v>
      </c>
      <c r="I454" t="s">
        <v>561</v>
      </c>
    </row>
    <row r="455" spans="1:9" x14ac:dyDescent="0.2">
      <c r="A455">
        <v>20</v>
      </c>
      <c r="B455">
        <v>15</v>
      </c>
      <c r="C455" t="s">
        <v>8</v>
      </c>
      <c r="D455">
        <v>0</v>
      </c>
      <c r="E455">
        <v>0.87188425997737795</v>
      </c>
      <c r="F455">
        <v>1</v>
      </c>
      <c r="G455" s="1" t="s">
        <v>562</v>
      </c>
      <c r="H455" t="s">
        <v>562</v>
      </c>
      <c r="I455" t="s">
        <v>562</v>
      </c>
    </row>
    <row r="456" spans="1:9" x14ac:dyDescent="0.2">
      <c r="A456">
        <v>52</v>
      </c>
      <c r="B456">
        <v>4</v>
      </c>
      <c r="C456" t="s">
        <v>10</v>
      </c>
      <c r="D456">
        <v>1</v>
      </c>
      <c r="E456">
        <v>0.67362998996395596</v>
      </c>
      <c r="F456">
        <v>1</v>
      </c>
      <c r="G456" s="1" t="s">
        <v>563</v>
      </c>
      <c r="H456" t="s">
        <v>563</v>
      </c>
      <c r="I456" t="s">
        <v>563</v>
      </c>
    </row>
    <row r="457" spans="1:9" x14ac:dyDescent="0.2">
      <c r="A457">
        <v>32</v>
      </c>
      <c r="B457">
        <v>13</v>
      </c>
      <c r="C457" t="s">
        <v>8</v>
      </c>
      <c r="D457">
        <v>1</v>
      </c>
      <c r="E457">
        <v>0.63009102188516397</v>
      </c>
      <c r="F457">
        <v>1</v>
      </c>
      <c r="G457" s="1" t="s">
        <v>564</v>
      </c>
      <c r="H457" t="s">
        <v>564</v>
      </c>
      <c r="I457" t="s">
        <v>564</v>
      </c>
    </row>
    <row r="458" spans="1:9" x14ac:dyDescent="0.2">
      <c r="A458">
        <v>36</v>
      </c>
      <c r="B458">
        <v>15</v>
      </c>
      <c r="C458" t="s">
        <v>8</v>
      </c>
      <c r="D458">
        <v>0</v>
      </c>
      <c r="E458">
        <v>0.90688611776567996</v>
      </c>
      <c r="F458">
        <v>1</v>
      </c>
      <c r="G458" s="1" t="s">
        <v>565</v>
      </c>
      <c r="H458" t="s">
        <v>565</v>
      </c>
      <c r="I458" t="s">
        <v>565</v>
      </c>
    </row>
    <row r="459" spans="1:9" x14ac:dyDescent="0.2">
      <c r="A459">
        <v>53</v>
      </c>
      <c r="B459">
        <v>2</v>
      </c>
      <c r="C459" t="s">
        <v>16</v>
      </c>
      <c r="D459">
        <v>1</v>
      </c>
      <c r="E459">
        <v>0.76921018527355001</v>
      </c>
      <c r="F459">
        <v>1</v>
      </c>
      <c r="G459" s="1" t="s">
        <v>566</v>
      </c>
      <c r="H459" t="s">
        <v>566</v>
      </c>
      <c r="I459" t="s">
        <v>566</v>
      </c>
    </row>
    <row r="460" spans="1:9" x14ac:dyDescent="0.2">
      <c r="A460">
        <v>78</v>
      </c>
      <c r="B460">
        <v>11</v>
      </c>
      <c r="C460" t="s">
        <v>16</v>
      </c>
      <c r="D460">
        <v>1</v>
      </c>
      <c r="E460">
        <v>0.83892356441356197</v>
      </c>
      <c r="F460">
        <v>1</v>
      </c>
      <c r="G460" s="1" t="s">
        <v>567</v>
      </c>
      <c r="H460" t="s">
        <v>567</v>
      </c>
      <c r="I460" t="s">
        <v>567</v>
      </c>
    </row>
    <row r="461" spans="1:9" x14ac:dyDescent="0.2">
      <c r="A461">
        <v>77</v>
      </c>
      <c r="B461">
        <v>2</v>
      </c>
      <c r="C461" t="s">
        <v>8</v>
      </c>
      <c r="D461">
        <v>0</v>
      </c>
      <c r="E461">
        <v>0.933203637134284</v>
      </c>
      <c r="F461">
        <v>1</v>
      </c>
      <c r="G461" s="1" t="s">
        <v>568</v>
      </c>
      <c r="H461" t="s">
        <v>568</v>
      </c>
      <c r="I461" t="s">
        <v>568</v>
      </c>
    </row>
    <row r="462" spans="1:9" x14ac:dyDescent="0.2">
      <c r="A462">
        <v>82</v>
      </c>
      <c r="B462">
        <v>2</v>
      </c>
      <c r="C462" t="s">
        <v>16</v>
      </c>
      <c r="D462">
        <v>1</v>
      </c>
      <c r="E462">
        <v>0.58990891813300494</v>
      </c>
      <c r="F462">
        <v>2</v>
      </c>
      <c r="G462" s="1" t="s">
        <v>569</v>
      </c>
      <c r="H462" t="s">
        <v>570</v>
      </c>
      <c r="I462" t="s">
        <v>569</v>
      </c>
    </row>
    <row r="463" spans="1:9" x14ac:dyDescent="0.2">
      <c r="A463">
        <v>23</v>
      </c>
      <c r="B463">
        <v>6</v>
      </c>
      <c r="C463" t="s">
        <v>10</v>
      </c>
      <c r="D463">
        <v>1</v>
      </c>
      <c r="E463">
        <v>0.90460699913092002</v>
      </c>
      <c r="F463">
        <v>2</v>
      </c>
      <c r="G463" s="1" t="s">
        <v>571</v>
      </c>
      <c r="H463" t="s">
        <v>572</v>
      </c>
      <c r="I463" t="s">
        <v>571</v>
      </c>
    </row>
    <row r="464" spans="1:9" x14ac:dyDescent="0.2">
      <c r="A464">
        <v>81</v>
      </c>
      <c r="B464">
        <v>12</v>
      </c>
      <c r="C464" t="s">
        <v>8</v>
      </c>
      <c r="D464">
        <v>0</v>
      </c>
      <c r="E464">
        <v>0.87667532684281502</v>
      </c>
      <c r="F464">
        <v>1</v>
      </c>
      <c r="G464" s="1" t="s">
        <v>573</v>
      </c>
      <c r="H464" t="s">
        <v>573</v>
      </c>
      <c r="I464" t="s">
        <v>573</v>
      </c>
    </row>
    <row r="465" spans="1:9" x14ac:dyDescent="0.2">
      <c r="A465">
        <v>35</v>
      </c>
      <c r="B465">
        <v>3</v>
      </c>
      <c r="C465" t="s">
        <v>8</v>
      </c>
      <c r="D465">
        <v>0</v>
      </c>
      <c r="E465">
        <v>0.64919622801244303</v>
      </c>
      <c r="F465">
        <v>1</v>
      </c>
      <c r="G465" s="1" t="s">
        <v>574</v>
      </c>
      <c r="H465" t="s">
        <v>574</v>
      </c>
      <c r="I465" t="s">
        <v>574</v>
      </c>
    </row>
    <row r="466" spans="1:9" x14ac:dyDescent="0.2">
      <c r="A466">
        <v>89</v>
      </c>
      <c r="B466">
        <v>8</v>
      </c>
      <c r="C466" t="s">
        <v>8</v>
      </c>
      <c r="D466">
        <v>1</v>
      </c>
      <c r="E466">
        <v>0.704338912037201</v>
      </c>
      <c r="F466">
        <v>1</v>
      </c>
      <c r="G466" s="1" t="s">
        <v>575</v>
      </c>
      <c r="H466" t="s">
        <v>575</v>
      </c>
      <c r="I466" t="s">
        <v>575</v>
      </c>
    </row>
    <row r="467" spans="1:9" x14ac:dyDescent="0.2">
      <c r="A467">
        <v>52</v>
      </c>
      <c r="B467">
        <v>13</v>
      </c>
      <c r="C467" t="s">
        <v>16</v>
      </c>
      <c r="D467">
        <v>0</v>
      </c>
      <c r="E467">
        <v>0.62493163323961198</v>
      </c>
      <c r="F467">
        <v>3</v>
      </c>
      <c r="G467" s="1" t="s">
        <v>576</v>
      </c>
      <c r="H467" t="s">
        <v>577</v>
      </c>
      <c r="I467" t="s">
        <v>576</v>
      </c>
    </row>
    <row r="468" spans="1:9" x14ac:dyDescent="0.2">
      <c r="A468">
        <v>22</v>
      </c>
      <c r="B468">
        <v>7</v>
      </c>
      <c r="C468" t="s">
        <v>8</v>
      </c>
      <c r="D468">
        <v>1</v>
      </c>
      <c r="E468">
        <v>0.97433849307708398</v>
      </c>
      <c r="F468">
        <v>1</v>
      </c>
      <c r="G468" s="1" t="s">
        <v>578</v>
      </c>
      <c r="H468" t="s">
        <v>578</v>
      </c>
      <c r="I468" t="s">
        <v>578</v>
      </c>
    </row>
    <row r="469" spans="1:9" x14ac:dyDescent="0.2">
      <c r="A469">
        <v>54</v>
      </c>
      <c r="B469">
        <v>11</v>
      </c>
      <c r="C469" t="s">
        <v>8</v>
      </c>
      <c r="D469">
        <v>0</v>
      </c>
      <c r="E469">
        <v>0.99514597584493503</v>
      </c>
      <c r="F469">
        <v>1</v>
      </c>
      <c r="G469" s="1" t="s">
        <v>579</v>
      </c>
      <c r="H469" t="s">
        <v>579</v>
      </c>
      <c r="I469" t="s">
        <v>579</v>
      </c>
    </row>
    <row r="470" spans="1:9" x14ac:dyDescent="0.2">
      <c r="A470">
        <v>86</v>
      </c>
      <c r="B470">
        <v>2</v>
      </c>
      <c r="C470" t="s">
        <v>10</v>
      </c>
      <c r="D470">
        <v>0</v>
      </c>
      <c r="E470">
        <v>0.96428100240882497</v>
      </c>
      <c r="F470">
        <v>1</v>
      </c>
      <c r="G470" s="1" t="s">
        <v>580</v>
      </c>
      <c r="H470" t="s">
        <v>580</v>
      </c>
      <c r="I470" t="s">
        <v>580</v>
      </c>
    </row>
    <row r="471" spans="1:9" x14ac:dyDescent="0.2">
      <c r="A471">
        <v>84</v>
      </c>
      <c r="B471">
        <v>8</v>
      </c>
      <c r="C471" t="s">
        <v>16</v>
      </c>
      <c r="D471">
        <v>0</v>
      </c>
      <c r="E471">
        <v>0.77469755220226899</v>
      </c>
      <c r="F471">
        <v>1</v>
      </c>
      <c r="G471" s="1" t="s">
        <v>581</v>
      </c>
      <c r="H471" t="s">
        <v>581</v>
      </c>
      <c r="I471" t="s">
        <v>581</v>
      </c>
    </row>
    <row r="472" spans="1:9" x14ac:dyDescent="0.2">
      <c r="A472">
        <v>71</v>
      </c>
      <c r="B472">
        <v>11</v>
      </c>
      <c r="C472" t="s">
        <v>16</v>
      </c>
      <c r="D472">
        <v>0</v>
      </c>
      <c r="E472">
        <v>0.59603865351527896</v>
      </c>
      <c r="F472">
        <v>1</v>
      </c>
      <c r="G472" s="1" t="s">
        <v>582</v>
      </c>
      <c r="H472" t="s">
        <v>582</v>
      </c>
      <c r="I472" t="s">
        <v>582</v>
      </c>
    </row>
    <row r="473" spans="1:9" x14ac:dyDescent="0.2">
      <c r="A473">
        <v>60</v>
      </c>
      <c r="B473">
        <v>6</v>
      </c>
      <c r="C473" t="s">
        <v>16</v>
      </c>
      <c r="D473">
        <v>1</v>
      </c>
      <c r="E473">
        <v>0.70094088325277004</v>
      </c>
      <c r="F473">
        <v>2</v>
      </c>
      <c r="G473" s="1" t="s">
        <v>583</v>
      </c>
      <c r="H473" t="s">
        <v>584</v>
      </c>
      <c r="I473" t="s">
        <v>583</v>
      </c>
    </row>
    <row r="474" spans="1:9" x14ac:dyDescent="0.2">
      <c r="A474">
        <v>40</v>
      </c>
      <c r="B474">
        <v>2</v>
      </c>
      <c r="C474" t="s">
        <v>8</v>
      </c>
      <c r="D474">
        <v>0</v>
      </c>
      <c r="E474">
        <v>0.635472545283847</v>
      </c>
      <c r="F474">
        <v>1</v>
      </c>
      <c r="G474" s="1" t="s">
        <v>585</v>
      </c>
      <c r="H474" t="s">
        <v>585</v>
      </c>
      <c r="I474" t="s">
        <v>585</v>
      </c>
    </row>
    <row r="475" spans="1:9" x14ac:dyDescent="0.2">
      <c r="A475">
        <v>74</v>
      </c>
      <c r="B475">
        <v>10</v>
      </c>
      <c r="C475" t="s">
        <v>8</v>
      </c>
      <c r="D475">
        <v>0</v>
      </c>
      <c r="E475">
        <v>0.74188613460864905</v>
      </c>
      <c r="F475">
        <v>1</v>
      </c>
      <c r="G475" s="1" t="s">
        <v>586</v>
      </c>
      <c r="H475" t="s">
        <v>586</v>
      </c>
      <c r="I475" t="s">
        <v>586</v>
      </c>
    </row>
    <row r="476" spans="1:9" x14ac:dyDescent="0.2">
      <c r="A476">
        <v>52</v>
      </c>
      <c r="B476">
        <v>15</v>
      </c>
      <c r="C476" t="s">
        <v>10</v>
      </c>
      <c r="D476">
        <v>0</v>
      </c>
      <c r="E476">
        <v>0.96126748877577495</v>
      </c>
      <c r="F476">
        <v>1</v>
      </c>
      <c r="G476" s="1" t="s">
        <v>587</v>
      </c>
      <c r="H476" t="s">
        <v>587</v>
      </c>
      <c r="I476" t="s">
        <v>587</v>
      </c>
    </row>
    <row r="477" spans="1:9" x14ac:dyDescent="0.2">
      <c r="A477">
        <v>85</v>
      </c>
      <c r="B477">
        <v>12</v>
      </c>
      <c r="C477" t="s">
        <v>8</v>
      </c>
      <c r="D477">
        <v>0</v>
      </c>
      <c r="E477">
        <v>0.95470062736421801</v>
      </c>
      <c r="F477">
        <v>1</v>
      </c>
      <c r="G477" s="1" t="s">
        <v>588</v>
      </c>
      <c r="H477" t="s">
        <v>588</v>
      </c>
      <c r="I477" t="s">
        <v>588</v>
      </c>
    </row>
    <row r="478" spans="1:9" x14ac:dyDescent="0.2">
      <c r="A478">
        <v>40</v>
      </c>
      <c r="B478">
        <v>5</v>
      </c>
      <c r="C478" t="s">
        <v>16</v>
      </c>
      <c r="D478">
        <v>0</v>
      </c>
      <c r="E478">
        <v>0.93754826928488899</v>
      </c>
      <c r="F478">
        <v>2</v>
      </c>
      <c r="G478" s="1" t="s">
        <v>589</v>
      </c>
      <c r="H478" t="s">
        <v>590</v>
      </c>
      <c r="I478" t="s">
        <v>589</v>
      </c>
    </row>
    <row r="479" spans="1:9" x14ac:dyDescent="0.2">
      <c r="A479">
        <v>75</v>
      </c>
      <c r="B479">
        <v>14</v>
      </c>
      <c r="C479" t="s">
        <v>16</v>
      </c>
      <c r="D479">
        <v>1</v>
      </c>
      <c r="E479">
        <v>0.656160211074166</v>
      </c>
      <c r="F479">
        <v>1</v>
      </c>
      <c r="G479" s="1" t="s">
        <v>591</v>
      </c>
      <c r="H479" t="s">
        <v>591</v>
      </c>
      <c r="I479" t="s">
        <v>591</v>
      </c>
    </row>
    <row r="480" spans="1:9" x14ac:dyDescent="0.2">
      <c r="A480">
        <v>46</v>
      </c>
      <c r="B480">
        <v>11</v>
      </c>
      <c r="C480" t="s">
        <v>10</v>
      </c>
      <c r="D480">
        <v>0</v>
      </c>
      <c r="E480">
        <v>0.97970277268905204</v>
      </c>
      <c r="F480">
        <v>1</v>
      </c>
      <c r="G480" s="1" t="s">
        <v>592</v>
      </c>
      <c r="H480" t="s">
        <v>592</v>
      </c>
      <c r="I480" t="s">
        <v>592</v>
      </c>
    </row>
    <row r="481" spans="1:9" x14ac:dyDescent="0.2">
      <c r="A481">
        <v>64</v>
      </c>
      <c r="B481">
        <v>11</v>
      </c>
      <c r="C481" t="s">
        <v>8</v>
      </c>
      <c r="D481">
        <v>0</v>
      </c>
      <c r="E481">
        <v>0.96981833968311504</v>
      </c>
      <c r="F481">
        <v>1</v>
      </c>
      <c r="G481" s="1" t="s">
        <v>593</v>
      </c>
      <c r="H481" t="s">
        <v>593</v>
      </c>
      <c r="I481" t="s">
        <v>593</v>
      </c>
    </row>
    <row r="482" spans="1:9" x14ac:dyDescent="0.2">
      <c r="A482">
        <v>29</v>
      </c>
      <c r="B482">
        <v>8</v>
      </c>
      <c r="C482" t="s">
        <v>10</v>
      </c>
      <c r="D482">
        <v>0</v>
      </c>
      <c r="E482">
        <v>0.98440035153180405</v>
      </c>
      <c r="F482">
        <v>1</v>
      </c>
      <c r="G482" s="1" t="s">
        <v>594</v>
      </c>
      <c r="H482" t="s">
        <v>594</v>
      </c>
      <c r="I482" t="s">
        <v>594</v>
      </c>
    </row>
    <row r="483" spans="1:9" x14ac:dyDescent="0.2">
      <c r="A483">
        <v>72</v>
      </c>
      <c r="B483">
        <v>13</v>
      </c>
      <c r="C483" t="s">
        <v>8</v>
      </c>
      <c r="D483">
        <v>1</v>
      </c>
      <c r="E483">
        <v>0.989038202213123</v>
      </c>
      <c r="F483">
        <v>2</v>
      </c>
      <c r="G483" s="1" t="s">
        <v>595</v>
      </c>
      <c r="H483" t="s">
        <v>596</v>
      </c>
      <c r="I483" t="s">
        <v>595</v>
      </c>
    </row>
    <row r="484" spans="1:9" x14ac:dyDescent="0.2">
      <c r="A484">
        <v>23</v>
      </c>
      <c r="B484">
        <v>8</v>
      </c>
      <c r="C484" t="s">
        <v>8</v>
      </c>
      <c r="D484">
        <v>0</v>
      </c>
      <c r="E484">
        <v>0.78987064561806597</v>
      </c>
      <c r="F484">
        <v>1</v>
      </c>
      <c r="G484" s="1" t="s">
        <v>597</v>
      </c>
      <c r="H484" t="s">
        <v>597</v>
      </c>
      <c r="I484" t="s">
        <v>597</v>
      </c>
    </row>
    <row r="485" spans="1:9" x14ac:dyDescent="0.2">
      <c r="A485">
        <v>61</v>
      </c>
      <c r="B485">
        <v>4</v>
      </c>
      <c r="C485" t="s">
        <v>8</v>
      </c>
      <c r="D485">
        <v>0</v>
      </c>
      <c r="E485">
        <v>0.51520399400033101</v>
      </c>
      <c r="F485">
        <v>1</v>
      </c>
      <c r="G485" s="1" t="s">
        <v>598</v>
      </c>
      <c r="H485" t="s">
        <v>598</v>
      </c>
      <c r="I485" t="s">
        <v>598</v>
      </c>
    </row>
    <row r="486" spans="1:9" x14ac:dyDescent="0.2">
      <c r="A486">
        <v>71</v>
      </c>
      <c r="B486">
        <v>4</v>
      </c>
      <c r="C486" t="s">
        <v>10</v>
      </c>
      <c r="D486">
        <v>0</v>
      </c>
      <c r="E486">
        <v>0.53857945220079295</v>
      </c>
      <c r="F486">
        <v>2</v>
      </c>
      <c r="G486" s="1" t="s">
        <v>599</v>
      </c>
      <c r="H486" t="s">
        <v>600</v>
      </c>
      <c r="I486" t="s">
        <v>599</v>
      </c>
    </row>
    <row r="487" spans="1:9" x14ac:dyDescent="0.2">
      <c r="A487">
        <v>59</v>
      </c>
      <c r="B487">
        <v>4</v>
      </c>
      <c r="C487" t="s">
        <v>16</v>
      </c>
      <c r="D487">
        <v>0</v>
      </c>
      <c r="E487">
        <v>0.89685365301556896</v>
      </c>
      <c r="F487">
        <v>1</v>
      </c>
      <c r="G487" s="1" t="s">
        <v>601</v>
      </c>
      <c r="H487" t="s">
        <v>601</v>
      </c>
      <c r="I487" t="s">
        <v>601</v>
      </c>
    </row>
    <row r="488" spans="1:9" x14ac:dyDescent="0.2">
      <c r="A488">
        <v>75</v>
      </c>
      <c r="B488">
        <v>9</v>
      </c>
      <c r="C488" t="s">
        <v>8</v>
      </c>
      <c r="D488">
        <v>0</v>
      </c>
      <c r="E488">
        <v>0.78145583218429204</v>
      </c>
      <c r="F488">
        <v>1</v>
      </c>
      <c r="G488" s="1" t="s">
        <v>602</v>
      </c>
      <c r="H488" t="s">
        <v>602</v>
      </c>
      <c r="I488" t="s">
        <v>602</v>
      </c>
    </row>
    <row r="489" spans="1:9" x14ac:dyDescent="0.2">
      <c r="A489">
        <v>78</v>
      </c>
      <c r="B489">
        <v>14</v>
      </c>
      <c r="C489" t="s">
        <v>10</v>
      </c>
      <c r="D489">
        <v>0</v>
      </c>
      <c r="E489">
        <v>0.83623728924430896</v>
      </c>
      <c r="F489">
        <v>1</v>
      </c>
      <c r="G489" s="1" t="s">
        <v>603</v>
      </c>
      <c r="H489" t="s">
        <v>603</v>
      </c>
      <c r="I489" t="s">
        <v>603</v>
      </c>
    </row>
    <row r="490" spans="1:9" x14ac:dyDescent="0.2">
      <c r="A490">
        <v>76</v>
      </c>
      <c r="B490">
        <v>13</v>
      </c>
      <c r="C490" t="s">
        <v>10</v>
      </c>
      <c r="D490">
        <v>2</v>
      </c>
      <c r="E490">
        <v>0.71866920858155903</v>
      </c>
      <c r="F490">
        <v>2</v>
      </c>
      <c r="G490" s="1" t="s">
        <v>604</v>
      </c>
      <c r="H490" t="s">
        <v>605</v>
      </c>
      <c r="I490" t="s">
        <v>604</v>
      </c>
    </row>
    <row r="491" spans="1:9" x14ac:dyDescent="0.2">
      <c r="A491">
        <v>84</v>
      </c>
      <c r="B491">
        <v>7</v>
      </c>
      <c r="C491" t="s">
        <v>10</v>
      </c>
      <c r="D491">
        <v>1</v>
      </c>
      <c r="E491">
        <v>0.94758694805204902</v>
      </c>
      <c r="F491">
        <v>1</v>
      </c>
      <c r="G491" s="1" t="s">
        <v>606</v>
      </c>
      <c r="H491" t="s">
        <v>606</v>
      </c>
      <c r="I491" t="s">
        <v>606</v>
      </c>
    </row>
    <row r="492" spans="1:9" x14ac:dyDescent="0.2">
      <c r="A492">
        <v>51</v>
      </c>
      <c r="B492">
        <v>1</v>
      </c>
      <c r="C492" t="s">
        <v>8</v>
      </c>
      <c r="D492">
        <v>0</v>
      </c>
      <c r="E492">
        <v>0.87074758578091904</v>
      </c>
      <c r="F492">
        <v>1</v>
      </c>
      <c r="G492" s="1" t="s">
        <v>607</v>
      </c>
      <c r="H492" t="s">
        <v>607</v>
      </c>
      <c r="I492" t="s">
        <v>607</v>
      </c>
    </row>
    <row r="493" spans="1:9" x14ac:dyDescent="0.2">
      <c r="A493">
        <v>71</v>
      </c>
      <c r="B493">
        <v>6</v>
      </c>
      <c r="C493" t="s">
        <v>10</v>
      </c>
      <c r="D493">
        <v>1</v>
      </c>
      <c r="E493">
        <v>0.90005719987675503</v>
      </c>
      <c r="F493">
        <v>1</v>
      </c>
      <c r="G493" s="1" t="s">
        <v>608</v>
      </c>
      <c r="H493" t="s">
        <v>608</v>
      </c>
      <c r="I493" t="s">
        <v>608</v>
      </c>
    </row>
    <row r="494" spans="1:9" x14ac:dyDescent="0.2">
      <c r="A494">
        <v>47</v>
      </c>
      <c r="B494">
        <v>11</v>
      </c>
      <c r="C494" t="s">
        <v>8</v>
      </c>
      <c r="D494">
        <v>0</v>
      </c>
      <c r="E494">
        <v>0.86009165446739599</v>
      </c>
      <c r="F494">
        <v>1</v>
      </c>
      <c r="G494" s="1" t="s">
        <v>609</v>
      </c>
      <c r="H494" t="s">
        <v>609</v>
      </c>
      <c r="I494" t="s">
        <v>609</v>
      </c>
    </row>
    <row r="495" spans="1:9" x14ac:dyDescent="0.2">
      <c r="A495">
        <v>70</v>
      </c>
      <c r="B495">
        <v>6</v>
      </c>
      <c r="C495" t="s">
        <v>8</v>
      </c>
      <c r="D495">
        <v>1</v>
      </c>
      <c r="E495">
        <v>0.65273592236917499</v>
      </c>
      <c r="F495">
        <v>1</v>
      </c>
      <c r="G495" s="1" t="s">
        <v>610</v>
      </c>
      <c r="H495" t="s">
        <v>610</v>
      </c>
      <c r="I495" t="s">
        <v>610</v>
      </c>
    </row>
    <row r="496" spans="1:9" x14ac:dyDescent="0.2">
      <c r="A496">
        <v>90</v>
      </c>
      <c r="B496">
        <v>12</v>
      </c>
      <c r="C496" t="s">
        <v>16</v>
      </c>
      <c r="D496">
        <v>0</v>
      </c>
      <c r="E496">
        <v>0.53972815221641202</v>
      </c>
      <c r="F496">
        <v>1</v>
      </c>
      <c r="G496" s="1" t="s">
        <v>611</v>
      </c>
      <c r="H496" t="s">
        <v>611</v>
      </c>
      <c r="I496" t="s">
        <v>611</v>
      </c>
    </row>
    <row r="497" spans="1:9" x14ac:dyDescent="0.2">
      <c r="A497">
        <v>78</v>
      </c>
      <c r="B497">
        <v>11</v>
      </c>
      <c r="C497" t="s">
        <v>8</v>
      </c>
      <c r="D497">
        <v>0</v>
      </c>
      <c r="E497">
        <v>0.65061226987745602</v>
      </c>
      <c r="F497">
        <v>1</v>
      </c>
      <c r="G497" s="1" t="s">
        <v>612</v>
      </c>
      <c r="H497" t="s">
        <v>612</v>
      </c>
      <c r="I497" t="s">
        <v>612</v>
      </c>
    </row>
    <row r="498" spans="1:9" x14ac:dyDescent="0.2">
      <c r="A498">
        <v>78</v>
      </c>
      <c r="B498">
        <v>3</v>
      </c>
      <c r="C498" t="s">
        <v>8</v>
      </c>
      <c r="D498">
        <v>0</v>
      </c>
      <c r="E498">
        <v>0.88646339101251204</v>
      </c>
      <c r="F498">
        <v>3</v>
      </c>
      <c r="G498" s="1" t="s">
        <v>613</v>
      </c>
      <c r="H498" t="s">
        <v>614</v>
      </c>
      <c r="I498" t="s">
        <v>613</v>
      </c>
    </row>
    <row r="499" spans="1:9" x14ac:dyDescent="0.2">
      <c r="A499">
        <v>77</v>
      </c>
      <c r="B499">
        <v>1</v>
      </c>
      <c r="C499" t="s">
        <v>16</v>
      </c>
      <c r="D499">
        <v>0</v>
      </c>
      <c r="E499">
        <v>0.95082653884310298</v>
      </c>
      <c r="F499">
        <v>2</v>
      </c>
      <c r="G499" s="1" t="s">
        <v>615</v>
      </c>
      <c r="H499" t="s">
        <v>616</v>
      </c>
      <c r="I499" t="s">
        <v>615</v>
      </c>
    </row>
    <row r="500" spans="1:9" x14ac:dyDescent="0.2">
      <c r="A500">
        <v>48</v>
      </c>
      <c r="B500">
        <v>11</v>
      </c>
      <c r="C500" t="s">
        <v>8</v>
      </c>
      <c r="D500">
        <v>1</v>
      </c>
      <c r="E500">
        <v>0.83009200030937802</v>
      </c>
      <c r="F500">
        <v>3</v>
      </c>
      <c r="G500" s="1" t="s">
        <v>617</v>
      </c>
      <c r="H500" t="s">
        <v>618</v>
      </c>
      <c r="I500" t="s">
        <v>617</v>
      </c>
    </row>
    <row r="501" spans="1:9" x14ac:dyDescent="0.2">
      <c r="A501">
        <v>73</v>
      </c>
      <c r="B501">
        <v>7</v>
      </c>
      <c r="C501" t="s">
        <v>8</v>
      </c>
      <c r="D501">
        <v>3</v>
      </c>
      <c r="E501">
        <v>0.86701244825962898</v>
      </c>
      <c r="F501">
        <v>2</v>
      </c>
      <c r="G501" s="1" t="s">
        <v>619</v>
      </c>
      <c r="H501" t="s">
        <v>620</v>
      </c>
      <c r="I501" t="s">
        <v>619</v>
      </c>
    </row>
    <row r="502" spans="1:9" x14ac:dyDescent="0.2">
      <c r="A502">
        <v>41</v>
      </c>
      <c r="B502">
        <v>11</v>
      </c>
      <c r="C502" t="s">
        <v>10</v>
      </c>
      <c r="D502">
        <v>0</v>
      </c>
      <c r="E502">
        <v>0.71148703142534897</v>
      </c>
      <c r="F502">
        <v>1</v>
      </c>
      <c r="G502" s="1" t="s">
        <v>621</v>
      </c>
      <c r="H502" t="s">
        <v>621</v>
      </c>
      <c r="I502" t="s">
        <v>621</v>
      </c>
    </row>
    <row r="503" spans="1:9" x14ac:dyDescent="0.2">
      <c r="A503">
        <v>32</v>
      </c>
      <c r="B503">
        <v>8</v>
      </c>
      <c r="C503" t="s">
        <v>16</v>
      </c>
      <c r="D503">
        <v>3</v>
      </c>
      <c r="E503">
        <v>0.59909384173806801</v>
      </c>
      <c r="F503">
        <v>1</v>
      </c>
      <c r="G503" s="1" t="s">
        <v>622</v>
      </c>
      <c r="H503" t="s">
        <v>622</v>
      </c>
      <c r="I503" t="s">
        <v>622</v>
      </c>
    </row>
    <row r="504" spans="1:9" x14ac:dyDescent="0.2">
      <c r="A504">
        <v>65</v>
      </c>
      <c r="B504">
        <v>11</v>
      </c>
      <c r="C504" t="s">
        <v>8</v>
      </c>
      <c r="D504">
        <v>0</v>
      </c>
      <c r="E504">
        <v>0.95075618627015501</v>
      </c>
      <c r="F504">
        <v>1</v>
      </c>
      <c r="G504" s="1" t="s">
        <v>623</v>
      </c>
      <c r="H504" t="s">
        <v>623</v>
      </c>
      <c r="I504" t="s">
        <v>623</v>
      </c>
    </row>
    <row r="505" spans="1:9" x14ac:dyDescent="0.2">
      <c r="A505">
        <v>86</v>
      </c>
      <c r="B505">
        <v>10</v>
      </c>
      <c r="C505" t="s">
        <v>10</v>
      </c>
      <c r="D505">
        <v>0</v>
      </c>
      <c r="E505">
        <v>0.71394610847346496</v>
      </c>
      <c r="F505">
        <v>1</v>
      </c>
      <c r="G505" s="1" t="s">
        <v>624</v>
      </c>
      <c r="H505" t="s">
        <v>624</v>
      </c>
      <c r="I505" t="s">
        <v>624</v>
      </c>
    </row>
    <row r="506" spans="1:9" x14ac:dyDescent="0.2">
      <c r="A506">
        <v>68</v>
      </c>
      <c r="B506">
        <v>12</v>
      </c>
      <c r="C506" t="s">
        <v>10</v>
      </c>
      <c r="D506">
        <v>0</v>
      </c>
      <c r="E506">
        <v>0.77356994978617899</v>
      </c>
      <c r="F506">
        <v>1</v>
      </c>
      <c r="G506" s="1" t="s">
        <v>625</v>
      </c>
      <c r="H506" t="s">
        <v>625</v>
      </c>
      <c r="I506" t="s">
        <v>625</v>
      </c>
    </row>
    <row r="507" spans="1:9" x14ac:dyDescent="0.2">
      <c r="A507">
        <v>60</v>
      </c>
      <c r="B507">
        <v>13</v>
      </c>
      <c r="C507" t="s">
        <v>8</v>
      </c>
      <c r="D507">
        <v>0</v>
      </c>
      <c r="E507">
        <v>0.754275677143596</v>
      </c>
      <c r="F507">
        <v>2</v>
      </c>
      <c r="G507" s="1" t="s">
        <v>626</v>
      </c>
      <c r="H507" t="s">
        <v>627</v>
      </c>
      <c r="I507" t="s">
        <v>626</v>
      </c>
    </row>
    <row r="508" spans="1:9" x14ac:dyDescent="0.2">
      <c r="A508">
        <v>61</v>
      </c>
      <c r="B508">
        <v>8</v>
      </c>
      <c r="C508" t="s">
        <v>16</v>
      </c>
      <c r="D508">
        <v>0</v>
      </c>
      <c r="E508">
        <v>0.61582106770947598</v>
      </c>
      <c r="F508">
        <v>1</v>
      </c>
      <c r="G508" s="1" t="s">
        <v>628</v>
      </c>
      <c r="H508" t="s">
        <v>628</v>
      </c>
      <c r="I508" t="s">
        <v>628</v>
      </c>
    </row>
    <row r="509" spans="1:9" x14ac:dyDescent="0.2">
      <c r="A509">
        <v>87</v>
      </c>
      <c r="B509">
        <v>10</v>
      </c>
      <c r="C509" t="s">
        <v>8</v>
      </c>
      <c r="D509">
        <v>0</v>
      </c>
      <c r="E509">
        <v>0.82266212557442497</v>
      </c>
      <c r="F509">
        <v>1</v>
      </c>
      <c r="G509" s="1" t="s">
        <v>629</v>
      </c>
      <c r="H509" t="s">
        <v>629</v>
      </c>
      <c r="I509" t="s">
        <v>629</v>
      </c>
    </row>
    <row r="510" spans="1:9" x14ac:dyDescent="0.2">
      <c r="A510">
        <v>79</v>
      </c>
      <c r="B510">
        <v>13</v>
      </c>
      <c r="C510" t="s">
        <v>16</v>
      </c>
      <c r="D510">
        <v>1</v>
      </c>
      <c r="E510">
        <v>0.60021393024362601</v>
      </c>
      <c r="F510">
        <v>1</v>
      </c>
      <c r="G510" s="1" t="s">
        <v>630</v>
      </c>
      <c r="H510" t="s">
        <v>630</v>
      </c>
      <c r="I510" t="s">
        <v>630</v>
      </c>
    </row>
    <row r="511" spans="1:9" x14ac:dyDescent="0.2">
      <c r="A511">
        <v>69</v>
      </c>
      <c r="B511">
        <v>3</v>
      </c>
      <c r="C511" t="s">
        <v>8</v>
      </c>
      <c r="D511">
        <v>0</v>
      </c>
      <c r="E511">
        <v>0.81225285306572903</v>
      </c>
      <c r="F511">
        <v>1</v>
      </c>
      <c r="G511" s="1" t="s">
        <v>631</v>
      </c>
      <c r="H511" t="s">
        <v>631</v>
      </c>
      <c r="I511" t="s">
        <v>631</v>
      </c>
    </row>
    <row r="512" spans="1:9" x14ac:dyDescent="0.2">
      <c r="A512">
        <v>19</v>
      </c>
      <c r="B512">
        <v>10</v>
      </c>
      <c r="C512" t="s">
        <v>8</v>
      </c>
      <c r="D512">
        <v>0</v>
      </c>
      <c r="E512">
        <v>0.70572337787598405</v>
      </c>
      <c r="F512">
        <v>1</v>
      </c>
      <c r="G512" s="1" t="s">
        <v>632</v>
      </c>
      <c r="H512" t="s">
        <v>632</v>
      </c>
      <c r="I512" t="s">
        <v>632</v>
      </c>
    </row>
    <row r="513" spans="1:9" x14ac:dyDescent="0.2">
      <c r="A513">
        <v>49</v>
      </c>
      <c r="B513">
        <v>6</v>
      </c>
      <c r="C513" t="s">
        <v>8</v>
      </c>
      <c r="D513">
        <v>0</v>
      </c>
      <c r="E513">
        <v>0.73596550000365801</v>
      </c>
      <c r="F513">
        <v>2</v>
      </c>
      <c r="G513" s="1" t="s">
        <v>633</v>
      </c>
      <c r="H513" t="s">
        <v>634</v>
      </c>
      <c r="I513" t="s">
        <v>633</v>
      </c>
    </row>
    <row r="514" spans="1:9" x14ac:dyDescent="0.2">
      <c r="A514">
        <v>34</v>
      </c>
      <c r="B514">
        <v>10</v>
      </c>
      <c r="C514" t="s">
        <v>16</v>
      </c>
      <c r="D514">
        <v>0</v>
      </c>
      <c r="E514">
        <v>0.68950293050147604</v>
      </c>
      <c r="F514">
        <v>1</v>
      </c>
      <c r="G514" s="1" t="s">
        <v>635</v>
      </c>
      <c r="H514" t="s">
        <v>635</v>
      </c>
      <c r="I514" t="s">
        <v>635</v>
      </c>
    </row>
    <row r="515" spans="1:9" x14ac:dyDescent="0.2">
      <c r="A515">
        <v>78</v>
      </c>
      <c r="B515">
        <v>6</v>
      </c>
      <c r="C515" t="s">
        <v>16</v>
      </c>
      <c r="D515">
        <v>0</v>
      </c>
      <c r="E515">
        <v>0.85394219972658902</v>
      </c>
      <c r="F515">
        <v>2</v>
      </c>
      <c r="G515" s="1" t="s">
        <v>636</v>
      </c>
      <c r="H515" t="s">
        <v>637</v>
      </c>
      <c r="I515" t="s">
        <v>636</v>
      </c>
    </row>
    <row r="516" spans="1:9" x14ac:dyDescent="0.2">
      <c r="A516">
        <v>48</v>
      </c>
      <c r="B516">
        <v>9</v>
      </c>
      <c r="C516" t="s">
        <v>16</v>
      </c>
      <c r="D516">
        <v>2</v>
      </c>
      <c r="E516">
        <v>0.754392649396323</v>
      </c>
      <c r="F516">
        <v>1</v>
      </c>
      <c r="G516" s="1" t="s">
        <v>638</v>
      </c>
      <c r="H516" t="s">
        <v>638</v>
      </c>
      <c r="I516" t="s">
        <v>638</v>
      </c>
    </row>
    <row r="517" spans="1:9" x14ac:dyDescent="0.2">
      <c r="A517">
        <v>36</v>
      </c>
      <c r="B517">
        <v>13</v>
      </c>
      <c r="C517" t="s">
        <v>8</v>
      </c>
      <c r="D517">
        <v>0</v>
      </c>
      <c r="E517">
        <v>0.51867355045396801</v>
      </c>
      <c r="F517">
        <v>1</v>
      </c>
      <c r="G517" s="1" t="s">
        <v>639</v>
      </c>
      <c r="H517" t="s">
        <v>639</v>
      </c>
      <c r="I517" t="s">
        <v>639</v>
      </c>
    </row>
    <row r="518" spans="1:9" x14ac:dyDescent="0.2">
      <c r="A518">
        <v>74</v>
      </c>
      <c r="B518">
        <v>13</v>
      </c>
      <c r="C518" t="s">
        <v>16</v>
      </c>
      <c r="D518">
        <v>2</v>
      </c>
      <c r="E518">
        <v>0.93654210970271401</v>
      </c>
      <c r="F518">
        <v>1</v>
      </c>
      <c r="G518" s="1" t="s">
        <v>640</v>
      </c>
      <c r="H518" t="s">
        <v>640</v>
      </c>
      <c r="I518" t="s">
        <v>640</v>
      </c>
    </row>
    <row r="519" spans="1:9" x14ac:dyDescent="0.2">
      <c r="A519">
        <v>42</v>
      </c>
      <c r="B519">
        <v>6</v>
      </c>
      <c r="C519" t="s">
        <v>10</v>
      </c>
      <c r="D519">
        <v>0</v>
      </c>
      <c r="E519">
        <v>0.95546470046974696</v>
      </c>
      <c r="F519">
        <v>1</v>
      </c>
      <c r="G519" s="1" t="s">
        <v>641</v>
      </c>
      <c r="H519" t="s">
        <v>641</v>
      </c>
      <c r="I519" t="s">
        <v>641</v>
      </c>
    </row>
    <row r="520" spans="1:9" x14ac:dyDescent="0.2">
      <c r="A520">
        <v>58</v>
      </c>
      <c r="B520">
        <v>13</v>
      </c>
      <c r="C520" t="s">
        <v>16</v>
      </c>
      <c r="D520">
        <v>1</v>
      </c>
      <c r="E520">
        <v>0.77404210064560197</v>
      </c>
      <c r="F520">
        <v>2</v>
      </c>
      <c r="G520" s="1" t="s">
        <v>642</v>
      </c>
      <c r="H520" t="s">
        <v>643</v>
      </c>
      <c r="I520" t="s">
        <v>642</v>
      </c>
    </row>
    <row r="521" spans="1:9" x14ac:dyDescent="0.2">
      <c r="A521">
        <v>38</v>
      </c>
      <c r="B521">
        <v>6</v>
      </c>
      <c r="C521" t="s">
        <v>10</v>
      </c>
      <c r="D521">
        <v>1</v>
      </c>
      <c r="E521">
        <v>0.84691071824636299</v>
      </c>
      <c r="F521">
        <v>2</v>
      </c>
      <c r="G521" s="1" t="s">
        <v>644</v>
      </c>
      <c r="H521" t="s">
        <v>645</v>
      </c>
      <c r="I521" t="s">
        <v>644</v>
      </c>
    </row>
    <row r="522" spans="1:9" x14ac:dyDescent="0.2">
      <c r="A522">
        <v>62</v>
      </c>
      <c r="B522">
        <v>3</v>
      </c>
      <c r="C522" t="s">
        <v>10</v>
      </c>
      <c r="D522">
        <v>0</v>
      </c>
      <c r="E522">
        <v>0.97482960193883605</v>
      </c>
      <c r="F522">
        <v>1</v>
      </c>
      <c r="G522" s="1" t="s">
        <v>646</v>
      </c>
      <c r="H522" t="s">
        <v>646</v>
      </c>
      <c r="I522" t="s">
        <v>646</v>
      </c>
    </row>
    <row r="523" spans="1:9" x14ac:dyDescent="0.2">
      <c r="A523">
        <v>88</v>
      </c>
      <c r="B523">
        <v>12</v>
      </c>
      <c r="C523" t="s">
        <v>10</v>
      </c>
      <c r="D523">
        <v>1</v>
      </c>
      <c r="E523">
        <v>0.98251456546131499</v>
      </c>
      <c r="F523">
        <v>4</v>
      </c>
      <c r="G523" s="1" t="s">
        <v>647</v>
      </c>
      <c r="H523" t="s">
        <v>648</v>
      </c>
      <c r="I523" t="s">
        <v>647</v>
      </c>
    </row>
    <row r="524" spans="1:9" x14ac:dyDescent="0.2">
      <c r="A524">
        <v>46</v>
      </c>
      <c r="B524">
        <v>5</v>
      </c>
      <c r="C524" t="s">
        <v>16</v>
      </c>
      <c r="D524">
        <v>0</v>
      </c>
      <c r="E524">
        <v>0.65604918776080001</v>
      </c>
      <c r="F524">
        <v>1</v>
      </c>
      <c r="G524" s="1" t="s">
        <v>649</v>
      </c>
      <c r="H524" t="s">
        <v>649</v>
      </c>
      <c r="I524" t="s">
        <v>649</v>
      </c>
    </row>
    <row r="525" spans="1:9" x14ac:dyDescent="0.2">
      <c r="A525">
        <v>67</v>
      </c>
      <c r="B525">
        <v>1</v>
      </c>
      <c r="C525" t="s">
        <v>16</v>
      </c>
      <c r="D525">
        <v>0</v>
      </c>
      <c r="E525">
        <v>0.99873096309602305</v>
      </c>
      <c r="F525">
        <v>1</v>
      </c>
      <c r="G525" s="1" t="s">
        <v>650</v>
      </c>
      <c r="H525" t="s">
        <v>650</v>
      </c>
      <c r="I525" t="s">
        <v>650</v>
      </c>
    </row>
    <row r="526" spans="1:9" x14ac:dyDescent="0.2">
      <c r="A526">
        <v>38</v>
      </c>
      <c r="B526">
        <v>2</v>
      </c>
      <c r="C526" t="s">
        <v>8</v>
      </c>
      <c r="D526">
        <v>0</v>
      </c>
      <c r="E526">
        <v>0.50110715033952102</v>
      </c>
      <c r="F526">
        <v>1</v>
      </c>
      <c r="G526" s="1" t="s">
        <v>651</v>
      </c>
      <c r="H526" t="s">
        <v>651</v>
      </c>
      <c r="I526" t="s">
        <v>651</v>
      </c>
    </row>
    <row r="527" spans="1:9" x14ac:dyDescent="0.2">
      <c r="A527">
        <v>75</v>
      </c>
      <c r="B527">
        <v>0</v>
      </c>
      <c r="C527" t="s">
        <v>10</v>
      </c>
      <c r="D527">
        <v>2</v>
      </c>
      <c r="E527">
        <v>0.81268949597142603</v>
      </c>
      <c r="F527">
        <v>2</v>
      </c>
      <c r="G527" s="1" t="s">
        <v>652</v>
      </c>
      <c r="H527" t="s">
        <v>653</v>
      </c>
      <c r="I527" t="s">
        <v>652</v>
      </c>
    </row>
    <row r="528" spans="1:9" x14ac:dyDescent="0.2">
      <c r="A528">
        <v>54</v>
      </c>
      <c r="B528">
        <v>3</v>
      </c>
      <c r="C528" t="s">
        <v>10</v>
      </c>
      <c r="D528">
        <v>0</v>
      </c>
      <c r="E528">
        <v>0.56424665474332902</v>
      </c>
      <c r="F528">
        <v>1</v>
      </c>
      <c r="G528" s="1" t="s">
        <v>654</v>
      </c>
      <c r="H528" t="s">
        <v>654</v>
      </c>
      <c r="I528" t="s">
        <v>654</v>
      </c>
    </row>
    <row r="529" spans="1:9" x14ac:dyDescent="0.2">
      <c r="A529">
        <v>27</v>
      </c>
      <c r="B529">
        <v>2</v>
      </c>
      <c r="C529" t="s">
        <v>8</v>
      </c>
      <c r="D529">
        <v>0</v>
      </c>
      <c r="E529">
        <v>0.83212758973240897</v>
      </c>
      <c r="F529">
        <v>1</v>
      </c>
      <c r="G529" s="1" t="s">
        <v>655</v>
      </c>
      <c r="H529" t="s">
        <v>655</v>
      </c>
      <c r="I529" t="s">
        <v>655</v>
      </c>
    </row>
    <row r="530" spans="1:9" x14ac:dyDescent="0.2">
      <c r="A530">
        <v>83</v>
      </c>
      <c r="B530">
        <v>9</v>
      </c>
      <c r="C530" t="s">
        <v>10</v>
      </c>
      <c r="D530">
        <v>1</v>
      </c>
      <c r="E530">
        <v>0.81226229772437397</v>
      </c>
      <c r="F530">
        <v>1</v>
      </c>
      <c r="G530" s="1" t="s">
        <v>656</v>
      </c>
      <c r="H530" t="s">
        <v>656</v>
      </c>
      <c r="I530" t="s">
        <v>656</v>
      </c>
    </row>
    <row r="531" spans="1:9" x14ac:dyDescent="0.2">
      <c r="A531">
        <v>75</v>
      </c>
      <c r="B531">
        <v>14</v>
      </c>
      <c r="C531" t="s">
        <v>8</v>
      </c>
      <c r="D531">
        <v>1</v>
      </c>
      <c r="E531">
        <v>0.60631663200911101</v>
      </c>
      <c r="F531">
        <v>1</v>
      </c>
      <c r="G531" s="1" t="s">
        <v>657</v>
      </c>
      <c r="H531" t="s">
        <v>657</v>
      </c>
      <c r="I531" t="s">
        <v>657</v>
      </c>
    </row>
    <row r="532" spans="1:9" x14ac:dyDescent="0.2">
      <c r="A532">
        <v>44</v>
      </c>
      <c r="B532">
        <v>13</v>
      </c>
      <c r="C532" t="s">
        <v>8</v>
      </c>
      <c r="D532">
        <v>0</v>
      </c>
      <c r="E532">
        <v>0.65253153385128804</v>
      </c>
      <c r="F532">
        <v>1</v>
      </c>
      <c r="G532" s="1" t="s">
        <v>658</v>
      </c>
      <c r="H532" t="s">
        <v>658</v>
      </c>
      <c r="I532" t="s">
        <v>658</v>
      </c>
    </row>
    <row r="533" spans="1:9" x14ac:dyDescent="0.2">
      <c r="A533">
        <v>72</v>
      </c>
      <c r="B533">
        <v>4</v>
      </c>
      <c r="C533" t="s">
        <v>10</v>
      </c>
      <c r="D533">
        <v>0</v>
      </c>
      <c r="E533">
        <v>0.84729221754241701</v>
      </c>
      <c r="F533">
        <v>1</v>
      </c>
      <c r="G533" s="1" t="s">
        <v>659</v>
      </c>
      <c r="H533" t="s">
        <v>659</v>
      </c>
      <c r="I533" t="s">
        <v>659</v>
      </c>
    </row>
    <row r="534" spans="1:9" x14ac:dyDescent="0.2">
      <c r="A534">
        <v>54</v>
      </c>
      <c r="B534">
        <v>10</v>
      </c>
      <c r="C534" t="s">
        <v>8</v>
      </c>
      <c r="D534">
        <v>0</v>
      </c>
      <c r="E534">
        <v>0.983398282318376</v>
      </c>
      <c r="F534">
        <v>3</v>
      </c>
      <c r="G534" s="1" t="s">
        <v>660</v>
      </c>
      <c r="H534" t="s">
        <v>661</v>
      </c>
      <c r="I534" t="s">
        <v>660</v>
      </c>
    </row>
    <row r="535" spans="1:9" x14ac:dyDescent="0.2">
      <c r="A535">
        <v>65</v>
      </c>
      <c r="B535">
        <v>2</v>
      </c>
      <c r="C535" t="s">
        <v>8</v>
      </c>
      <c r="D535">
        <v>0</v>
      </c>
      <c r="E535">
        <v>0.87796568276826303</v>
      </c>
      <c r="F535">
        <v>2</v>
      </c>
      <c r="G535" s="1" t="s">
        <v>662</v>
      </c>
      <c r="H535" t="s">
        <v>663</v>
      </c>
      <c r="I535" t="s">
        <v>662</v>
      </c>
    </row>
    <row r="536" spans="1:9" x14ac:dyDescent="0.2">
      <c r="A536">
        <v>76</v>
      </c>
      <c r="B536">
        <v>5</v>
      </c>
      <c r="C536" t="s">
        <v>16</v>
      </c>
      <c r="D536">
        <v>0</v>
      </c>
      <c r="E536">
        <v>0.62792470457497995</v>
      </c>
      <c r="F536">
        <v>1</v>
      </c>
      <c r="G536" s="1" t="s">
        <v>664</v>
      </c>
      <c r="H536" t="s">
        <v>664</v>
      </c>
      <c r="I536" t="s">
        <v>664</v>
      </c>
    </row>
    <row r="537" spans="1:9" x14ac:dyDescent="0.2">
      <c r="A537">
        <v>49</v>
      </c>
      <c r="B537">
        <v>11</v>
      </c>
      <c r="C537" t="s">
        <v>16</v>
      </c>
      <c r="D537">
        <v>0</v>
      </c>
      <c r="E537">
        <v>0.536795240826905</v>
      </c>
      <c r="F537">
        <v>2</v>
      </c>
      <c r="G537" s="1" t="s">
        <v>665</v>
      </c>
      <c r="H537" t="s">
        <v>666</v>
      </c>
      <c r="I537" t="s">
        <v>665</v>
      </c>
    </row>
    <row r="538" spans="1:9" x14ac:dyDescent="0.2">
      <c r="A538">
        <v>65</v>
      </c>
      <c r="B538">
        <v>6</v>
      </c>
      <c r="C538" t="s">
        <v>8</v>
      </c>
      <c r="D538">
        <v>1</v>
      </c>
      <c r="E538">
        <v>0.69806282978970602</v>
      </c>
      <c r="F538">
        <v>1</v>
      </c>
      <c r="G538" s="1" t="s">
        <v>667</v>
      </c>
      <c r="H538" t="s">
        <v>667</v>
      </c>
      <c r="I538" t="s">
        <v>667</v>
      </c>
    </row>
    <row r="539" spans="1:9" x14ac:dyDescent="0.2">
      <c r="A539">
        <v>61</v>
      </c>
      <c r="B539">
        <v>7</v>
      </c>
      <c r="C539" t="s">
        <v>8</v>
      </c>
      <c r="D539">
        <v>0</v>
      </c>
      <c r="E539">
        <v>0.60427594720386002</v>
      </c>
      <c r="F539">
        <v>1</v>
      </c>
      <c r="G539" s="1" t="s">
        <v>668</v>
      </c>
      <c r="H539" t="s">
        <v>668</v>
      </c>
      <c r="I539" t="s">
        <v>668</v>
      </c>
    </row>
    <row r="540" spans="1:9" x14ac:dyDescent="0.2">
      <c r="A540">
        <v>71</v>
      </c>
      <c r="B540">
        <v>6</v>
      </c>
      <c r="C540" t="s">
        <v>16</v>
      </c>
      <c r="D540">
        <v>0</v>
      </c>
      <c r="E540">
        <v>0.60352267895359502</v>
      </c>
      <c r="F540">
        <v>1</v>
      </c>
      <c r="G540" s="1" t="s">
        <v>669</v>
      </c>
      <c r="H540" t="s">
        <v>669</v>
      </c>
      <c r="I540" t="s">
        <v>669</v>
      </c>
    </row>
    <row r="541" spans="1:9" x14ac:dyDescent="0.2">
      <c r="A541">
        <v>76</v>
      </c>
      <c r="B541">
        <v>12</v>
      </c>
      <c r="C541" t="s">
        <v>10</v>
      </c>
      <c r="D541">
        <v>0</v>
      </c>
      <c r="E541">
        <v>0.913696410483681</v>
      </c>
      <c r="F541">
        <v>1</v>
      </c>
      <c r="G541" s="1" t="s">
        <v>670</v>
      </c>
      <c r="H541" t="s">
        <v>670</v>
      </c>
      <c r="I541" t="s">
        <v>670</v>
      </c>
    </row>
    <row r="542" spans="1:9" x14ac:dyDescent="0.2">
      <c r="A542">
        <v>21</v>
      </c>
      <c r="B542">
        <v>14</v>
      </c>
      <c r="C542" t="s">
        <v>8</v>
      </c>
      <c r="D542">
        <v>0</v>
      </c>
      <c r="E542">
        <v>0.85493780544493303</v>
      </c>
      <c r="F542">
        <v>1</v>
      </c>
      <c r="G542" s="1" t="s">
        <v>671</v>
      </c>
      <c r="H542" t="s">
        <v>671</v>
      </c>
      <c r="I542" t="s">
        <v>671</v>
      </c>
    </row>
    <row r="543" spans="1:9" x14ac:dyDescent="0.2">
      <c r="A543">
        <v>62</v>
      </c>
      <c r="B543">
        <v>0</v>
      </c>
      <c r="C543" t="s">
        <v>16</v>
      </c>
      <c r="D543">
        <v>2</v>
      </c>
      <c r="E543">
        <v>0.88987030729185801</v>
      </c>
      <c r="F543">
        <v>1</v>
      </c>
      <c r="G543" s="1" t="s">
        <v>672</v>
      </c>
      <c r="H543" t="s">
        <v>672</v>
      </c>
      <c r="I543" t="s">
        <v>672</v>
      </c>
    </row>
    <row r="544" spans="1:9" x14ac:dyDescent="0.2">
      <c r="A544">
        <v>52</v>
      </c>
      <c r="B544">
        <v>10</v>
      </c>
      <c r="C544" t="s">
        <v>16</v>
      </c>
      <c r="D544">
        <v>0</v>
      </c>
      <c r="E544">
        <v>0.72121090942528099</v>
      </c>
      <c r="F544">
        <v>1</v>
      </c>
      <c r="G544" s="1" t="s">
        <v>673</v>
      </c>
      <c r="H544" t="s">
        <v>673</v>
      </c>
      <c r="I544" t="s">
        <v>673</v>
      </c>
    </row>
    <row r="545" spans="1:9" x14ac:dyDescent="0.2">
      <c r="A545">
        <v>58</v>
      </c>
      <c r="B545">
        <v>6</v>
      </c>
      <c r="C545" t="s">
        <v>16</v>
      </c>
      <c r="D545">
        <v>2</v>
      </c>
      <c r="E545">
        <v>0.91083311464171901</v>
      </c>
      <c r="F545">
        <v>2</v>
      </c>
      <c r="G545" s="1" t="s">
        <v>674</v>
      </c>
      <c r="H545" t="s">
        <v>675</v>
      </c>
      <c r="I545" t="s">
        <v>674</v>
      </c>
    </row>
    <row r="546" spans="1:9" x14ac:dyDescent="0.2">
      <c r="A546">
        <v>62</v>
      </c>
      <c r="B546">
        <v>9</v>
      </c>
      <c r="C546" t="s">
        <v>10</v>
      </c>
      <c r="D546">
        <v>2</v>
      </c>
      <c r="E546">
        <v>0.66366738930810198</v>
      </c>
      <c r="F546">
        <v>1</v>
      </c>
      <c r="G546" s="1" t="s">
        <v>676</v>
      </c>
      <c r="H546" t="s">
        <v>676</v>
      </c>
      <c r="I546" t="s">
        <v>676</v>
      </c>
    </row>
    <row r="547" spans="1:9" x14ac:dyDescent="0.2">
      <c r="A547">
        <v>43</v>
      </c>
      <c r="B547">
        <v>14</v>
      </c>
      <c r="C547" t="s">
        <v>8</v>
      </c>
      <c r="D547">
        <v>0</v>
      </c>
      <c r="E547">
        <v>0.55170233349781495</v>
      </c>
      <c r="F547">
        <v>1</v>
      </c>
      <c r="G547" s="1" t="s">
        <v>677</v>
      </c>
      <c r="H547" t="s">
        <v>677</v>
      </c>
      <c r="I547" t="s">
        <v>677</v>
      </c>
    </row>
    <row r="548" spans="1:9" x14ac:dyDescent="0.2">
      <c r="A548">
        <v>73</v>
      </c>
      <c r="B548">
        <v>1</v>
      </c>
      <c r="C548" t="s">
        <v>8</v>
      </c>
      <c r="D548">
        <v>0</v>
      </c>
      <c r="E548">
        <v>0.89311709953471996</v>
      </c>
      <c r="F548">
        <v>1</v>
      </c>
      <c r="G548" s="1" t="s">
        <v>678</v>
      </c>
      <c r="H548" t="s">
        <v>678</v>
      </c>
      <c r="I548" t="s">
        <v>678</v>
      </c>
    </row>
    <row r="549" spans="1:9" x14ac:dyDescent="0.2">
      <c r="A549">
        <v>60</v>
      </c>
      <c r="B549">
        <v>12</v>
      </c>
      <c r="C549" t="s">
        <v>10</v>
      </c>
      <c r="D549">
        <v>1</v>
      </c>
      <c r="E549">
        <v>0.56331544520799104</v>
      </c>
      <c r="F549">
        <v>1</v>
      </c>
      <c r="G549" s="1" t="s">
        <v>679</v>
      </c>
      <c r="H549" t="s">
        <v>679</v>
      </c>
      <c r="I549" t="s">
        <v>679</v>
      </c>
    </row>
    <row r="550" spans="1:9" x14ac:dyDescent="0.2">
      <c r="A550">
        <v>48</v>
      </c>
      <c r="B550">
        <v>2</v>
      </c>
      <c r="C550" t="s">
        <v>10</v>
      </c>
      <c r="D550">
        <v>1</v>
      </c>
      <c r="E550">
        <v>0.98694340407382697</v>
      </c>
      <c r="F550">
        <v>1</v>
      </c>
      <c r="G550" s="1" t="s">
        <v>680</v>
      </c>
      <c r="H550" t="s">
        <v>680</v>
      </c>
      <c r="I550" t="s">
        <v>680</v>
      </c>
    </row>
    <row r="551" spans="1:9" x14ac:dyDescent="0.2">
      <c r="A551">
        <v>65</v>
      </c>
      <c r="B551">
        <v>7</v>
      </c>
      <c r="C551" t="s">
        <v>16</v>
      </c>
      <c r="D551">
        <v>0</v>
      </c>
      <c r="E551">
        <v>0.89432701631449196</v>
      </c>
      <c r="F551">
        <v>2</v>
      </c>
      <c r="G551" s="1" t="s">
        <v>681</v>
      </c>
      <c r="H551" t="s">
        <v>682</v>
      </c>
      <c r="I551" t="s">
        <v>681</v>
      </c>
    </row>
    <row r="552" spans="1:9" x14ac:dyDescent="0.2">
      <c r="A552">
        <v>37</v>
      </c>
      <c r="B552">
        <v>14</v>
      </c>
      <c r="C552" t="s">
        <v>8</v>
      </c>
      <c r="D552">
        <v>0</v>
      </c>
      <c r="E552">
        <v>0.68259208428207796</v>
      </c>
      <c r="F552">
        <v>1</v>
      </c>
      <c r="G552" s="1" t="s">
        <v>683</v>
      </c>
      <c r="H552" t="s">
        <v>683</v>
      </c>
      <c r="I552" t="s">
        <v>683</v>
      </c>
    </row>
    <row r="553" spans="1:9" x14ac:dyDescent="0.2">
      <c r="A553">
        <v>75</v>
      </c>
      <c r="B553">
        <v>10</v>
      </c>
      <c r="C553" t="s">
        <v>10</v>
      </c>
      <c r="D553">
        <v>1</v>
      </c>
      <c r="E553">
        <v>0.79371798085048795</v>
      </c>
      <c r="F553">
        <v>1</v>
      </c>
      <c r="G553" s="1" t="s">
        <v>684</v>
      </c>
      <c r="H553" t="s">
        <v>684</v>
      </c>
      <c r="I553" t="s">
        <v>684</v>
      </c>
    </row>
    <row r="554" spans="1:9" x14ac:dyDescent="0.2">
      <c r="A554">
        <v>86</v>
      </c>
      <c r="B554">
        <v>4</v>
      </c>
      <c r="C554" t="s">
        <v>16</v>
      </c>
      <c r="D554">
        <v>0</v>
      </c>
      <c r="E554">
        <v>0.69248642225284096</v>
      </c>
      <c r="F554">
        <v>1</v>
      </c>
      <c r="G554" s="1" t="s">
        <v>685</v>
      </c>
      <c r="H554" t="s">
        <v>685</v>
      </c>
      <c r="I554" t="s">
        <v>685</v>
      </c>
    </row>
    <row r="555" spans="1:9" x14ac:dyDescent="0.2">
      <c r="A555">
        <v>86</v>
      </c>
      <c r="B555">
        <v>6</v>
      </c>
      <c r="C555" t="s">
        <v>8</v>
      </c>
      <c r="D555">
        <v>2</v>
      </c>
      <c r="E555">
        <v>0.79762731178197999</v>
      </c>
      <c r="F555">
        <v>3</v>
      </c>
      <c r="G555" s="1" t="s">
        <v>686</v>
      </c>
      <c r="H555" t="s">
        <v>687</v>
      </c>
      <c r="I555" t="s">
        <v>686</v>
      </c>
    </row>
    <row r="556" spans="1:9" x14ac:dyDescent="0.2">
      <c r="A556">
        <v>44</v>
      </c>
      <c r="B556">
        <v>14</v>
      </c>
      <c r="C556" t="s">
        <v>10</v>
      </c>
      <c r="D556">
        <v>0</v>
      </c>
      <c r="E556">
        <v>0.56730974756646901</v>
      </c>
      <c r="F556">
        <v>1</v>
      </c>
      <c r="G556" s="1" t="s">
        <v>688</v>
      </c>
      <c r="H556" t="s">
        <v>688</v>
      </c>
      <c r="I556" t="s">
        <v>688</v>
      </c>
    </row>
    <row r="557" spans="1:9" x14ac:dyDescent="0.2">
      <c r="A557">
        <v>46</v>
      </c>
      <c r="B557">
        <v>9</v>
      </c>
      <c r="C557" t="s">
        <v>8</v>
      </c>
      <c r="D557">
        <v>1</v>
      </c>
      <c r="E557">
        <v>0.84832459641620495</v>
      </c>
      <c r="F557">
        <v>1</v>
      </c>
      <c r="G557" s="1" t="s">
        <v>689</v>
      </c>
      <c r="H557" t="s">
        <v>689</v>
      </c>
      <c r="I557" t="s">
        <v>689</v>
      </c>
    </row>
    <row r="558" spans="1:9" x14ac:dyDescent="0.2">
      <c r="A558">
        <v>79</v>
      </c>
      <c r="B558">
        <v>10</v>
      </c>
      <c r="C558" t="s">
        <v>8</v>
      </c>
      <c r="D558">
        <v>1</v>
      </c>
      <c r="E558">
        <v>0.66628121328540102</v>
      </c>
      <c r="F558">
        <v>2</v>
      </c>
      <c r="G558" s="1" t="s">
        <v>690</v>
      </c>
      <c r="H558" t="s">
        <v>691</v>
      </c>
      <c r="I558" t="s">
        <v>690</v>
      </c>
    </row>
    <row r="559" spans="1:9" x14ac:dyDescent="0.2">
      <c r="A559">
        <v>38</v>
      </c>
      <c r="B559">
        <v>2</v>
      </c>
      <c r="C559" t="s">
        <v>8</v>
      </c>
      <c r="D559">
        <v>0</v>
      </c>
      <c r="E559">
        <v>0.84802583127748199</v>
      </c>
      <c r="F559">
        <v>1</v>
      </c>
      <c r="G559" s="1" t="s">
        <v>692</v>
      </c>
      <c r="H559" t="s">
        <v>692</v>
      </c>
      <c r="I559" t="s">
        <v>692</v>
      </c>
    </row>
    <row r="560" spans="1:9" x14ac:dyDescent="0.2">
      <c r="A560">
        <v>64</v>
      </c>
      <c r="B560">
        <v>8</v>
      </c>
      <c r="C560" t="s">
        <v>16</v>
      </c>
      <c r="D560">
        <v>1</v>
      </c>
      <c r="E560">
        <v>0.65467519965022802</v>
      </c>
      <c r="F560">
        <v>1</v>
      </c>
      <c r="G560" s="1" t="s">
        <v>693</v>
      </c>
      <c r="H560" t="s">
        <v>693</v>
      </c>
      <c r="I560" t="s">
        <v>693</v>
      </c>
    </row>
    <row r="561" spans="1:9" x14ac:dyDescent="0.2">
      <c r="A561">
        <v>49</v>
      </c>
      <c r="B561">
        <v>14</v>
      </c>
      <c r="C561" t="s">
        <v>8</v>
      </c>
      <c r="D561">
        <v>0</v>
      </c>
      <c r="E561">
        <v>0.60240988980513099</v>
      </c>
      <c r="F561">
        <v>1</v>
      </c>
      <c r="G561" s="1" t="s">
        <v>694</v>
      </c>
      <c r="H561" t="s">
        <v>694</v>
      </c>
      <c r="I561" t="s">
        <v>694</v>
      </c>
    </row>
    <row r="562" spans="1:9" x14ac:dyDescent="0.2">
      <c r="A562">
        <v>58</v>
      </c>
      <c r="B562">
        <v>7</v>
      </c>
      <c r="C562" t="s">
        <v>8</v>
      </c>
      <c r="D562">
        <v>0</v>
      </c>
      <c r="E562">
        <v>0.60472963913343802</v>
      </c>
      <c r="F562">
        <v>1</v>
      </c>
      <c r="G562" s="1" t="s">
        <v>695</v>
      </c>
      <c r="H562" t="s">
        <v>695</v>
      </c>
      <c r="I562" t="s">
        <v>695</v>
      </c>
    </row>
    <row r="563" spans="1:9" x14ac:dyDescent="0.2">
      <c r="A563">
        <v>65</v>
      </c>
      <c r="B563">
        <v>11</v>
      </c>
      <c r="C563" t="s">
        <v>8</v>
      </c>
      <c r="D563">
        <v>1</v>
      </c>
      <c r="E563">
        <v>0.84582318167667803</v>
      </c>
      <c r="F563">
        <v>2</v>
      </c>
      <c r="G563" s="1" t="s">
        <v>696</v>
      </c>
      <c r="H563" t="s">
        <v>697</v>
      </c>
      <c r="I563" t="s">
        <v>696</v>
      </c>
    </row>
    <row r="564" spans="1:9" x14ac:dyDescent="0.2">
      <c r="A564">
        <v>64</v>
      </c>
      <c r="B564">
        <v>11</v>
      </c>
      <c r="C564" t="s">
        <v>8</v>
      </c>
      <c r="D564">
        <v>1</v>
      </c>
      <c r="E564">
        <v>0.78461261349730205</v>
      </c>
      <c r="F564">
        <v>1</v>
      </c>
      <c r="G564" s="1" t="s">
        <v>698</v>
      </c>
      <c r="H564" t="s">
        <v>698</v>
      </c>
      <c r="I564" t="s">
        <v>698</v>
      </c>
    </row>
    <row r="565" spans="1:9" x14ac:dyDescent="0.2">
      <c r="A565">
        <v>34</v>
      </c>
      <c r="B565">
        <v>6</v>
      </c>
      <c r="C565" t="s">
        <v>10</v>
      </c>
      <c r="D565">
        <v>1</v>
      </c>
      <c r="E565">
        <v>0.74125906883273296</v>
      </c>
      <c r="F565">
        <v>1</v>
      </c>
      <c r="G565" s="1" t="s">
        <v>699</v>
      </c>
      <c r="H565" t="s">
        <v>699</v>
      </c>
      <c r="I565" t="s">
        <v>699</v>
      </c>
    </row>
    <row r="566" spans="1:9" x14ac:dyDescent="0.2">
      <c r="A566">
        <v>57</v>
      </c>
      <c r="B566">
        <v>4</v>
      </c>
      <c r="C566" t="s">
        <v>8</v>
      </c>
      <c r="D566">
        <v>1</v>
      </c>
      <c r="E566">
        <v>0.800547659629956</v>
      </c>
      <c r="F566">
        <v>1</v>
      </c>
      <c r="G566" s="1" t="s">
        <v>700</v>
      </c>
      <c r="H566" t="s">
        <v>700</v>
      </c>
      <c r="I566" t="s">
        <v>700</v>
      </c>
    </row>
    <row r="567" spans="1:9" x14ac:dyDescent="0.2">
      <c r="A567">
        <v>90</v>
      </c>
      <c r="B567">
        <v>11</v>
      </c>
      <c r="C567" t="s">
        <v>16</v>
      </c>
      <c r="D567">
        <v>1</v>
      </c>
      <c r="E567">
        <v>0.92189351818524301</v>
      </c>
      <c r="F567">
        <v>2</v>
      </c>
      <c r="G567" s="1" t="s">
        <v>701</v>
      </c>
      <c r="H567" t="s">
        <v>702</v>
      </c>
      <c r="I567" t="s">
        <v>701</v>
      </c>
    </row>
    <row r="568" spans="1:9" x14ac:dyDescent="0.2">
      <c r="A568">
        <v>71</v>
      </c>
      <c r="B568">
        <v>10</v>
      </c>
      <c r="C568" t="s">
        <v>8</v>
      </c>
      <c r="D568">
        <v>0</v>
      </c>
      <c r="E568">
        <v>0.57850091485306598</v>
      </c>
      <c r="F568">
        <v>1</v>
      </c>
      <c r="G568" s="1" t="s">
        <v>703</v>
      </c>
      <c r="H568" t="s">
        <v>703</v>
      </c>
      <c r="I568" t="s">
        <v>703</v>
      </c>
    </row>
    <row r="569" spans="1:9" x14ac:dyDescent="0.2">
      <c r="A569">
        <v>87</v>
      </c>
      <c r="B569">
        <v>2</v>
      </c>
      <c r="C569" t="s">
        <v>10</v>
      </c>
      <c r="D569">
        <v>0</v>
      </c>
      <c r="E569">
        <v>0.92494104348588702</v>
      </c>
      <c r="F569">
        <v>1</v>
      </c>
      <c r="G569" s="1" t="s">
        <v>704</v>
      </c>
      <c r="H569" t="s">
        <v>704</v>
      </c>
      <c r="I569" t="s">
        <v>704</v>
      </c>
    </row>
    <row r="570" spans="1:9" x14ac:dyDescent="0.2">
      <c r="A570">
        <v>81</v>
      </c>
      <c r="B570">
        <v>11</v>
      </c>
      <c r="C570" t="s">
        <v>8</v>
      </c>
      <c r="D570">
        <v>0</v>
      </c>
      <c r="E570">
        <v>0.72063157928641897</v>
      </c>
      <c r="F570">
        <v>1</v>
      </c>
      <c r="G570" s="1" t="s">
        <v>705</v>
      </c>
      <c r="H570" t="s">
        <v>705</v>
      </c>
      <c r="I570" t="s">
        <v>705</v>
      </c>
    </row>
    <row r="571" spans="1:9" x14ac:dyDescent="0.2">
      <c r="A571">
        <v>79</v>
      </c>
      <c r="B571">
        <v>8</v>
      </c>
      <c r="C571" t="s">
        <v>8</v>
      </c>
      <c r="D571">
        <v>0</v>
      </c>
      <c r="E571">
        <v>0.55529015080537603</v>
      </c>
      <c r="F571">
        <v>1</v>
      </c>
      <c r="G571" s="1" t="s">
        <v>706</v>
      </c>
      <c r="H571" t="s">
        <v>706</v>
      </c>
      <c r="I571" t="s">
        <v>706</v>
      </c>
    </row>
    <row r="572" spans="1:9" x14ac:dyDescent="0.2">
      <c r="A572">
        <v>79</v>
      </c>
      <c r="B572">
        <v>11</v>
      </c>
      <c r="C572" t="s">
        <v>8</v>
      </c>
      <c r="D572">
        <v>1</v>
      </c>
      <c r="E572">
        <v>0.79820652212947596</v>
      </c>
      <c r="F572">
        <v>2</v>
      </c>
      <c r="G572" s="1" t="s">
        <v>707</v>
      </c>
      <c r="H572" t="s">
        <v>708</v>
      </c>
      <c r="I572" t="s">
        <v>707</v>
      </c>
    </row>
    <row r="573" spans="1:9" x14ac:dyDescent="0.2">
      <c r="A573">
        <v>86</v>
      </c>
      <c r="B573">
        <v>12</v>
      </c>
      <c r="C573" t="s">
        <v>8</v>
      </c>
      <c r="D573">
        <v>0</v>
      </c>
      <c r="E573">
        <v>0.87036710092797898</v>
      </c>
      <c r="F573">
        <v>1</v>
      </c>
      <c r="G573" s="1" t="s">
        <v>709</v>
      </c>
      <c r="H573" t="s">
        <v>709</v>
      </c>
      <c r="I573" t="s">
        <v>709</v>
      </c>
    </row>
    <row r="574" spans="1:9" x14ac:dyDescent="0.2">
      <c r="A574">
        <v>65</v>
      </c>
      <c r="B574">
        <v>7</v>
      </c>
      <c r="C574" t="s">
        <v>8</v>
      </c>
      <c r="D574">
        <v>1</v>
      </c>
      <c r="E574">
        <v>0.57616825017612405</v>
      </c>
      <c r="F574">
        <v>1</v>
      </c>
      <c r="G574" s="1" t="s">
        <v>710</v>
      </c>
      <c r="H574" t="s">
        <v>710</v>
      </c>
      <c r="I574" t="s">
        <v>710</v>
      </c>
    </row>
    <row r="575" spans="1:9" x14ac:dyDescent="0.2">
      <c r="A575">
        <v>53</v>
      </c>
      <c r="B575">
        <v>11</v>
      </c>
      <c r="C575" t="s">
        <v>16</v>
      </c>
      <c r="D575">
        <v>0</v>
      </c>
      <c r="E575">
        <v>0.83159870887175202</v>
      </c>
      <c r="F575">
        <v>1</v>
      </c>
      <c r="G575" s="1" t="s">
        <v>711</v>
      </c>
      <c r="H575" t="s">
        <v>711</v>
      </c>
      <c r="I575" t="s">
        <v>711</v>
      </c>
    </row>
    <row r="576" spans="1:9" x14ac:dyDescent="0.2">
      <c r="A576">
        <v>32</v>
      </c>
      <c r="B576">
        <v>14</v>
      </c>
      <c r="C576" t="s">
        <v>8</v>
      </c>
      <c r="D576">
        <v>1</v>
      </c>
      <c r="E576">
        <v>0.58621986396610704</v>
      </c>
      <c r="F576">
        <v>1</v>
      </c>
      <c r="G576" s="1" t="s">
        <v>712</v>
      </c>
      <c r="H576" t="s">
        <v>712</v>
      </c>
      <c r="I576" t="s">
        <v>712</v>
      </c>
    </row>
    <row r="577" spans="1:9" x14ac:dyDescent="0.2">
      <c r="A577">
        <v>51</v>
      </c>
      <c r="B577">
        <v>13</v>
      </c>
      <c r="C577" t="s">
        <v>8</v>
      </c>
      <c r="D577">
        <v>1</v>
      </c>
      <c r="E577">
        <v>0.99233058269601304</v>
      </c>
      <c r="F577">
        <v>1</v>
      </c>
      <c r="G577" s="1" t="s">
        <v>713</v>
      </c>
      <c r="H577" t="s">
        <v>713</v>
      </c>
      <c r="I577" t="s">
        <v>713</v>
      </c>
    </row>
    <row r="578" spans="1:9" x14ac:dyDescent="0.2">
      <c r="A578">
        <v>79</v>
      </c>
      <c r="B578">
        <v>11</v>
      </c>
      <c r="C578" t="s">
        <v>10</v>
      </c>
      <c r="D578">
        <v>0</v>
      </c>
      <c r="E578">
        <v>0.60548681963700801</v>
      </c>
      <c r="F578">
        <v>1</v>
      </c>
      <c r="G578" s="1" t="s">
        <v>714</v>
      </c>
      <c r="H578" t="s">
        <v>714</v>
      </c>
      <c r="I578" t="s">
        <v>714</v>
      </c>
    </row>
    <row r="579" spans="1:9" x14ac:dyDescent="0.2">
      <c r="A579">
        <v>70</v>
      </c>
      <c r="B579">
        <v>12</v>
      </c>
      <c r="C579" t="s">
        <v>8</v>
      </c>
      <c r="D579">
        <v>0</v>
      </c>
      <c r="E579">
        <v>0.84759253985248495</v>
      </c>
      <c r="F579">
        <v>1</v>
      </c>
      <c r="G579" s="1" t="s">
        <v>715</v>
      </c>
      <c r="H579" t="s">
        <v>715</v>
      </c>
      <c r="I579" t="s">
        <v>715</v>
      </c>
    </row>
    <row r="580" spans="1:9" x14ac:dyDescent="0.2">
      <c r="A580">
        <v>38</v>
      </c>
      <c r="B580">
        <v>5</v>
      </c>
      <c r="C580" t="s">
        <v>8</v>
      </c>
      <c r="D580">
        <v>1</v>
      </c>
      <c r="E580">
        <v>0.72004229039885104</v>
      </c>
      <c r="F580">
        <v>2</v>
      </c>
      <c r="G580" s="1" t="s">
        <v>716</v>
      </c>
      <c r="H580" t="s">
        <v>717</v>
      </c>
      <c r="I580" t="s">
        <v>716</v>
      </c>
    </row>
    <row r="581" spans="1:9" x14ac:dyDescent="0.2">
      <c r="A581">
        <v>23</v>
      </c>
      <c r="B581">
        <v>3</v>
      </c>
      <c r="C581" t="s">
        <v>16</v>
      </c>
      <c r="D581">
        <v>0</v>
      </c>
      <c r="E581">
        <v>0.67512548272497996</v>
      </c>
      <c r="F581">
        <v>1</v>
      </c>
      <c r="G581" s="1" t="s">
        <v>718</v>
      </c>
      <c r="H581" t="s">
        <v>718</v>
      </c>
      <c r="I581" t="s">
        <v>718</v>
      </c>
    </row>
    <row r="582" spans="1:9" x14ac:dyDescent="0.2">
      <c r="A582">
        <v>81</v>
      </c>
      <c r="B582">
        <v>15</v>
      </c>
      <c r="C582" t="s">
        <v>10</v>
      </c>
      <c r="D582">
        <v>0</v>
      </c>
      <c r="E582">
        <v>0.64924744877498597</v>
      </c>
      <c r="F582">
        <v>1</v>
      </c>
      <c r="G582" s="1" t="s">
        <v>719</v>
      </c>
      <c r="H582" t="s">
        <v>719</v>
      </c>
      <c r="I582" t="s">
        <v>719</v>
      </c>
    </row>
    <row r="583" spans="1:9" x14ac:dyDescent="0.2">
      <c r="A583">
        <v>86</v>
      </c>
      <c r="B583">
        <v>6</v>
      </c>
      <c r="C583" t="s">
        <v>8</v>
      </c>
      <c r="D583">
        <v>1</v>
      </c>
      <c r="E583">
        <v>0.55894210201222405</v>
      </c>
      <c r="F583">
        <v>1</v>
      </c>
      <c r="G583" s="1" t="s">
        <v>720</v>
      </c>
      <c r="H583" t="s">
        <v>720</v>
      </c>
      <c r="I583" t="s">
        <v>720</v>
      </c>
    </row>
    <row r="584" spans="1:9" x14ac:dyDescent="0.2">
      <c r="A584">
        <v>41</v>
      </c>
      <c r="B584">
        <v>12</v>
      </c>
      <c r="C584" t="s">
        <v>8</v>
      </c>
      <c r="D584">
        <v>1</v>
      </c>
      <c r="E584">
        <v>0.985901037463918</v>
      </c>
      <c r="F584">
        <v>1</v>
      </c>
      <c r="G584" s="1" t="s">
        <v>721</v>
      </c>
      <c r="H584" t="s">
        <v>721</v>
      </c>
      <c r="I584" t="s">
        <v>721</v>
      </c>
    </row>
    <row r="585" spans="1:9" x14ac:dyDescent="0.2">
      <c r="A585">
        <v>74</v>
      </c>
      <c r="B585">
        <v>11</v>
      </c>
      <c r="C585" t="s">
        <v>8</v>
      </c>
      <c r="D585">
        <v>0</v>
      </c>
      <c r="E585">
        <v>0.70512060623150297</v>
      </c>
      <c r="F585">
        <v>2</v>
      </c>
      <c r="G585" s="1" t="s">
        <v>722</v>
      </c>
      <c r="H585" t="s">
        <v>723</v>
      </c>
      <c r="I585" t="s">
        <v>722</v>
      </c>
    </row>
    <row r="586" spans="1:9" x14ac:dyDescent="0.2">
      <c r="A586">
        <v>65</v>
      </c>
      <c r="B586">
        <v>15</v>
      </c>
      <c r="C586" t="s">
        <v>10</v>
      </c>
      <c r="D586">
        <v>1</v>
      </c>
      <c r="E586">
        <v>0.89181316038593605</v>
      </c>
      <c r="F586">
        <v>1</v>
      </c>
      <c r="G586" s="1" t="s">
        <v>724</v>
      </c>
      <c r="H586" t="s">
        <v>724</v>
      </c>
      <c r="I586" t="s">
        <v>724</v>
      </c>
    </row>
    <row r="587" spans="1:9" x14ac:dyDescent="0.2">
      <c r="A587">
        <v>90</v>
      </c>
      <c r="B587">
        <v>13</v>
      </c>
      <c r="C587" t="s">
        <v>8</v>
      </c>
      <c r="D587">
        <v>0</v>
      </c>
      <c r="E587">
        <v>0.72345655981916901</v>
      </c>
      <c r="F587">
        <v>2</v>
      </c>
      <c r="G587" s="1" t="s">
        <v>725</v>
      </c>
      <c r="H587" t="s">
        <v>726</v>
      </c>
      <c r="I587" t="s">
        <v>725</v>
      </c>
    </row>
    <row r="588" spans="1:9" x14ac:dyDescent="0.2">
      <c r="A588">
        <v>40</v>
      </c>
      <c r="B588">
        <v>14</v>
      </c>
      <c r="C588" t="s">
        <v>10</v>
      </c>
      <c r="D588">
        <v>1</v>
      </c>
      <c r="E588">
        <v>0.718877683277242</v>
      </c>
      <c r="F588">
        <v>1</v>
      </c>
      <c r="G588" s="1" t="s">
        <v>727</v>
      </c>
      <c r="H588" t="s">
        <v>727</v>
      </c>
      <c r="I588" t="s">
        <v>727</v>
      </c>
    </row>
    <row r="589" spans="1:9" x14ac:dyDescent="0.2">
      <c r="A589">
        <v>87</v>
      </c>
      <c r="B589">
        <v>5</v>
      </c>
      <c r="C589" t="s">
        <v>8</v>
      </c>
      <c r="D589">
        <v>0</v>
      </c>
      <c r="E589">
        <v>0.66985034279059597</v>
      </c>
      <c r="F589">
        <v>1</v>
      </c>
      <c r="G589" s="1" t="s">
        <v>728</v>
      </c>
      <c r="H589" t="s">
        <v>728</v>
      </c>
      <c r="I589" t="s">
        <v>728</v>
      </c>
    </row>
    <row r="590" spans="1:9" x14ac:dyDescent="0.2">
      <c r="A590">
        <v>28</v>
      </c>
      <c r="B590">
        <v>7</v>
      </c>
      <c r="C590" t="s">
        <v>16</v>
      </c>
      <c r="D590">
        <v>1</v>
      </c>
      <c r="E590">
        <v>0.73753172194119498</v>
      </c>
      <c r="F590">
        <v>1</v>
      </c>
      <c r="G590" s="1" t="s">
        <v>729</v>
      </c>
      <c r="H590" t="s">
        <v>729</v>
      </c>
      <c r="I590" t="s">
        <v>729</v>
      </c>
    </row>
    <row r="591" spans="1:9" x14ac:dyDescent="0.2">
      <c r="A591">
        <v>77</v>
      </c>
      <c r="B591">
        <v>12</v>
      </c>
      <c r="C591" t="s">
        <v>8</v>
      </c>
      <c r="D591">
        <v>1</v>
      </c>
      <c r="E591">
        <v>0.62116601353045597</v>
      </c>
      <c r="F591">
        <v>1</v>
      </c>
      <c r="G591" s="1" t="s">
        <v>730</v>
      </c>
      <c r="H591" t="s">
        <v>730</v>
      </c>
      <c r="I591" t="s">
        <v>730</v>
      </c>
    </row>
    <row r="592" spans="1:9" x14ac:dyDescent="0.2">
      <c r="A592">
        <v>74</v>
      </c>
      <c r="B592">
        <v>4</v>
      </c>
      <c r="C592" t="s">
        <v>8</v>
      </c>
      <c r="D592">
        <v>0</v>
      </c>
      <c r="E592">
        <v>0.77824287756811805</v>
      </c>
      <c r="F592">
        <v>1</v>
      </c>
      <c r="G592" s="1" t="s">
        <v>731</v>
      </c>
      <c r="H592" t="s">
        <v>731</v>
      </c>
      <c r="I592" t="s">
        <v>731</v>
      </c>
    </row>
    <row r="593" spans="1:9" x14ac:dyDescent="0.2">
      <c r="A593">
        <v>85</v>
      </c>
      <c r="B593">
        <v>3</v>
      </c>
      <c r="C593" t="s">
        <v>8</v>
      </c>
      <c r="D593">
        <v>0</v>
      </c>
      <c r="E593">
        <v>0.56393285992089703</v>
      </c>
      <c r="F593">
        <v>1</v>
      </c>
      <c r="G593" s="1" t="s">
        <v>732</v>
      </c>
      <c r="H593" t="s">
        <v>732</v>
      </c>
      <c r="I593" t="s">
        <v>732</v>
      </c>
    </row>
    <row r="594" spans="1:9" x14ac:dyDescent="0.2">
      <c r="A594">
        <v>75</v>
      </c>
      <c r="B594">
        <v>11</v>
      </c>
      <c r="C594" t="s">
        <v>8</v>
      </c>
      <c r="D594">
        <v>0</v>
      </c>
      <c r="E594">
        <v>0.56598872423637703</v>
      </c>
      <c r="F594">
        <v>1</v>
      </c>
      <c r="G594" s="1" t="s">
        <v>733</v>
      </c>
      <c r="H594" t="s">
        <v>733</v>
      </c>
      <c r="I594" t="s">
        <v>733</v>
      </c>
    </row>
    <row r="595" spans="1:9" x14ac:dyDescent="0.2">
      <c r="A595">
        <v>63</v>
      </c>
      <c r="B595">
        <v>8</v>
      </c>
      <c r="C595" t="s">
        <v>10</v>
      </c>
      <c r="D595">
        <v>0</v>
      </c>
      <c r="E595">
        <v>0.66121972189284905</v>
      </c>
      <c r="F595">
        <v>1</v>
      </c>
      <c r="G595" s="1" t="s">
        <v>734</v>
      </c>
      <c r="H595" t="s">
        <v>734</v>
      </c>
      <c r="I595" t="s">
        <v>734</v>
      </c>
    </row>
    <row r="596" spans="1:9" x14ac:dyDescent="0.2">
      <c r="A596">
        <v>54</v>
      </c>
      <c r="B596">
        <v>2</v>
      </c>
      <c r="C596" t="s">
        <v>16</v>
      </c>
      <c r="D596">
        <v>0</v>
      </c>
      <c r="E596">
        <v>0.95492556411773</v>
      </c>
      <c r="F596">
        <v>1</v>
      </c>
      <c r="G596" s="1" t="s">
        <v>735</v>
      </c>
      <c r="H596" t="s">
        <v>735</v>
      </c>
      <c r="I596" t="s">
        <v>735</v>
      </c>
    </row>
    <row r="597" spans="1:9" x14ac:dyDescent="0.2">
      <c r="A597">
        <v>82</v>
      </c>
      <c r="B597">
        <v>12</v>
      </c>
      <c r="C597" t="s">
        <v>16</v>
      </c>
      <c r="D597">
        <v>0</v>
      </c>
      <c r="E597">
        <v>0.73067604447714996</v>
      </c>
      <c r="F597">
        <v>1</v>
      </c>
      <c r="G597" s="1" t="s">
        <v>736</v>
      </c>
      <c r="H597" t="s">
        <v>736</v>
      </c>
      <c r="I597" t="s">
        <v>736</v>
      </c>
    </row>
    <row r="598" spans="1:9" x14ac:dyDescent="0.2">
      <c r="A598">
        <v>85</v>
      </c>
      <c r="B598">
        <v>1</v>
      </c>
      <c r="C598" t="s">
        <v>10</v>
      </c>
      <c r="D598">
        <v>2</v>
      </c>
      <c r="E598">
        <v>0.89275065052788705</v>
      </c>
      <c r="F598">
        <v>2</v>
      </c>
      <c r="G598" s="1" t="s">
        <v>737</v>
      </c>
      <c r="H598" t="s">
        <v>738</v>
      </c>
      <c r="I598" t="s">
        <v>737</v>
      </c>
    </row>
    <row r="599" spans="1:9" x14ac:dyDescent="0.2">
      <c r="A599">
        <v>30</v>
      </c>
      <c r="B599">
        <v>2</v>
      </c>
      <c r="C599" t="s">
        <v>8</v>
      </c>
      <c r="D599">
        <v>0</v>
      </c>
      <c r="E599">
        <v>0.74376538267824799</v>
      </c>
      <c r="F599">
        <v>1</v>
      </c>
      <c r="G599" s="1" t="s">
        <v>739</v>
      </c>
      <c r="H599" t="s">
        <v>739</v>
      </c>
      <c r="I599" t="s">
        <v>739</v>
      </c>
    </row>
    <row r="600" spans="1:9" x14ac:dyDescent="0.2">
      <c r="A600">
        <v>69</v>
      </c>
      <c r="B600">
        <v>7</v>
      </c>
      <c r="C600" t="s">
        <v>16</v>
      </c>
      <c r="D600">
        <v>1</v>
      </c>
      <c r="E600">
        <v>0.92289413791149899</v>
      </c>
      <c r="F600">
        <v>3</v>
      </c>
      <c r="G600" s="1" t="s">
        <v>740</v>
      </c>
      <c r="H600" t="s">
        <v>741</v>
      </c>
      <c r="I600" t="s">
        <v>742</v>
      </c>
    </row>
    <row r="601" spans="1:9" x14ac:dyDescent="0.2">
      <c r="A601">
        <v>83</v>
      </c>
      <c r="B601">
        <v>5</v>
      </c>
      <c r="C601" t="s">
        <v>8</v>
      </c>
      <c r="D601">
        <v>0</v>
      </c>
      <c r="E601">
        <v>0.95583166042342804</v>
      </c>
      <c r="F601">
        <v>1</v>
      </c>
      <c r="G601" s="1" t="s">
        <v>743</v>
      </c>
      <c r="H601" t="s">
        <v>743</v>
      </c>
      <c r="I601" t="s">
        <v>743</v>
      </c>
    </row>
    <row r="602" spans="1:9" x14ac:dyDescent="0.2">
      <c r="A602">
        <v>67</v>
      </c>
      <c r="B602">
        <v>12</v>
      </c>
      <c r="C602" t="s">
        <v>10</v>
      </c>
      <c r="D602">
        <v>0</v>
      </c>
      <c r="E602">
        <v>0.67006433522328701</v>
      </c>
      <c r="F602">
        <v>2</v>
      </c>
      <c r="G602" s="1" t="s">
        <v>744</v>
      </c>
      <c r="H602" t="s">
        <v>745</v>
      </c>
      <c r="I602" t="s">
        <v>744</v>
      </c>
    </row>
    <row r="603" spans="1:9" x14ac:dyDescent="0.2">
      <c r="A603">
        <v>38</v>
      </c>
      <c r="B603">
        <v>8</v>
      </c>
      <c r="C603" t="s">
        <v>10</v>
      </c>
      <c r="D603">
        <v>0</v>
      </c>
      <c r="E603">
        <v>0.54716623330023095</v>
      </c>
      <c r="F603">
        <v>1</v>
      </c>
      <c r="G603" s="1" t="s">
        <v>746</v>
      </c>
      <c r="H603" t="s">
        <v>746</v>
      </c>
      <c r="I603" t="s">
        <v>746</v>
      </c>
    </row>
    <row r="604" spans="1:9" x14ac:dyDescent="0.2">
      <c r="A604">
        <v>34</v>
      </c>
      <c r="B604">
        <v>7</v>
      </c>
      <c r="C604" t="s">
        <v>8</v>
      </c>
      <c r="D604">
        <v>0</v>
      </c>
      <c r="E604">
        <v>0.82759629690554004</v>
      </c>
      <c r="F604">
        <v>1</v>
      </c>
      <c r="G604" s="1" t="s">
        <v>747</v>
      </c>
      <c r="H604" t="s">
        <v>747</v>
      </c>
      <c r="I604" t="s">
        <v>747</v>
      </c>
    </row>
    <row r="605" spans="1:9" x14ac:dyDescent="0.2">
      <c r="A605">
        <v>65</v>
      </c>
      <c r="B605">
        <v>10</v>
      </c>
      <c r="C605" t="s">
        <v>16</v>
      </c>
      <c r="D605">
        <v>1</v>
      </c>
      <c r="E605">
        <v>0.815465341322124</v>
      </c>
      <c r="F605">
        <v>1</v>
      </c>
      <c r="G605" s="1" t="s">
        <v>748</v>
      </c>
      <c r="H605" t="s">
        <v>748</v>
      </c>
      <c r="I605" t="s">
        <v>748</v>
      </c>
    </row>
    <row r="606" spans="1:9" x14ac:dyDescent="0.2">
      <c r="A606">
        <v>52</v>
      </c>
      <c r="B606">
        <v>13</v>
      </c>
      <c r="C606" t="s">
        <v>10</v>
      </c>
      <c r="D606">
        <v>0</v>
      </c>
      <c r="E606">
        <v>0.87263911811169204</v>
      </c>
      <c r="F606">
        <v>1</v>
      </c>
      <c r="G606" s="1" t="s">
        <v>749</v>
      </c>
      <c r="H606" t="s">
        <v>749</v>
      </c>
      <c r="I606" t="s">
        <v>749</v>
      </c>
    </row>
    <row r="607" spans="1:9" x14ac:dyDescent="0.2">
      <c r="A607">
        <v>38</v>
      </c>
      <c r="B607">
        <v>13</v>
      </c>
      <c r="C607" t="s">
        <v>8</v>
      </c>
      <c r="D607">
        <v>1</v>
      </c>
      <c r="E607">
        <v>0.74249413923826102</v>
      </c>
      <c r="F607">
        <v>2</v>
      </c>
      <c r="G607" s="1" t="s">
        <v>750</v>
      </c>
      <c r="H607" t="s">
        <v>751</v>
      </c>
      <c r="I607" t="s">
        <v>750</v>
      </c>
    </row>
    <row r="608" spans="1:9" x14ac:dyDescent="0.2">
      <c r="A608">
        <v>69</v>
      </c>
      <c r="B608">
        <v>5</v>
      </c>
      <c r="C608" t="s">
        <v>16</v>
      </c>
      <c r="D608">
        <v>1</v>
      </c>
      <c r="E608">
        <v>0.84899338509421796</v>
      </c>
      <c r="F608">
        <v>1</v>
      </c>
      <c r="G608" s="1" t="s">
        <v>752</v>
      </c>
      <c r="H608" t="s">
        <v>752</v>
      </c>
      <c r="I608" t="s">
        <v>752</v>
      </c>
    </row>
    <row r="609" spans="1:9" x14ac:dyDescent="0.2">
      <c r="A609">
        <v>28</v>
      </c>
      <c r="B609">
        <v>14</v>
      </c>
      <c r="C609" t="s">
        <v>10</v>
      </c>
      <c r="D609">
        <v>0</v>
      </c>
      <c r="E609">
        <v>0.73685505089815695</v>
      </c>
      <c r="F609">
        <v>1</v>
      </c>
      <c r="G609" s="1" t="s">
        <v>753</v>
      </c>
      <c r="H609" t="s">
        <v>753</v>
      </c>
      <c r="I609" t="s">
        <v>753</v>
      </c>
    </row>
    <row r="610" spans="1:9" x14ac:dyDescent="0.2">
      <c r="A610">
        <v>79</v>
      </c>
      <c r="B610">
        <v>4</v>
      </c>
      <c r="C610" t="s">
        <v>8</v>
      </c>
      <c r="D610">
        <v>0</v>
      </c>
      <c r="E610">
        <v>0.81292075046803802</v>
      </c>
      <c r="F610">
        <v>1</v>
      </c>
      <c r="G610" s="1" t="s">
        <v>754</v>
      </c>
      <c r="H610" t="s">
        <v>754</v>
      </c>
      <c r="I610" t="s">
        <v>754</v>
      </c>
    </row>
    <row r="611" spans="1:9" x14ac:dyDescent="0.2">
      <c r="A611">
        <v>61</v>
      </c>
      <c r="B611">
        <v>3</v>
      </c>
      <c r="C611" t="s">
        <v>8</v>
      </c>
      <c r="D611">
        <v>1</v>
      </c>
      <c r="E611">
        <v>0.74571757158264496</v>
      </c>
      <c r="F611">
        <v>2</v>
      </c>
      <c r="G611" s="1" t="s">
        <v>755</v>
      </c>
      <c r="H611" t="s">
        <v>756</v>
      </c>
      <c r="I611" t="s">
        <v>755</v>
      </c>
    </row>
    <row r="612" spans="1:9" x14ac:dyDescent="0.2">
      <c r="A612">
        <v>78</v>
      </c>
      <c r="B612">
        <v>9</v>
      </c>
      <c r="C612" t="s">
        <v>10</v>
      </c>
      <c r="D612">
        <v>0</v>
      </c>
      <c r="E612">
        <v>0.76632364012766596</v>
      </c>
      <c r="F612">
        <v>1</v>
      </c>
      <c r="G612" s="1" t="s">
        <v>757</v>
      </c>
      <c r="H612" t="s">
        <v>757</v>
      </c>
      <c r="I612" t="s">
        <v>757</v>
      </c>
    </row>
    <row r="613" spans="1:9" x14ac:dyDescent="0.2">
      <c r="A613">
        <v>44</v>
      </c>
      <c r="B613">
        <v>11</v>
      </c>
      <c r="C613" t="s">
        <v>8</v>
      </c>
      <c r="D613">
        <v>0</v>
      </c>
      <c r="E613">
        <v>0.63567927770782295</v>
      </c>
      <c r="F613">
        <v>1</v>
      </c>
      <c r="G613" s="1" t="s">
        <v>758</v>
      </c>
      <c r="H613" t="s">
        <v>758</v>
      </c>
      <c r="I613" t="s">
        <v>758</v>
      </c>
    </row>
    <row r="614" spans="1:9" x14ac:dyDescent="0.2">
      <c r="A614">
        <v>61</v>
      </c>
      <c r="B614">
        <v>4</v>
      </c>
      <c r="C614" t="s">
        <v>8</v>
      </c>
      <c r="D614">
        <v>0</v>
      </c>
      <c r="E614">
        <v>0.89470142254140195</v>
      </c>
      <c r="F614">
        <v>1</v>
      </c>
      <c r="G614" s="1" t="s">
        <v>759</v>
      </c>
      <c r="H614" t="s">
        <v>759</v>
      </c>
      <c r="I614" t="s">
        <v>759</v>
      </c>
    </row>
    <row r="615" spans="1:9" x14ac:dyDescent="0.2">
      <c r="A615">
        <v>79</v>
      </c>
      <c r="B615">
        <v>2</v>
      </c>
      <c r="C615" t="s">
        <v>16</v>
      </c>
      <c r="D615">
        <v>0</v>
      </c>
      <c r="E615">
        <v>0.63204610056709498</v>
      </c>
      <c r="F615">
        <v>2</v>
      </c>
      <c r="G615" s="1" t="s">
        <v>760</v>
      </c>
      <c r="H615" t="s">
        <v>761</v>
      </c>
      <c r="I615" t="s">
        <v>760</v>
      </c>
    </row>
    <row r="616" spans="1:9" x14ac:dyDescent="0.2">
      <c r="A616">
        <v>62</v>
      </c>
      <c r="B616">
        <v>6</v>
      </c>
      <c r="C616" t="s">
        <v>8</v>
      </c>
      <c r="D616">
        <v>1</v>
      </c>
      <c r="E616">
        <v>0.84175170806702204</v>
      </c>
      <c r="F616">
        <v>1</v>
      </c>
      <c r="G616" s="1" t="s">
        <v>762</v>
      </c>
      <c r="H616" t="s">
        <v>762</v>
      </c>
      <c r="I616" t="s">
        <v>762</v>
      </c>
    </row>
    <row r="617" spans="1:9" x14ac:dyDescent="0.2">
      <c r="A617">
        <v>86</v>
      </c>
      <c r="B617">
        <v>7</v>
      </c>
      <c r="C617" t="s">
        <v>16</v>
      </c>
      <c r="D617">
        <v>0</v>
      </c>
      <c r="E617">
        <v>0.99753465794492502</v>
      </c>
      <c r="F617">
        <v>3</v>
      </c>
      <c r="G617" s="1" t="s">
        <v>763</v>
      </c>
      <c r="H617" t="s">
        <v>764</v>
      </c>
      <c r="I617" t="s">
        <v>763</v>
      </c>
    </row>
    <row r="618" spans="1:9" x14ac:dyDescent="0.2">
      <c r="A618">
        <v>80</v>
      </c>
      <c r="B618">
        <v>10</v>
      </c>
      <c r="C618" t="s">
        <v>16</v>
      </c>
      <c r="D618">
        <v>2</v>
      </c>
      <c r="E618">
        <v>0.53434404742438302</v>
      </c>
      <c r="F618">
        <v>1</v>
      </c>
      <c r="G618" s="1" t="s">
        <v>765</v>
      </c>
      <c r="H618" t="s">
        <v>765</v>
      </c>
      <c r="I618" t="s">
        <v>765</v>
      </c>
    </row>
    <row r="619" spans="1:9" x14ac:dyDescent="0.2">
      <c r="A619">
        <v>61</v>
      </c>
      <c r="B619">
        <v>7</v>
      </c>
      <c r="C619" t="s">
        <v>16</v>
      </c>
      <c r="D619">
        <v>1</v>
      </c>
      <c r="E619">
        <v>0.86586113297380496</v>
      </c>
      <c r="F619">
        <v>2</v>
      </c>
      <c r="G619" s="1" t="s">
        <v>766</v>
      </c>
      <c r="H619" t="s">
        <v>767</v>
      </c>
      <c r="I619" t="s">
        <v>766</v>
      </c>
    </row>
    <row r="620" spans="1:9" x14ac:dyDescent="0.2">
      <c r="A620">
        <v>90</v>
      </c>
      <c r="B620">
        <v>14</v>
      </c>
      <c r="C620" t="s">
        <v>8</v>
      </c>
      <c r="D620">
        <v>0</v>
      </c>
      <c r="E620">
        <v>0.67817063303664304</v>
      </c>
      <c r="F620">
        <v>1</v>
      </c>
      <c r="G620" s="1" t="s">
        <v>768</v>
      </c>
      <c r="H620" t="s">
        <v>768</v>
      </c>
      <c r="I620" t="s">
        <v>768</v>
      </c>
    </row>
    <row r="621" spans="1:9" x14ac:dyDescent="0.2">
      <c r="A621">
        <v>73</v>
      </c>
      <c r="B621">
        <v>8</v>
      </c>
      <c r="C621" t="s">
        <v>16</v>
      </c>
      <c r="D621">
        <v>1</v>
      </c>
      <c r="E621">
        <v>0.80833118944428906</v>
      </c>
      <c r="F621">
        <v>1</v>
      </c>
      <c r="G621" s="1" t="s">
        <v>769</v>
      </c>
      <c r="H621" t="s">
        <v>769</v>
      </c>
      <c r="I621" t="s">
        <v>769</v>
      </c>
    </row>
    <row r="622" spans="1:9" x14ac:dyDescent="0.2">
      <c r="A622">
        <v>54</v>
      </c>
      <c r="B622">
        <v>14</v>
      </c>
      <c r="C622" t="s">
        <v>16</v>
      </c>
      <c r="D622">
        <v>2</v>
      </c>
      <c r="E622">
        <v>0.52590274065733</v>
      </c>
      <c r="F622">
        <v>2</v>
      </c>
      <c r="G622" s="1" t="s">
        <v>770</v>
      </c>
      <c r="H622" t="s">
        <v>771</v>
      </c>
      <c r="I622" t="s">
        <v>770</v>
      </c>
    </row>
    <row r="623" spans="1:9" x14ac:dyDescent="0.2">
      <c r="A623">
        <v>33</v>
      </c>
      <c r="B623">
        <v>5</v>
      </c>
      <c r="C623" t="s">
        <v>16</v>
      </c>
      <c r="D623">
        <v>1</v>
      </c>
      <c r="E623">
        <v>0.86960281885694701</v>
      </c>
      <c r="F623">
        <v>1</v>
      </c>
      <c r="G623" s="1" t="s">
        <v>772</v>
      </c>
      <c r="H623" t="s">
        <v>772</v>
      </c>
      <c r="I623" t="s">
        <v>772</v>
      </c>
    </row>
    <row r="624" spans="1:9" x14ac:dyDescent="0.2">
      <c r="A624">
        <v>66</v>
      </c>
      <c r="B624">
        <v>10</v>
      </c>
      <c r="C624" t="s">
        <v>10</v>
      </c>
      <c r="D624">
        <v>1</v>
      </c>
      <c r="E624">
        <v>0.73073483444750298</v>
      </c>
      <c r="F624">
        <v>1</v>
      </c>
      <c r="G624" s="1" t="s">
        <v>773</v>
      </c>
      <c r="H624" t="s">
        <v>773</v>
      </c>
      <c r="I624" t="s">
        <v>773</v>
      </c>
    </row>
    <row r="625" spans="1:9" x14ac:dyDescent="0.2">
      <c r="A625">
        <v>41</v>
      </c>
      <c r="B625">
        <v>0</v>
      </c>
      <c r="C625" t="s">
        <v>8</v>
      </c>
      <c r="D625">
        <v>1</v>
      </c>
      <c r="E625">
        <v>0.57792526390403498</v>
      </c>
      <c r="F625">
        <v>1</v>
      </c>
      <c r="G625" s="1" t="s">
        <v>774</v>
      </c>
      <c r="H625" t="s">
        <v>774</v>
      </c>
      <c r="I625" t="s">
        <v>774</v>
      </c>
    </row>
    <row r="626" spans="1:9" x14ac:dyDescent="0.2">
      <c r="A626">
        <v>86</v>
      </c>
      <c r="B626">
        <v>11</v>
      </c>
      <c r="C626" t="s">
        <v>10</v>
      </c>
      <c r="D626">
        <v>0</v>
      </c>
      <c r="E626">
        <v>0.99678791244514298</v>
      </c>
      <c r="F626">
        <v>1</v>
      </c>
      <c r="G626" s="1" t="s">
        <v>775</v>
      </c>
      <c r="H626" t="s">
        <v>775</v>
      </c>
      <c r="I626" t="s">
        <v>775</v>
      </c>
    </row>
    <row r="627" spans="1:9" x14ac:dyDescent="0.2">
      <c r="A627">
        <v>74</v>
      </c>
      <c r="B627">
        <v>4</v>
      </c>
      <c r="C627" t="s">
        <v>10</v>
      </c>
      <c r="D627">
        <v>0</v>
      </c>
      <c r="E627">
        <v>0.824953875504434</v>
      </c>
      <c r="F627">
        <v>1</v>
      </c>
      <c r="G627" s="1" t="s">
        <v>776</v>
      </c>
      <c r="H627" t="s">
        <v>776</v>
      </c>
      <c r="I627" t="s">
        <v>776</v>
      </c>
    </row>
    <row r="628" spans="1:9" x14ac:dyDescent="0.2">
      <c r="A628">
        <v>42</v>
      </c>
      <c r="B628">
        <v>14</v>
      </c>
      <c r="C628" t="s">
        <v>16</v>
      </c>
      <c r="D628">
        <v>1</v>
      </c>
      <c r="E628">
        <v>0.50266091024968795</v>
      </c>
      <c r="F628">
        <v>1</v>
      </c>
      <c r="G628" s="1" t="s">
        <v>777</v>
      </c>
      <c r="H628" t="s">
        <v>777</v>
      </c>
      <c r="I628" t="s">
        <v>777</v>
      </c>
    </row>
    <row r="629" spans="1:9" x14ac:dyDescent="0.2">
      <c r="A629">
        <v>74</v>
      </c>
      <c r="B629">
        <v>5</v>
      </c>
      <c r="C629" t="s">
        <v>10</v>
      </c>
      <c r="D629">
        <v>0</v>
      </c>
      <c r="E629">
        <v>0.518591019208543</v>
      </c>
      <c r="F629">
        <v>1</v>
      </c>
      <c r="G629" s="1" t="s">
        <v>778</v>
      </c>
      <c r="H629" t="s">
        <v>778</v>
      </c>
      <c r="I629" t="s">
        <v>778</v>
      </c>
    </row>
    <row r="630" spans="1:9" x14ac:dyDescent="0.2">
      <c r="A630">
        <v>53</v>
      </c>
      <c r="B630">
        <v>11</v>
      </c>
      <c r="C630" t="s">
        <v>16</v>
      </c>
      <c r="D630">
        <v>3</v>
      </c>
      <c r="E630">
        <v>0.61901424499228597</v>
      </c>
      <c r="F630">
        <v>1</v>
      </c>
      <c r="G630" s="1" t="s">
        <v>779</v>
      </c>
      <c r="H630" t="s">
        <v>779</v>
      </c>
      <c r="I630" t="s">
        <v>779</v>
      </c>
    </row>
    <row r="631" spans="1:9" x14ac:dyDescent="0.2">
      <c r="A631">
        <v>83</v>
      </c>
      <c r="B631">
        <v>11</v>
      </c>
      <c r="C631" t="s">
        <v>8</v>
      </c>
      <c r="D631">
        <v>0</v>
      </c>
      <c r="E631">
        <v>0.859604717697948</v>
      </c>
      <c r="F631">
        <v>1</v>
      </c>
      <c r="G631" s="1" t="s">
        <v>780</v>
      </c>
      <c r="H631" t="s">
        <v>780</v>
      </c>
      <c r="I631" t="s">
        <v>780</v>
      </c>
    </row>
    <row r="632" spans="1:9" x14ac:dyDescent="0.2">
      <c r="A632">
        <v>51</v>
      </c>
      <c r="B632">
        <v>1</v>
      </c>
      <c r="C632" t="s">
        <v>16</v>
      </c>
      <c r="D632">
        <v>2</v>
      </c>
      <c r="E632">
        <v>0.70969328132923704</v>
      </c>
      <c r="F632">
        <v>1</v>
      </c>
      <c r="G632" s="1" t="s">
        <v>781</v>
      </c>
      <c r="H632" t="s">
        <v>781</v>
      </c>
      <c r="I632" t="s">
        <v>781</v>
      </c>
    </row>
    <row r="633" spans="1:9" x14ac:dyDescent="0.2">
      <c r="A633">
        <v>60</v>
      </c>
      <c r="B633">
        <v>1</v>
      </c>
      <c r="C633" t="s">
        <v>8</v>
      </c>
      <c r="D633">
        <v>0</v>
      </c>
      <c r="E633">
        <v>0.74005009292159196</v>
      </c>
      <c r="F633">
        <v>1</v>
      </c>
      <c r="G633" s="1" t="s">
        <v>782</v>
      </c>
      <c r="H633" t="s">
        <v>782</v>
      </c>
      <c r="I633" t="s">
        <v>782</v>
      </c>
    </row>
    <row r="634" spans="1:9" x14ac:dyDescent="0.2">
      <c r="A634">
        <v>68</v>
      </c>
      <c r="B634">
        <v>7</v>
      </c>
      <c r="C634" t="s">
        <v>16</v>
      </c>
      <c r="D634">
        <v>0</v>
      </c>
      <c r="E634">
        <v>0.84876440279185805</v>
      </c>
      <c r="F634">
        <v>1</v>
      </c>
      <c r="G634" s="1" t="s">
        <v>783</v>
      </c>
      <c r="H634" t="s">
        <v>783</v>
      </c>
      <c r="I634" t="s">
        <v>783</v>
      </c>
    </row>
    <row r="635" spans="1:9" x14ac:dyDescent="0.2">
      <c r="A635">
        <v>54</v>
      </c>
      <c r="B635">
        <v>5</v>
      </c>
      <c r="C635" t="s">
        <v>8</v>
      </c>
      <c r="D635">
        <v>1</v>
      </c>
      <c r="E635">
        <v>0.55352936638519201</v>
      </c>
      <c r="F635">
        <v>1</v>
      </c>
      <c r="G635" s="1" t="s">
        <v>784</v>
      </c>
      <c r="H635" t="s">
        <v>784</v>
      </c>
      <c r="I635" t="s">
        <v>784</v>
      </c>
    </row>
    <row r="636" spans="1:9" x14ac:dyDescent="0.2">
      <c r="A636">
        <v>74</v>
      </c>
      <c r="B636">
        <v>6</v>
      </c>
      <c r="C636" t="s">
        <v>10</v>
      </c>
      <c r="D636">
        <v>0</v>
      </c>
      <c r="E636">
        <v>0.81015520566143095</v>
      </c>
      <c r="F636">
        <v>1</v>
      </c>
      <c r="G636" s="1" t="s">
        <v>785</v>
      </c>
      <c r="H636" t="s">
        <v>785</v>
      </c>
      <c r="I636" t="s">
        <v>785</v>
      </c>
    </row>
    <row r="637" spans="1:9" x14ac:dyDescent="0.2">
      <c r="A637">
        <v>32</v>
      </c>
      <c r="B637">
        <v>11</v>
      </c>
      <c r="C637" t="s">
        <v>16</v>
      </c>
      <c r="D637">
        <v>0</v>
      </c>
      <c r="E637">
        <v>0.674118396709673</v>
      </c>
      <c r="F637">
        <v>1</v>
      </c>
      <c r="G637" s="1" t="s">
        <v>786</v>
      </c>
      <c r="H637" t="s">
        <v>786</v>
      </c>
      <c r="I637" t="s">
        <v>786</v>
      </c>
    </row>
    <row r="638" spans="1:9" x14ac:dyDescent="0.2">
      <c r="A638">
        <v>61</v>
      </c>
      <c r="B638">
        <v>7</v>
      </c>
      <c r="C638" t="s">
        <v>8</v>
      </c>
      <c r="D638">
        <v>0</v>
      </c>
      <c r="E638">
        <v>0.97507046000100706</v>
      </c>
      <c r="F638">
        <v>2</v>
      </c>
      <c r="G638" s="1" t="s">
        <v>787</v>
      </c>
      <c r="H638" t="s">
        <v>788</v>
      </c>
      <c r="I638" t="s">
        <v>787</v>
      </c>
    </row>
    <row r="639" spans="1:9" x14ac:dyDescent="0.2">
      <c r="A639">
        <v>57</v>
      </c>
      <c r="B639">
        <v>11</v>
      </c>
      <c r="C639" t="s">
        <v>10</v>
      </c>
      <c r="D639">
        <v>0</v>
      </c>
      <c r="E639">
        <v>0.71746647648979001</v>
      </c>
      <c r="F639">
        <v>1</v>
      </c>
      <c r="G639" s="1" t="s">
        <v>789</v>
      </c>
      <c r="H639" t="s">
        <v>789</v>
      </c>
      <c r="I639" t="s">
        <v>789</v>
      </c>
    </row>
    <row r="640" spans="1:9" x14ac:dyDescent="0.2">
      <c r="A640">
        <v>46</v>
      </c>
      <c r="B640">
        <v>5</v>
      </c>
      <c r="C640" t="s">
        <v>16</v>
      </c>
      <c r="D640">
        <v>0</v>
      </c>
      <c r="E640">
        <v>0.61576839559711505</v>
      </c>
      <c r="F640">
        <v>1</v>
      </c>
      <c r="G640" s="1" t="s">
        <v>790</v>
      </c>
      <c r="H640" t="s">
        <v>790</v>
      </c>
      <c r="I640" t="s">
        <v>790</v>
      </c>
    </row>
    <row r="641" spans="1:9" x14ac:dyDescent="0.2">
      <c r="A641">
        <v>50</v>
      </c>
      <c r="B641">
        <v>13</v>
      </c>
      <c r="C641" t="s">
        <v>10</v>
      </c>
      <c r="D641">
        <v>0</v>
      </c>
      <c r="E641">
        <v>0.81067816272843596</v>
      </c>
      <c r="F641">
        <v>2</v>
      </c>
      <c r="G641" s="1" t="s">
        <v>791</v>
      </c>
      <c r="H641" t="s">
        <v>792</v>
      </c>
      <c r="I641" t="s">
        <v>791</v>
      </c>
    </row>
    <row r="642" spans="1:9" x14ac:dyDescent="0.2">
      <c r="A642">
        <v>81</v>
      </c>
      <c r="B642">
        <v>9</v>
      </c>
      <c r="C642" t="s">
        <v>10</v>
      </c>
      <c r="D642">
        <v>2</v>
      </c>
      <c r="E642">
        <v>0.66414676152635399</v>
      </c>
      <c r="F642">
        <v>1</v>
      </c>
      <c r="G642" s="1" t="s">
        <v>793</v>
      </c>
      <c r="H642" t="s">
        <v>793</v>
      </c>
      <c r="I642" t="s">
        <v>793</v>
      </c>
    </row>
    <row r="643" spans="1:9" x14ac:dyDescent="0.2">
      <c r="A643">
        <v>70</v>
      </c>
      <c r="B643">
        <v>1</v>
      </c>
      <c r="C643" t="s">
        <v>8</v>
      </c>
      <c r="D643">
        <v>0</v>
      </c>
      <c r="E643">
        <v>0.97521880839485697</v>
      </c>
      <c r="F643">
        <v>1</v>
      </c>
      <c r="G643" s="1" t="s">
        <v>794</v>
      </c>
      <c r="H643" t="s">
        <v>794</v>
      </c>
      <c r="I643" t="s">
        <v>794</v>
      </c>
    </row>
    <row r="644" spans="1:9" x14ac:dyDescent="0.2">
      <c r="A644">
        <v>59</v>
      </c>
      <c r="B644">
        <v>8</v>
      </c>
      <c r="C644" t="s">
        <v>8</v>
      </c>
      <c r="D644">
        <v>0</v>
      </c>
      <c r="E644">
        <v>0.98718544479925197</v>
      </c>
      <c r="F644">
        <v>1</v>
      </c>
      <c r="G644" s="1" t="s">
        <v>795</v>
      </c>
      <c r="H644" t="s">
        <v>795</v>
      </c>
      <c r="I644" t="s">
        <v>795</v>
      </c>
    </row>
    <row r="645" spans="1:9" x14ac:dyDescent="0.2">
      <c r="A645">
        <v>60</v>
      </c>
      <c r="B645">
        <v>13</v>
      </c>
      <c r="C645" t="s">
        <v>10</v>
      </c>
      <c r="D645">
        <v>2</v>
      </c>
      <c r="E645">
        <v>0.60231337964069098</v>
      </c>
      <c r="F645">
        <v>2</v>
      </c>
      <c r="G645" s="1" t="s">
        <v>796</v>
      </c>
      <c r="H645" t="s">
        <v>797</v>
      </c>
      <c r="I645" t="s">
        <v>796</v>
      </c>
    </row>
    <row r="646" spans="1:9" x14ac:dyDescent="0.2">
      <c r="A646">
        <v>63</v>
      </c>
      <c r="B646">
        <v>1</v>
      </c>
      <c r="C646" t="s">
        <v>16</v>
      </c>
      <c r="D646">
        <v>1</v>
      </c>
      <c r="E646">
        <v>0.74586129258386802</v>
      </c>
      <c r="F646">
        <v>1</v>
      </c>
      <c r="G646" s="1" t="s">
        <v>798</v>
      </c>
      <c r="H646" t="s">
        <v>798</v>
      </c>
      <c r="I646" t="s">
        <v>798</v>
      </c>
    </row>
    <row r="647" spans="1:9" x14ac:dyDescent="0.2">
      <c r="A647">
        <v>67</v>
      </c>
      <c r="B647">
        <v>13</v>
      </c>
      <c r="C647" t="s">
        <v>8</v>
      </c>
      <c r="D647">
        <v>0</v>
      </c>
      <c r="E647">
        <v>0.96273159957490895</v>
      </c>
      <c r="F647">
        <v>2</v>
      </c>
      <c r="G647" s="1" t="s">
        <v>799</v>
      </c>
      <c r="H647" t="s">
        <v>800</v>
      </c>
      <c r="I647" t="s">
        <v>799</v>
      </c>
    </row>
    <row r="648" spans="1:9" x14ac:dyDescent="0.2">
      <c r="A648">
        <v>74</v>
      </c>
      <c r="B648">
        <v>11</v>
      </c>
      <c r="C648" t="s">
        <v>16</v>
      </c>
      <c r="D648">
        <v>0</v>
      </c>
      <c r="E648">
        <v>0.91751395678147696</v>
      </c>
      <c r="F648">
        <v>1</v>
      </c>
      <c r="G648" s="1" t="s">
        <v>801</v>
      </c>
      <c r="H648" t="s">
        <v>801</v>
      </c>
      <c r="I648" t="s">
        <v>801</v>
      </c>
    </row>
    <row r="649" spans="1:9" x14ac:dyDescent="0.2">
      <c r="A649">
        <v>54</v>
      </c>
      <c r="B649">
        <v>3</v>
      </c>
      <c r="C649" t="s">
        <v>16</v>
      </c>
      <c r="D649">
        <v>1</v>
      </c>
      <c r="E649">
        <v>0.67710189160425205</v>
      </c>
      <c r="F649">
        <v>2</v>
      </c>
      <c r="G649" s="1" t="s">
        <v>802</v>
      </c>
      <c r="H649" t="s">
        <v>803</v>
      </c>
      <c r="I649" t="s">
        <v>802</v>
      </c>
    </row>
    <row r="650" spans="1:9" x14ac:dyDescent="0.2">
      <c r="A650">
        <v>58</v>
      </c>
      <c r="B650">
        <v>3</v>
      </c>
      <c r="C650" t="s">
        <v>8</v>
      </c>
      <c r="D650">
        <v>2</v>
      </c>
      <c r="E650">
        <v>0.51321451307740096</v>
      </c>
      <c r="F650">
        <v>1</v>
      </c>
      <c r="G650" s="1" t="s">
        <v>804</v>
      </c>
      <c r="H650" t="s">
        <v>804</v>
      </c>
      <c r="I650" t="s">
        <v>804</v>
      </c>
    </row>
    <row r="651" spans="1:9" x14ac:dyDescent="0.2">
      <c r="A651">
        <v>55</v>
      </c>
      <c r="B651">
        <v>12</v>
      </c>
      <c r="C651" t="s">
        <v>8</v>
      </c>
      <c r="D651">
        <v>1</v>
      </c>
      <c r="E651">
        <v>0.85620517935603901</v>
      </c>
      <c r="F651">
        <v>1</v>
      </c>
      <c r="G651" s="1" t="s">
        <v>805</v>
      </c>
      <c r="H651" t="s">
        <v>805</v>
      </c>
      <c r="I651" t="s">
        <v>805</v>
      </c>
    </row>
    <row r="652" spans="1:9" x14ac:dyDescent="0.2">
      <c r="A652">
        <v>23</v>
      </c>
      <c r="B652">
        <v>11</v>
      </c>
      <c r="C652" t="s">
        <v>8</v>
      </c>
      <c r="D652">
        <v>0</v>
      </c>
      <c r="E652">
        <v>0.84022331447340504</v>
      </c>
      <c r="F652">
        <v>1</v>
      </c>
      <c r="G652" s="1" t="s">
        <v>806</v>
      </c>
      <c r="H652" t="s">
        <v>806</v>
      </c>
      <c r="I652" t="s">
        <v>806</v>
      </c>
    </row>
    <row r="653" spans="1:9" x14ac:dyDescent="0.2">
      <c r="A653">
        <v>56</v>
      </c>
      <c r="B653">
        <v>15</v>
      </c>
      <c r="C653" t="s">
        <v>16</v>
      </c>
      <c r="D653">
        <v>0</v>
      </c>
      <c r="E653">
        <v>0.97907157381996501</v>
      </c>
      <c r="F653">
        <v>1</v>
      </c>
      <c r="G653" s="1" t="s">
        <v>807</v>
      </c>
      <c r="H653" t="s">
        <v>807</v>
      </c>
      <c r="I653" t="s">
        <v>807</v>
      </c>
    </row>
    <row r="654" spans="1:9" x14ac:dyDescent="0.2">
      <c r="A654">
        <v>21</v>
      </c>
      <c r="B654">
        <v>6</v>
      </c>
      <c r="C654" t="s">
        <v>10</v>
      </c>
      <c r="D654">
        <v>0</v>
      </c>
      <c r="E654">
        <v>0.96073978440836105</v>
      </c>
      <c r="F654">
        <v>1</v>
      </c>
      <c r="G654" s="1" t="s">
        <v>808</v>
      </c>
      <c r="H654" t="s">
        <v>808</v>
      </c>
      <c r="I654" t="s">
        <v>808</v>
      </c>
    </row>
    <row r="655" spans="1:9" x14ac:dyDescent="0.2">
      <c r="A655">
        <v>38</v>
      </c>
      <c r="B655">
        <v>2</v>
      </c>
      <c r="C655" t="s">
        <v>16</v>
      </c>
      <c r="D655">
        <v>0</v>
      </c>
      <c r="E655">
        <v>0.74269036576151803</v>
      </c>
      <c r="F655">
        <v>1</v>
      </c>
      <c r="G655" s="1" t="s">
        <v>809</v>
      </c>
      <c r="H655" t="s">
        <v>809</v>
      </c>
      <c r="I655" t="s">
        <v>809</v>
      </c>
    </row>
    <row r="656" spans="1:9" x14ac:dyDescent="0.2">
      <c r="A656">
        <v>56</v>
      </c>
      <c r="B656">
        <v>6</v>
      </c>
      <c r="C656" t="s">
        <v>8</v>
      </c>
      <c r="D656">
        <v>0</v>
      </c>
      <c r="E656">
        <v>0.71293750521726895</v>
      </c>
      <c r="F656">
        <v>2</v>
      </c>
      <c r="G656" s="1" t="s">
        <v>810</v>
      </c>
      <c r="H656" t="s">
        <v>811</v>
      </c>
      <c r="I656" t="s">
        <v>810</v>
      </c>
    </row>
    <row r="657" spans="1:9" x14ac:dyDescent="0.2">
      <c r="A657">
        <v>39</v>
      </c>
      <c r="B657">
        <v>5</v>
      </c>
      <c r="C657" t="s">
        <v>16</v>
      </c>
      <c r="D657">
        <v>0</v>
      </c>
      <c r="E657">
        <v>0.92651184916030604</v>
      </c>
      <c r="F657">
        <v>1</v>
      </c>
      <c r="G657" s="1" t="s">
        <v>812</v>
      </c>
      <c r="H657" t="s">
        <v>812</v>
      </c>
      <c r="I657" t="s">
        <v>812</v>
      </c>
    </row>
    <row r="658" spans="1:9" x14ac:dyDescent="0.2">
      <c r="A658">
        <v>66</v>
      </c>
      <c r="B658">
        <v>6</v>
      </c>
      <c r="C658" t="s">
        <v>8</v>
      </c>
      <c r="D658">
        <v>1</v>
      </c>
      <c r="E658">
        <v>0.94493287289515104</v>
      </c>
      <c r="F658">
        <v>1</v>
      </c>
      <c r="G658" s="1" t="s">
        <v>813</v>
      </c>
      <c r="H658" t="s">
        <v>813</v>
      </c>
      <c r="I658" t="s">
        <v>813</v>
      </c>
    </row>
    <row r="659" spans="1:9" x14ac:dyDescent="0.2">
      <c r="A659">
        <v>78</v>
      </c>
      <c r="B659">
        <v>0</v>
      </c>
      <c r="C659" t="s">
        <v>8</v>
      </c>
      <c r="D659">
        <v>0</v>
      </c>
      <c r="E659">
        <v>0.85179086669813797</v>
      </c>
      <c r="F659">
        <v>1</v>
      </c>
      <c r="G659" s="1" t="s">
        <v>814</v>
      </c>
      <c r="H659" t="s">
        <v>814</v>
      </c>
      <c r="I659" t="s">
        <v>814</v>
      </c>
    </row>
    <row r="660" spans="1:9" x14ac:dyDescent="0.2">
      <c r="A660">
        <v>28</v>
      </c>
      <c r="B660">
        <v>15</v>
      </c>
      <c r="C660" t="s">
        <v>8</v>
      </c>
      <c r="D660">
        <v>0</v>
      </c>
      <c r="E660">
        <v>0.62751578434836097</v>
      </c>
      <c r="F660">
        <v>1</v>
      </c>
      <c r="G660" s="1" t="s">
        <v>815</v>
      </c>
      <c r="H660" t="s">
        <v>815</v>
      </c>
      <c r="I660" t="s">
        <v>815</v>
      </c>
    </row>
    <row r="661" spans="1:9" x14ac:dyDescent="0.2">
      <c r="A661">
        <v>65</v>
      </c>
      <c r="B661">
        <v>8</v>
      </c>
      <c r="C661" t="s">
        <v>8</v>
      </c>
      <c r="D661">
        <v>0</v>
      </c>
      <c r="E661">
        <v>0.61485204880591504</v>
      </c>
      <c r="F661">
        <v>1</v>
      </c>
      <c r="G661" s="1" t="s">
        <v>816</v>
      </c>
      <c r="H661" t="s">
        <v>816</v>
      </c>
      <c r="I661" t="s">
        <v>816</v>
      </c>
    </row>
    <row r="662" spans="1:9" x14ac:dyDescent="0.2">
      <c r="A662">
        <v>78</v>
      </c>
      <c r="B662">
        <v>1</v>
      </c>
      <c r="C662" t="s">
        <v>10</v>
      </c>
      <c r="D662">
        <v>0</v>
      </c>
      <c r="E662">
        <v>0.76973697054199897</v>
      </c>
      <c r="F662">
        <v>1</v>
      </c>
      <c r="G662" s="1" t="s">
        <v>817</v>
      </c>
      <c r="H662" t="s">
        <v>817</v>
      </c>
      <c r="I662" t="s">
        <v>817</v>
      </c>
    </row>
    <row r="663" spans="1:9" x14ac:dyDescent="0.2">
      <c r="A663">
        <v>27</v>
      </c>
      <c r="B663">
        <v>3</v>
      </c>
      <c r="C663" t="s">
        <v>8</v>
      </c>
      <c r="D663">
        <v>1</v>
      </c>
      <c r="E663">
        <v>0.53088223538361501</v>
      </c>
      <c r="F663">
        <v>1</v>
      </c>
      <c r="G663" s="1" t="s">
        <v>818</v>
      </c>
      <c r="H663" t="s">
        <v>818</v>
      </c>
      <c r="I663" t="s">
        <v>818</v>
      </c>
    </row>
    <row r="664" spans="1:9" x14ac:dyDescent="0.2">
      <c r="A664">
        <v>33</v>
      </c>
      <c r="B664">
        <v>6</v>
      </c>
      <c r="C664" t="s">
        <v>10</v>
      </c>
      <c r="D664">
        <v>1</v>
      </c>
      <c r="E664">
        <v>0.84309817710891399</v>
      </c>
      <c r="F664">
        <v>1</v>
      </c>
      <c r="G664" s="1" t="s">
        <v>819</v>
      </c>
      <c r="H664" t="s">
        <v>819</v>
      </c>
      <c r="I664" t="s">
        <v>819</v>
      </c>
    </row>
    <row r="665" spans="1:9" x14ac:dyDescent="0.2">
      <c r="A665">
        <v>44</v>
      </c>
      <c r="B665">
        <v>4</v>
      </c>
      <c r="C665" t="s">
        <v>16</v>
      </c>
      <c r="D665">
        <v>0</v>
      </c>
      <c r="E665">
        <v>0.52276450023055099</v>
      </c>
      <c r="F665">
        <v>1</v>
      </c>
      <c r="G665" s="1" t="s">
        <v>820</v>
      </c>
      <c r="H665" t="s">
        <v>820</v>
      </c>
      <c r="I665" t="s">
        <v>820</v>
      </c>
    </row>
    <row r="666" spans="1:9" x14ac:dyDescent="0.2">
      <c r="A666">
        <v>85</v>
      </c>
      <c r="B666">
        <v>3</v>
      </c>
      <c r="C666" t="s">
        <v>16</v>
      </c>
      <c r="D666">
        <v>1</v>
      </c>
      <c r="E666">
        <v>0.77472344785928704</v>
      </c>
      <c r="F666">
        <v>1</v>
      </c>
      <c r="G666" s="1" t="s">
        <v>821</v>
      </c>
      <c r="H666" t="s">
        <v>821</v>
      </c>
      <c r="I666" t="s">
        <v>821</v>
      </c>
    </row>
    <row r="667" spans="1:9" x14ac:dyDescent="0.2">
      <c r="A667">
        <v>34</v>
      </c>
      <c r="B667">
        <v>10</v>
      </c>
      <c r="C667" t="s">
        <v>16</v>
      </c>
      <c r="D667">
        <v>1</v>
      </c>
      <c r="E667">
        <v>0.63476737856399301</v>
      </c>
      <c r="F667">
        <v>1</v>
      </c>
      <c r="G667" s="1" t="s">
        <v>822</v>
      </c>
      <c r="H667" t="s">
        <v>822</v>
      </c>
      <c r="I667" t="s">
        <v>822</v>
      </c>
    </row>
    <row r="668" spans="1:9" x14ac:dyDescent="0.2">
      <c r="A668">
        <v>81</v>
      </c>
      <c r="B668">
        <v>4</v>
      </c>
      <c r="C668" t="s">
        <v>8</v>
      </c>
      <c r="D668">
        <v>3</v>
      </c>
      <c r="E668">
        <v>0.67406265658792097</v>
      </c>
      <c r="F668">
        <v>2</v>
      </c>
      <c r="G668" s="1" t="s">
        <v>823</v>
      </c>
      <c r="H668" t="s">
        <v>824</v>
      </c>
      <c r="I668" t="s">
        <v>823</v>
      </c>
    </row>
    <row r="669" spans="1:9" x14ac:dyDescent="0.2">
      <c r="A669">
        <v>52</v>
      </c>
      <c r="B669">
        <v>4</v>
      </c>
      <c r="C669" t="s">
        <v>10</v>
      </c>
      <c r="D669">
        <v>1</v>
      </c>
      <c r="E669">
        <v>0.94390624831430603</v>
      </c>
      <c r="F669">
        <v>1</v>
      </c>
      <c r="G669" s="1" t="s">
        <v>825</v>
      </c>
      <c r="H669" t="s">
        <v>825</v>
      </c>
      <c r="I669" t="s">
        <v>825</v>
      </c>
    </row>
    <row r="670" spans="1:9" x14ac:dyDescent="0.2">
      <c r="A670">
        <v>74</v>
      </c>
      <c r="B670">
        <v>7</v>
      </c>
      <c r="C670" t="s">
        <v>8</v>
      </c>
      <c r="D670">
        <v>0</v>
      </c>
      <c r="E670">
        <v>0.99811593291815404</v>
      </c>
      <c r="F670">
        <v>1</v>
      </c>
      <c r="G670" s="1" t="s">
        <v>826</v>
      </c>
      <c r="H670" t="s">
        <v>826</v>
      </c>
      <c r="I670" t="s">
        <v>826</v>
      </c>
    </row>
    <row r="671" spans="1:9" x14ac:dyDescent="0.2">
      <c r="A671">
        <v>86</v>
      </c>
      <c r="B671">
        <v>8</v>
      </c>
      <c r="C671" t="s">
        <v>16</v>
      </c>
      <c r="D671">
        <v>0</v>
      </c>
      <c r="E671">
        <v>0.778947863727808</v>
      </c>
      <c r="F671">
        <v>1</v>
      </c>
      <c r="G671" s="1" t="s">
        <v>827</v>
      </c>
      <c r="H671" t="s">
        <v>827</v>
      </c>
      <c r="I671" t="s">
        <v>827</v>
      </c>
    </row>
    <row r="672" spans="1:9" x14ac:dyDescent="0.2">
      <c r="A672">
        <v>72</v>
      </c>
      <c r="B672">
        <v>0</v>
      </c>
      <c r="C672" t="s">
        <v>10</v>
      </c>
      <c r="D672">
        <v>2</v>
      </c>
      <c r="E672">
        <v>0.95652192528359603</v>
      </c>
      <c r="F672">
        <v>3</v>
      </c>
      <c r="G672" s="1" t="s">
        <v>828</v>
      </c>
      <c r="H672" t="s">
        <v>829</v>
      </c>
      <c r="I672" t="s">
        <v>828</v>
      </c>
    </row>
    <row r="673" spans="1:9" x14ac:dyDescent="0.2">
      <c r="A673">
        <v>28</v>
      </c>
      <c r="B673">
        <v>4</v>
      </c>
      <c r="C673" t="s">
        <v>8</v>
      </c>
      <c r="D673">
        <v>0</v>
      </c>
      <c r="E673">
        <v>0.88636837073136099</v>
      </c>
      <c r="F673">
        <v>1</v>
      </c>
      <c r="G673" s="1" t="s">
        <v>830</v>
      </c>
      <c r="H673" t="s">
        <v>830</v>
      </c>
      <c r="I673" t="s">
        <v>830</v>
      </c>
    </row>
    <row r="674" spans="1:9" x14ac:dyDescent="0.2">
      <c r="A674">
        <v>67</v>
      </c>
      <c r="B674">
        <v>11</v>
      </c>
      <c r="C674" t="s">
        <v>16</v>
      </c>
      <c r="D674">
        <v>0</v>
      </c>
      <c r="E674">
        <v>0.85453342564869705</v>
      </c>
      <c r="F674">
        <v>2</v>
      </c>
      <c r="G674" s="1" t="s">
        <v>831</v>
      </c>
      <c r="H674" t="s">
        <v>832</v>
      </c>
      <c r="I674" t="s">
        <v>831</v>
      </c>
    </row>
    <row r="675" spans="1:9" x14ac:dyDescent="0.2">
      <c r="A675">
        <v>80</v>
      </c>
      <c r="B675">
        <v>7</v>
      </c>
      <c r="C675" t="s">
        <v>8</v>
      </c>
      <c r="D675">
        <v>0</v>
      </c>
      <c r="E675">
        <v>0.58303569338750105</v>
      </c>
      <c r="F675">
        <v>2</v>
      </c>
      <c r="G675" s="1" t="s">
        <v>833</v>
      </c>
      <c r="H675" t="s">
        <v>834</v>
      </c>
      <c r="I675" t="s">
        <v>833</v>
      </c>
    </row>
    <row r="676" spans="1:9" x14ac:dyDescent="0.2">
      <c r="A676">
        <v>82</v>
      </c>
      <c r="B676">
        <v>6</v>
      </c>
      <c r="C676" t="s">
        <v>8</v>
      </c>
      <c r="D676">
        <v>0</v>
      </c>
      <c r="E676">
        <v>0.94434590393211704</v>
      </c>
      <c r="F676">
        <v>1</v>
      </c>
      <c r="G676" s="1" t="s">
        <v>835</v>
      </c>
      <c r="H676" t="s">
        <v>835</v>
      </c>
      <c r="I676" t="s">
        <v>835</v>
      </c>
    </row>
    <row r="677" spans="1:9" x14ac:dyDescent="0.2">
      <c r="A677">
        <v>62</v>
      </c>
      <c r="B677">
        <v>12</v>
      </c>
      <c r="C677" t="s">
        <v>16</v>
      </c>
      <c r="D677">
        <v>0</v>
      </c>
      <c r="E677">
        <v>0.79621625749860003</v>
      </c>
      <c r="F677">
        <v>1</v>
      </c>
      <c r="G677" s="1" t="s">
        <v>836</v>
      </c>
      <c r="H677" t="s">
        <v>836</v>
      </c>
      <c r="I677" t="s">
        <v>836</v>
      </c>
    </row>
    <row r="678" spans="1:9" x14ac:dyDescent="0.2">
      <c r="A678">
        <v>62</v>
      </c>
      <c r="B678">
        <v>15</v>
      </c>
      <c r="C678" t="s">
        <v>8</v>
      </c>
      <c r="D678">
        <v>0</v>
      </c>
      <c r="E678">
        <v>0.82018630357924804</v>
      </c>
      <c r="F678">
        <v>1</v>
      </c>
      <c r="G678" s="1" t="s">
        <v>837</v>
      </c>
      <c r="H678" t="s">
        <v>837</v>
      </c>
      <c r="I678" t="s">
        <v>837</v>
      </c>
    </row>
    <row r="679" spans="1:9" x14ac:dyDescent="0.2">
      <c r="A679">
        <v>32</v>
      </c>
      <c r="B679">
        <v>5</v>
      </c>
      <c r="C679" t="s">
        <v>10</v>
      </c>
      <c r="D679">
        <v>1</v>
      </c>
      <c r="E679">
        <v>0.68868315941654101</v>
      </c>
      <c r="F679">
        <v>1</v>
      </c>
      <c r="G679" s="1" t="s">
        <v>838</v>
      </c>
      <c r="H679" t="s">
        <v>838</v>
      </c>
      <c r="I679" t="s">
        <v>838</v>
      </c>
    </row>
    <row r="680" spans="1:9" x14ac:dyDescent="0.2">
      <c r="A680">
        <v>72</v>
      </c>
      <c r="B680">
        <v>2</v>
      </c>
      <c r="C680" t="s">
        <v>8</v>
      </c>
      <c r="D680">
        <v>1</v>
      </c>
      <c r="E680">
        <v>0.57813589065335702</v>
      </c>
      <c r="F680">
        <v>1</v>
      </c>
      <c r="G680" s="1" t="s">
        <v>839</v>
      </c>
      <c r="H680" t="s">
        <v>839</v>
      </c>
      <c r="I680" t="s">
        <v>839</v>
      </c>
    </row>
    <row r="681" spans="1:9" x14ac:dyDescent="0.2">
      <c r="A681">
        <v>35</v>
      </c>
      <c r="B681">
        <v>15</v>
      </c>
      <c r="C681" t="s">
        <v>16</v>
      </c>
      <c r="D681">
        <v>0</v>
      </c>
      <c r="E681">
        <v>0.95000493840780098</v>
      </c>
      <c r="F681">
        <v>1</v>
      </c>
      <c r="G681" s="1" t="s">
        <v>840</v>
      </c>
      <c r="H681" t="s">
        <v>840</v>
      </c>
      <c r="I681" t="s">
        <v>840</v>
      </c>
    </row>
    <row r="682" spans="1:9" x14ac:dyDescent="0.2">
      <c r="A682">
        <v>18</v>
      </c>
      <c r="B682">
        <v>14</v>
      </c>
      <c r="C682" t="s">
        <v>16</v>
      </c>
      <c r="D682">
        <v>0</v>
      </c>
      <c r="E682">
        <v>0.84924676525406495</v>
      </c>
      <c r="F682">
        <v>1</v>
      </c>
      <c r="G682" s="1" t="s">
        <v>841</v>
      </c>
      <c r="H682" t="s">
        <v>841</v>
      </c>
      <c r="I682" t="s">
        <v>841</v>
      </c>
    </row>
    <row r="683" spans="1:9" x14ac:dyDescent="0.2">
      <c r="A683">
        <v>90</v>
      </c>
      <c r="B683">
        <v>6</v>
      </c>
      <c r="C683" t="s">
        <v>16</v>
      </c>
      <c r="D683">
        <v>1</v>
      </c>
      <c r="E683">
        <v>0.63757330761291098</v>
      </c>
      <c r="F683">
        <v>1</v>
      </c>
      <c r="G683" s="1" t="s">
        <v>842</v>
      </c>
      <c r="H683" t="s">
        <v>842</v>
      </c>
      <c r="I683" t="s">
        <v>842</v>
      </c>
    </row>
    <row r="684" spans="1:9" x14ac:dyDescent="0.2">
      <c r="A684">
        <v>32</v>
      </c>
      <c r="B684">
        <v>0</v>
      </c>
      <c r="C684" t="s">
        <v>8</v>
      </c>
      <c r="D684">
        <v>1</v>
      </c>
      <c r="E684">
        <v>0.82997944136150203</v>
      </c>
      <c r="F684">
        <v>1</v>
      </c>
      <c r="G684" s="1" t="s">
        <v>843</v>
      </c>
      <c r="H684" t="s">
        <v>843</v>
      </c>
      <c r="I684" t="s">
        <v>843</v>
      </c>
    </row>
    <row r="685" spans="1:9" x14ac:dyDescent="0.2">
      <c r="A685">
        <v>36</v>
      </c>
      <c r="B685">
        <v>14</v>
      </c>
      <c r="C685" t="s">
        <v>16</v>
      </c>
      <c r="D685">
        <v>1</v>
      </c>
      <c r="E685">
        <v>0.73178073531016696</v>
      </c>
      <c r="F685">
        <v>1</v>
      </c>
      <c r="G685" s="1" t="s">
        <v>844</v>
      </c>
      <c r="H685" t="s">
        <v>844</v>
      </c>
      <c r="I685" t="s">
        <v>844</v>
      </c>
    </row>
    <row r="686" spans="1:9" x14ac:dyDescent="0.2">
      <c r="A686">
        <v>59</v>
      </c>
      <c r="B686">
        <v>11</v>
      </c>
      <c r="C686" t="s">
        <v>10</v>
      </c>
      <c r="D686">
        <v>1</v>
      </c>
      <c r="E686">
        <v>0.86382466636132405</v>
      </c>
      <c r="F686">
        <v>1</v>
      </c>
      <c r="G686" s="1" t="s">
        <v>845</v>
      </c>
      <c r="H686" t="s">
        <v>845</v>
      </c>
      <c r="I686" t="s">
        <v>845</v>
      </c>
    </row>
    <row r="687" spans="1:9" x14ac:dyDescent="0.2">
      <c r="A687">
        <v>34</v>
      </c>
      <c r="B687">
        <v>8</v>
      </c>
      <c r="C687" t="s">
        <v>10</v>
      </c>
      <c r="D687">
        <v>0</v>
      </c>
      <c r="E687">
        <v>0.77942702313885104</v>
      </c>
      <c r="F687">
        <v>1</v>
      </c>
      <c r="G687" s="1" t="s">
        <v>846</v>
      </c>
      <c r="H687" t="s">
        <v>846</v>
      </c>
      <c r="I687" t="s">
        <v>846</v>
      </c>
    </row>
    <row r="688" spans="1:9" x14ac:dyDescent="0.2">
      <c r="A688">
        <v>87</v>
      </c>
      <c r="B688">
        <v>8</v>
      </c>
      <c r="C688" t="s">
        <v>8</v>
      </c>
      <c r="D688">
        <v>1</v>
      </c>
      <c r="E688">
        <v>0.86562970315571897</v>
      </c>
      <c r="F688">
        <v>1</v>
      </c>
      <c r="G688" s="1" t="s">
        <v>847</v>
      </c>
      <c r="H688" t="s">
        <v>847</v>
      </c>
      <c r="I688" t="s">
        <v>847</v>
      </c>
    </row>
    <row r="689" spans="1:9" x14ac:dyDescent="0.2">
      <c r="A689">
        <v>72</v>
      </c>
      <c r="B689">
        <v>13</v>
      </c>
      <c r="C689" t="s">
        <v>10</v>
      </c>
      <c r="D689">
        <v>0</v>
      </c>
      <c r="E689">
        <v>0.82265632390044596</v>
      </c>
      <c r="F689">
        <v>1</v>
      </c>
      <c r="G689" s="1" t="s">
        <v>848</v>
      </c>
      <c r="H689" t="s">
        <v>848</v>
      </c>
      <c r="I689" t="s">
        <v>848</v>
      </c>
    </row>
    <row r="690" spans="1:9" x14ac:dyDescent="0.2">
      <c r="A690">
        <v>49</v>
      </c>
      <c r="B690">
        <v>1</v>
      </c>
      <c r="C690" t="s">
        <v>10</v>
      </c>
      <c r="D690">
        <v>2</v>
      </c>
      <c r="E690">
        <v>0.91999819152988505</v>
      </c>
      <c r="F690">
        <v>1</v>
      </c>
      <c r="G690" s="1" t="s">
        <v>849</v>
      </c>
      <c r="H690" t="s">
        <v>849</v>
      </c>
      <c r="I690" t="s">
        <v>849</v>
      </c>
    </row>
    <row r="691" spans="1:9" x14ac:dyDescent="0.2">
      <c r="A691">
        <v>73</v>
      </c>
      <c r="B691">
        <v>0</v>
      </c>
      <c r="C691" t="s">
        <v>16</v>
      </c>
      <c r="D691">
        <v>1</v>
      </c>
      <c r="E691">
        <v>0.89258453971706297</v>
      </c>
      <c r="F691">
        <v>2</v>
      </c>
      <c r="G691" s="1" t="s">
        <v>850</v>
      </c>
      <c r="H691" t="s">
        <v>851</v>
      </c>
      <c r="I691" t="s">
        <v>850</v>
      </c>
    </row>
    <row r="692" spans="1:9" x14ac:dyDescent="0.2">
      <c r="A692">
        <v>84</v>
      </c>
      <c r="B692">
        <v>3</v>
      </c>
      <c r="C692" t="s">
        <v>8</v>
      </c>
      <c r="D692">
        <v>2</v>
      </c>
      <c r="E692">
        <v>0.81644057645462498</v>
      </c>
      <c r="F692">
        <v>1</v>
      </c>
      <c r="G692" s="1" t="s">
        <v>852</v>
      </c>
      <c r="H692" t="s">
        <v>852</v>
      </c>
      <c r="I692" t="s">
        <v>852</v>
      </c>
    </row>
    <row r="693" spans="1:9" x14ac:dyDescent="0.2">
      <c r="A693">
        <v>77</v>
      </c>
      <c r="B693">
        <v>14</v>
      </c>
      <c r="C693" t="s">
        <v>16</v>
      </c>
      <c r="D693">
        <v>1</v>
      </c>
      <c r="E693">
        <v>0.74118465499486796</v>
      </c>
      <c r="F693">
        <v>2</v>
      </c>
      <c r="G693" s="1" t="s">
        <v>853</v>
      </c>
      <c r="H693" t="s">
        <v>854</v>
      </c>
      <c r="I693" t="s">
        <v>853</v>
      </c>
    </row>
    <row r="694" spans="1:9" x14ac:dyDescent="0.2">
      <c r="A694">
        <v>52</v>
      </c>
      <c r="B694">
        <v>11</v>
      </c>
      <c r="C694" t="s">
        <v>16</v>
      </c>
      <c r="D694">
        <v>0</v>
      </c>
      <c r="E694">
        <v>0.93814816256053701</v>
      </c>
      <c r="F694">
        <v>1</v>
      </c>
      <c r="G694" s="1" t="s">
        <v>855</v>
      </c>
      <c r="H694" t="s">
        <v>855</v>
      </c>
      <c r="I694" t="s">
        <v>855</v>
      </c>
    </row>
    <row r="695" spans="1:9" x14ac:dyDescent="0.2">
      <c r="A695">
        <v>61</v>
      </c>
      <c r="B695">
        <v>0</v>
      </c>
      <c r="C695" t="s">
        <v>10</v>
      </c>
      <c r="D695">
        <v>0</v>
      </c>
      <c r="E695">
        <v>0.84040417219512198</v>
      </c>
      <c r="F695">
        <v>1</v>
      </c>
      <c r="G695" s="1" t="s">
        <v>856</v>
      </c>
      <c r="H695" t="s">
        <v>856</v>
      </c>
      <c r="I695" t="s">
        <v>856</v>
      </c>
    </row>
    <row r="696" spans="1:9" x14ac:dyDescent="0.2">
      <c r="A696">
        <v>27</v>
      </c>
      <c r="B696">
        <v>1</v>
      </c>
      <c r="C696" t="s">
        <v>10</v>
      </c>
      <c r="D696">
        <v>0</v>
      </c>
      <c r="E696">
        <v>0.66726498061325401</v>
      </c>
      <c r="F696">
        <v>1</v>
      </c>
      <c r="G696" s="1" t="s">
        <v>857</v>
      </c>
      <c r="H696" t="s">
        <v>857</v>
      </c>
      <c r="I696" t="s">
        <v>857</v>
      </c>
    </row>
    <row r="697" spans="1:9" x14ac:dyDescent="0.2">
      <c r="A697">
        <v>66</v>
      </c>
      <c r="B697">
        <v>3</v>
      </c>
      <c r="C697" t="s">
        <v>16</v>
      </c>
      <c r="D697">
        <v>0</v>
      </c>
      <c r="E697">
        <v>0.86234287382103503</v>
      </c>
      <c r="F697">
        <v>1</v>
      </c>
      <c r="G697" s="1" t="s">
        <v>858</v>
      </c>
      <c r="H697" t="s">
        <v>858</v>
      </c>
      <c r="I697" t="s">
        <v>858</v>
      </c>
    </row>
    <row r="698" spans="1:9" x14ac:dyDescent="0.2">
      <c r="A698">
        <v>74</v>
      </c>
      <c r="B698">
        <v>4</v>
      </c>
      <c r="C698" t="s">
        <v>16</v>
      </c>
      <c r="D698">
        <v>2</v>
      </c>
      <c r="E698">
        <v>0.68429743743035898</v>
      </c>
      <c r="F698">
        <v>1</v>
      </c>
      <c r="G698" s="1" t="s">
        <v>859</v>
      </c>
      <c r="H698" t="s">
        <v>859</v>
      </c>
      <c r="I698" t="s">
        <v>859</v>
      </c>
    </row>
    <row r="699" spans="1:9" x14ac:dyDescent="0.2">
      <c r="A699">
        <v>66</v>
      </c>
      <c r="B699">
        <v>3</v>
      </c>
      <c r="C699" t="s">
        <v>10</v>
      </c>
      <c r="D699">
        <v>2</v>
      </c>
      <c r="E699">
        <v>0.87154011230450101</v>
      </c>
      <c r="F699">
        <v>2</v>
      </c>
      <c r="G699" s="1" t="s">
        <v>860</v>
      </c>
      <c r="H699" t="s">
        <v>861</v>
      </c>
      <c r="I699" t="s">
        <v>860</v>
      </c>
    </row>
    <row r="700" spans="1:9" x14ac:dyDescent="0.2">
      <c r="A700">
        <v>62</v>
      </c>
      <c r="B700">
        <v>6</v>
      </c>
      <c r="C700" t="s">
        <v>8</v>
      </c>
      <c r="D700">
        <v>1</v>
      </c>
      <c r="E700">
        <v>0.69693764299154304</v>
      </c>
      <c r="F700">
        <v>1</v>
      </c>
      <c r="G700" s="1" t="s">
        <v>862</v>
      </c>
      <c r="H700" t="s">
        <v>862</v>
      </c>
      <c r="I700" t="s">
        <v>862</v>
      </c>
    </row>
    <row r="701" spans="1:9" x14ac:dyDescent="0.2">
      <c r="A701">
        <v>78</v>
      </c>
      <c r="B701">
        <v>8</v>
      </c>
      <c r="C701" t="s">
        <v>8</v>
      </c>
      <c r="D701">
        <v>0</v>
      </c>
      <c r="E701">
        <v>0.633861144771799</v>
      </c>
      <c r="F701">
        <v>1</v>
      </c>
      <c r="G701" s="1" t="s">
        <v>863</v>
      </c>
      <c r="H701" t="s">
        <v>863</v>
      </c>
      <c r="I701" t="s">
        <v>863</v>
      </c>
    </row>
    <row r="702" spans="1:9" x14ac:dyDescent="0.2">
      <c r="A702">
        <v>30</v>
      </c>
      <c r="B702">
        <v>13</v>
      </c>
      <c r="C702" t="s">
        <v>10</v>
      </c>
      <c r="D702">
        <v>0</v>
      </c>
      <c r="E702">
        <v>0.61649590858724002</v>
      </c>
      <c r="F702">
        <v>1</v>
      </c>
      <c r="G702" s="1" t="s">
        <v>864</v>
      </c>
      <c r="H702" t="s">
        <v>864</v>
      </c>
      <c r="I702" t="s">
        <v>864</v>
      </c>
    </row>
    <row r="703" spans="1:9" x14ac:dyDescent="0.2">
      <c r="A703">
        <v>70</v>
      </c>
      <c r="B703">
        <v>13</v>
      </c>
      <c r="C703" t="s">
        <v>8</v>
      </c>
      <c r="D703">
        <v>0</v>
      </c>
      <c r="E703">
        <v>0.93895121337845899</v>
      </c>
      <c r="F703">
        <v>2</v>
      </c>
      <c r="G703" s="1" t="s">
        <v>865</v>
      </c>
      <c r="H703" t="s">
        <v>866</v>
      </c>
      <c r="I703" t="s">
        <v>865</v>
      </c>
    </row>
    <row r="704" spans="1:9" x14ac:dyDescent="0.2">
      <c r="A704">
        <v>51</v>
      </c>
      <c r="B704">
        <v>4</v>
      </c>
      <c r="C704" t="s">
        <v>10</v>
      </c>
      <c r="D704">
        <v>0</v>
      </c>
      <c r="E704">
        <v>0.92566993378568396</v>
      </c>
      <c r="F704">
        <v>2</v>
      </c>
      <c r="G704" s="1" t="s">
        <v>867</v>
      </c>
      <c r="H704" t="s">
        <v>868</v>
      </c>
      <c r="I704" t="s">
        <v>867</v>
      </c>
    </row>
    <row r="705" spans="1:9" x14ac:dyDescent="0.2">
      <c r="A705">
        <v>64</v>
      </c>
      <c r="B705">
        <v>5</v>
      </c>
      <c r="C705" t="s">
        <v>8</v>
      </c>
      <c r="D705">
        <v>0</v>
      </c>
      <c r="E705">
        <v>0.79294506914448004</v>
      </c>
      <c r="F705">
        <v>1</v>
      </c>
      <c r="G705" s="1" t="s">
        <v>869</v>
      </c>
      <c r="H705" t="s">
        <v>869</v>
      </c>
      <c r="I705" t="s">
        <v>869</v>
      </c>
    </row>
    <row r="706" spans="1:9" x14ac:dyDescent="0.2">
      <c r="A706">
        <v>41</v>
      </c>
      <c r="B706">
        <v>7</v>
      </c>
      <c r="C706" t="s">
        <v>8</v>
      </c>
      <c r="D706">
        <v>2</v>
      </c>
      <c r="E706">
        <v>0.55916379787959203</v>
      </c>
      <c r="F706">
        <v>1</v>
      </c>
      <c r="G706" s="1" t="s">
        <v>870</v>
      </c>
      <c r="H706" t="s">
        <v>870</v>
      </c>
      <c r="I706" t="s">
        <v>870</v>
      </c>
    </row>
    <row r="707" spans="1:9" x14ac:dyDescent="0.2">
      <c r="A707">
        <v>29</v>
      </c>
      <c r="B707">
        <v>12</v>
      </c>
      <c r="C707" t="s">
        <v>8</v>
      </c>
      <c r="D707">
        <v>1</v>
      </c>
      <c r="E707">
        <v>0.96043940226081803</v>
      </c>
      <c r="F707">
        <v>2</v>
      </c>
      <c r="G707" s="1" t="s">
        <v>871</v>
      </c>
      <c r="H707" t="s">
        <v>872</v>
      </c>
      <c r="I707" t="s">
        <v>871</v>
      </c>
    </row>
    <row r="708" spans="1:9" x14ac:dyDescent="0.2">
      <c r="A708">
        <v>40</v>
      </c>
      <c r="B708">
        <v>14</v>
      </c>
      <c r="C708" t="s">
        <v>10</v>
      </c>
      <c r="D708">
        <v>0</v>
      </c>
      <c r="E708">
        <v>0.800255512818694</v>
      </c>
      <c r="F708">
        <v>1</v>
      </c>
      <c r="G708" s="1" t="s">
        <v>873</v>
      </c>
      <c r="H708" t="s">
        <v>873</v>
      </c>
      <c r="I708" t="s">
        <v>873</v>
      </c>
    </row>
    <row r="709" spans="1:9" x14ac:dyDescent="0.2">
      <c r="A709">
        <v>71</v>
      </c>
      <c r="B709">
        <v>8</v>
      </c>
      <c r="C709" t="s">
        <v>10</v>
      </c>
      <c r="D709">
        <v>1</v>
      </c>
      <c r="E709">
        <v>0.58318893960677098</v>
      </c>
      <c r="F709">
        <v>1</v>
      </c>
      <c r="G709" s="1" t="s">
        <v>874</v>
      </c>
      <c r="H709" t="s">
        <v>874</v>
      </c>
      <c r="I709" t="s">
        <v>874</v>
      </c>
    </row>
    <row r="710" spans="1:9" x14ac:dyDescent="0.2">
      <c r="A710">
        <v>48</v>
      </c>
      <c r="B710">
        <v>15</v>
      </c>
      <c r="C710" t="s">
        <v>16</v>
      </c>
      <c r="D710">
        <v>0</v>
      </c>
      <c r="E710">
        <v>0.77334148553200099</v>
      </c>
      <c r="F710">
        <v>1</v>
      </c>
      <c r="G710" s="1" t="s">
        <v>875</v>
      </c>
      <c r="H710" t="s">
        <v>875</v>
      </c>
      <c r="I710" t="s">
        <v>875</v>
      </c>
    </row>
    <row r="711" spans="1:9" x14ac:dyDescent="0.2">
      <c r="A711">
        <v>56</v>
      </c>
      <c r="B711">
        <v>0</v>
      </c>
      <c r="C711" t="s">
        <v>8</v>
      </c>
      <c r="D711">
        <v>1</v>
      </c>
      <c r="E711">
        <v>0.52005169214680802</v>
      </c>
      <c r="F711">
        <v>1</v>
      </c>
      <c r="G711" s="1" t="s">
        <v>876</v>
      </c>
      <c r="H711" t="s">
        <v>876</v>
      </c>
      <c r="I711" t="s">
        <v>876</v>
      </c>
    </row>
    <row r="712" spans="1:9" x14ac:dyDescent="0.2">
      <c r="A712">
        <v>63</v>
      </c>
      <c r="B712">
        <v>12</v>
      </c>
      <c r="C712" t="s">
        <v>16</v>
      </c>
      <c r="D712">
        <v>1</v>
      </c>
      <c r="E712">
        <v>0.72549048147629902</v>
      </c>
      <c r="F712">
        <v>2</v>
      </c>
      <c r="G712" s="1" t="s">
        <v>877</v>
      </c>
      <c r="H712" t="s">
        <v>878</v>
      </c>
      <c r="I712" t="s">
        <v>877</v>
      </c>
    </row>
    <row r="713" spans="1:9" x14ac:dyDescent="0.2">
      <c r="A713">
        <v>49</v>
      </c>
      <c r="B713">
        <v>12</v>
      </c>
      <c r="C713" t="s">
        <v>16</v>
      </c>
      <c r="D713">
        <v>1</v>
      </c>
      <c r="E713">
        <v>0.90720567258540497</v>
      </c>
      <c r="F713">
        <v>1</v>
      </c>
      <c r="G713" s="1" t="s">
        <v>879</v>
      </c>
      <c r="H713" t="s">
        <v>879</v>
      </c>
      <c r="I713" t="s">
        <v>879</v>
      </c>
    </row>
    <row r="714" spans="1:9" x14ac:dyDescent="0.2">
      <c r="A714">
        <v>87</v>
      </c>
      <c r="B714">
        <v>12</v>
      </c>
      <c r="C714" t="s">
        <v>8</v>
      </c>
      <c r="D714">
        <v>1</v>
      </c>
      <c r="E714">
        <v>0.86203029169700995</v>
      </c>
      <c r="F714">
        <v>2</v>
      </c>
      <c r="G714" s="1" t="s">
        <v>880</v>
      </c>
      <c r="H714" t="s">
        <v>881</v>
      </c>
      <c r="I714" t="s">
        <v>880</v>
      </c>
    </row>
    <row r="715" spans="1:9" x14ac:dyDescent="0.2">
      <c r="A715">
        <v>70</v>
      </c>
      <c r="B715">
        <v>4</v>
      </c>
      <c r="C715" t="s">
        <v>16</v>
      </c>
      <c r="D715">
        <v>0</v>
      </c>
      <c r="E715">
        <v>0.84739648166578296</v>
      </c>
      <c r="F715">
        <v>1</v>
      </c>
      <c r="G715" s="1" t="s">
        <v>882</v>
      </c>
      <c r="H715" t="s">
        <v>882</v>
      </c>
      <c r="I715" t="s">
        <v>882</v>
      </c>
    </row>
    <row r="716" spans="1:9" x14ac:dyDescent="0.2">
      <c r="A716">
        <v>78</v>
      </c>
      <c r="B716">
        <v>9</v>
      </c>
      <c r="C716" t="s">
        <v>8</v>
      </c>
      <c r="D716">
        <v>0</v>
      </c>
      <c r="E716">
        <v>0.53448214067611799</v>
      </c>
      <c r="F716">
        <v>1</v>
      </c>
      <c r="G716" s="1" t="s">
        <v>883</v>
      </c>
      <c r="H716" t="s">
        <v>883</v>
      </c>
      <c r="I716" t="s">
        <v>883</v>
      </c>
    </row>
    <row r="717" spans="1:9" x14ac:dyDescent="0.2">
      <c r="A717">
        <v>70</v>
      </c>
      <c r="B717">
        <v>7</v>
      </c>
      <c r="C717" t="s">
        <v>8</v>
      </c>
      <c r="D717">
        <v>0</v>
      </c>
      <c r="E717">
        <v>0.73483569780364599</v>
      </c>
      <c r="F717">
        <v>1</v>
      </c>
      <c r="G717" s="1" t="s">
        <v>884</v>
      </c>
      <c r="H717" t="s">
        <v>884</v>
      </c>
      <c r="I717" t="s">
        <v>884</v>
      </c>
    </row>
    <row r="718" spans="1:9" x14ac:dyDescent="0.2">
      <c r="A718">
        <v>33</v>
      </c>
      <c r="B718">
        <v>8</v>
      </c>
      <c r="C718" t="s">
        <v>8</v>
      </c>
      <c r="D718">
        <v>0</v>
      </c>
      <c r="E718">
        <v>0.75774757598992404</v>
      </c>
      <c r="F718">
        <v>1</v>
      </c>
      <c r="G718" s="1" t="s">
        <v>885</v>
      </c>
      <c r="H718" t="s">
        <v>885</v>
      </c>
      <c r="I718" t="s">
        <v>885</v>
      </c>
    </row>
    <row r="719" spans="1:9" x14ac:dyDescent="0.2">
      <c r="A719">
        <v>54</v>
      </c>
      <c r="B719">
        <v>8</v>
      </c>
      <c r="C719" t="s">
        <v>8</v>
      </c>
      <c r="D719">
        <v>0</v>
      </c>
      <c r="E719">
        <v>0.65765231521800205</v>
      </c>
      <c r="F719">
        <v>2</v>
      </c>
      <c r="G719" s="1" t="s">
        <v>886</v>
      </c>
      <c r="H719" t="s">
        <v>887</v>
      </c>
      <c r="I719" t="s">
        <v>886</v>
      </c>
    </row>
    <row r="720" spans="1:9" x14ac:dyDescent="0.2">
      <c r="A720">
        <v>73</v>
      </c>
      <c r="B720">
        <v>1</v>
      </c>
      <c r="C720" t="s">
        <v>10</v>
      </c>
      <c r="D720">
        <v>0</v>
      </c>
      <c r="E720">
        <v>0.66056882892735302</v>
      </c>
      <c r="F720">
        <v>1</v>
      </c>
      <c r="G720" s="1" t="s">
        <v>888</v>
      </c>
      <c r="H720" t="s">
        <v>888</v>
      </c>
      <c r="I720" t="s">
        <v>888</v>
      </c>
    </row>
    <row r="721" spans="1:9" x14ac:dyDescent="0.2">
      <c r="A721">
        <v>69</v>
      </c>
      <c r="B721">
        <v>9</v>
      </c>
      <c r="C721" t="s">
        <v>8</v>
      </c>
      <c r="D721">
        <v>1</v>
      </c>
      <c r="E721">
        <v>0.58424934162758302</v>
      </c>
      <c r="F721">
        <v>1</v>
      </c>
      <c r="G721" s="1" t="s">
        <v>889</v>
      </c>
      <c r="H721" t="s">
        <v>889</v>
      </c>
      <c r="I721" t="s">
        <v>889</v>
      </c>
    </row>
    <row r="722" spans="1:9" x14ac:dyDescent="0.2">
      <c r="A722">
        <v>79</v>
      </c>
      <c r="B722">
        <v>2</v>
      </c>
      <c r="C722" t="s">
        <v>16</v>
      </c>
      <c r="D722">
        <v>0</v>
      </c>
      <c r="E722">
        <v>0.95150800771080002</v>
      </c>
      <c r="F722">
        <v>3</v>
      </c>
      <c r="G722" s="1" t="s">
        <v>890</v>
      </c>
      <c r="H722" t="s">
        <v>891</v>
      </c>
      <c r="I722" t="s">
        <v>890</v>
      </c>
    </row>
    <row r="723" spans="1:9" x14ac:dyDescent="0.2">
      <c r="A723">
        <v>66</v>
      </c>
      <c r="B723">
        <v>5</v>
      </c>
      <c r="C723" t="s">
        <v>10</v>
      </c>
      <c r="D723">
        <v>0</v>
      </c>
      <c r="E723">
        <v>0.93203798600006804</v>
      </c>
      <c r="F723">
        <v>1</v>
      </c>
      <c r="G723" s="1" t="s">
        <v>892</v>
      </c>
      <c r="H723" t="s">
        <v>892</v>
      </c>
      <c r="I723" t="s">
        <v>892</v>
      </c>
    </row>
    <row r="724" spans="1:9" x14ac:dyDescent="0.2">
      <c r="A724">
        <v>56</v>
      </c>
      <c r="B724">
        <v>10</v>
      </c>
      <c r="C724" t="s">
        <v>16</v>
      </c>
      <c r="D724">
        <v>0</v>
      </c>
      <c r="E724">
        <v>0.58267091121524595</v>
      </c>
      <c r="F724">
        <v>1</v>
      </c>
      <c r="G724" s="1" t="s">
        <v>893</v>
      </c>
      <c r="H724" t="s">
        <v>893</v>
      </c>
      <c r="I724" t="s">
        <v>893</v>
      </c>
    </row>
    <row r="725" spans="1:9" x14ac:dyDescent="0.2">
      <c r="A725">
        <v>28</v>
      </c>
      <c r="B725">
        <v>2</v>
      </c>
      <c r="C725" t="s">
        <v>8</v>
      </c>
      <c r="D725">
        <v>1</v>
      </c>
      <c r="E725">
        <v>0.81787674466613702</v>
      </c>
      <c r="F725">
        <v>1</v>
      </c>
      <c r="G725" s="1" t="s">
        <v>894</v>
      </c>
      <c r="H725" t="s">
        <v>894</v>
      </c>
      <c r="I725" t="s">
        <v>894</v>
      </c>
    </row>
    <row r="726" spans="1:9" x14ac:dyDescent="0.2">
      <c r="A726">
        <v>29</v>
      </c>
      <c r="B726">
        <v>12</v>
      </c>
      <c r="C726" t="s">
        <v>8</v>
      </c>
      <c r="D726">
        <v>0</v>
      </c>
      <c r="E726">
        <v>0.58903060993179701</v>
      </c>
      <c r="F726">
        <v>1</v>
      </c>
      <c r="G726" s="1" t="s">
        <v>895</v>
      </c>
      <c r="H726" t="s">
        <v>895</v>
      </c>
      <c r="I726" t="s">
        <v>895</v>
      </c>
    </row>
    <row r="727" spans="1:9" x14ac:dyDescent="0.2">
      <c r="A727">
        <v>76</v>
      </c>
      <c r="B727">
        <v>7</v>
      </c>
      <c r="C727" t="s">
        <v>8</v>
      </c>
      <c r="D727">
        <v>2</v>
      </c>
      <c r="E727">
        <v>0.85014087019953899</v>
      </c>
      <c r="F727">
        <v>1</v>
      </c>
      <c r="G727" s="1" t="s">
        <v>896</v>
      </c>
      <c r="H727" t="s">
        <v>896</v>
      </c>
      <c r="I727" t="s">
        <v>896</v>
      </c>
    </row>
    <row r="728" spans="1:9" x14ac:dyDescent="0.2">
      <c r="A728">
        <v>69</v>
      </c>
      <c r="B728">
        <v>5</v>
      </c>
      <c r="C728" t="s">
        <v>16</v>
      </c>
      <c r="D728">
        <v>1</v>
      </c>
      <c r="E728">
        <v>0.65815559367183596</v>
      </c>
      <c r="F728">
        <v>1</v>
      </c>
      <c r="G728" s="1" t="s">
        <v>897</v>
      </c>
      <c r="H728" t="s">
        <v>897</v>
      </c>
      <c r="I728" t="s">
        <v>897</v>
      </c>
    </row>
    <row r="729" spans="1:9" x14ac:dyDescent="0.2">
      <c r="A729">
        <v>25</v>
      </c>
      <c r="B729">
        <v>11</v>
      </c>
      <c r="C729" t="s">
        <v>16</v>
      </c>
      <c r="D729">
        <v>0</v>
      </c>
      <c r="E729">
        <v>0.64536535146180496</v>
      </c>
      <c r="F729">
        <v>2</v>
      </c>
      <c r="G729" s="1" t="s">
        <v>898</v>
      </c>
      <c r="H729" t="s">
        <v>899</v>
      </c>
      <c r="I729" t="s">
        <v>898</v>
      </c>
    </row>
    <row r="730" spans="1:9" x14ac:dyDescent="0.2">
      <c r="A730">
        <v>46</v>
      </c>
      <c r="B730">
        <v>14</v>
      </c>
      <c r="C730" t="s">
        <v>8</v>
      </c>
      <c r="D730">
        <v>0</v>
      </c>
      <c r="E730">
        <v>0.55097168392967399</v>
      </c>
      <c r="F730">
        <v>2</v>
      </c>
      <c r="G730" s="1" t="s">
        <v>900</v>
      </c>
      <c r="H730" t="s">
        <v>901</v>
      </c>
      <c r="I730" t="s">
        <v>900</v>
      </c>
    </row>
    <row r="731" spans="1:9" x14ac:dyDescent="0.2">
      <c r="A731">
        <v>64</v>
      </c>
      <c r="B731">
        <v>15</v>
      </c>
      <c r="C731" t="s">
        <v>10</v>
      </c>
      <c r="D731">
        <v>0</v>
      </c>
      <c r="E731">
        <v>0.51237311027944099</v>
      </c>
      <c r="F731">
        <v>3</v>
      </c>
      <c r="G731" s="1" t="s">
        <v>902</v>
      </c>
      <c r="H731" t="s">
        <v>903</v>
      </c>
      <c r="I731" t="s">
        <v>902</v>
      </c>
    </row>
    <row r="732" spans="1:9" x14ac:dyDescent="0.2">
      <c r="A732">
        <v>47</v>
      </c>
      <c r="B732">
        <v>6</v>
      </c>
      <c r="C732" t="s">
        <v>16</v>
      </c>
      <c r="D732">
        <v>0</v>
      </c>
      <c r="E732">
        <v>0.65933418227359697</v>
      </c>
      <c r="F732">
        <v>1</v>
      </c>
      <c r="G732" s="1" t="s">
        <v>904</v>
      </c>
      <c r="H732" t="s">
        <v>904</v>
      </c>
      <c r="I732" t="s">
        <v>904</v>
      </c>
    </row>
    <row r="733" spans="1:9" x14ac:dyDescent="0.2">
      <c r="A733">
        <v>69</v>
      </c>
      <c r="B733">
        <v>13</v>
      </c>
      <c r="C733" t="s">
        <v>8</v>
      </c>
      <c r="D733">
        <v>2</v>
      </c>
      <c r="E733">
        <v>0.59501177712809294</v>
      </c>
      <c r="F733">
        <v>2</v>
      </c>
      <c r="G733" s="1" t="s">
        <v>905</v>
      </c>
      <c r="H733" t="s">
        <v>906</v>
      </c>
      <c r="I733" t="s">
        <v>905</v>
      </c>
    </row>
    <row r="734" spans="1:9" x14ac:dyDescent="0.2">
      <c r="A734">
        <v>21</v>
      </c>
      <c r="B734">
        <v>15</v>
      </c>
      <c r="C734" t="s">
        <v>10</v>
      </c>
      <c r="D734">
        <v>2</v>
      </c>
      <c r="E734">
        <v>0.71288690902292695</v>
      </c>
      <c r="F734">
        <v>1</v>
      </c>
      <c r="G734" s="1" t="s">
        <v>907</v>
      </c>
      <c r="H734" t="s">
        <v>907</v>
      </c>
      <c r="I734" t="s">
        <v>907</v>
      </c>
    </row>
    <row r="735" spans="1:9" x14ac:dyDescent="0.2">
      <c r="A735">
        <v>89</v>
      </c>
      <c r="B735">
        <v>4</v>
      </c>
      <c r="C735" t="s">
        <v>16</v>
      </c>
      <c r="D735">
        <v>0</v>
      </c>
      <c r="E735">
        <v>0.75242228363640595</v>
      </c>
      <c r="F735">
        <v>1</v>
      </c>
      <c r="G735" s="1" t="s">
        <v>908</v>
      </c>
      <c r="H735" t="s">
        <v>908</v>
      </c>
      <c r="I735" t="s">
        <v>908</v>
      </c>
    </row>
    <row r="736" spans="1:9" x14ac:dyDescent="0.2">
      <c r="A736">
        <v>29</v>
      </c>
      <c r="B736">
        <v>1</v>
      </c>
      <c r="C736" t="s">
        <v>10</v>
      </c>
      <c r="D736">
        <v>1</v>
      </c>
      <c r="E736">
        <v>0.81039060372859195</v>
      </c>
      <c r="F736">
        <v>1</v>
      </c>
      <c r="G736" s="1" t="s">
        <v>909</v>
      </c>
      <c r="H736" t="s">
        <v>909</v>
      </c>
      <c r="I736" t="s">
        <v>909</v>
      </c>
    </row>
    <row r="737" spans="1:9" x14ac:dyDescent="0.2">
      <c r="A737">
        <v>31</v>
      </c>
      <c r="B737">
        <v>4</v>
      </c>
      <c r="C737" t="s">
        <v>8</v>
      </c>
      <c r="D737">
        <v>3</v>
      </c>
      <c r="E737">
        <v>0.84552466834429696</v>
      </c>
      <c r="F737">
        <v>1</v>
      </c>
      <c r="G737" s="1" t="s">
        <v>910</v>
      </c>
      <c r="H737" t="s">
        <v>910</v>
      </c>
      <c r="I737" t="s">
        <v>910</v>
      </c>
    </row>
    <row r="738" spans="1:9" x14ac:dyDescent="0.2">
      <c r="A738">
        <v>41</v>
      </c>
      <c r="B738">
        <v>15</v>
      </c>
      <c r="C738" t="s">
        <v>10</v>
      </c>
      <c r="D738">
        <v>1</v>
      </c>
      <c r="E738">
        <v>0.69213622866664104</v>
      </c>
      <c r="F738">
        <v>1</v>
      </c>
      <c r="G738" s="1" t="s">
        <v>911</v>
      </c>
      <c r="H738" t="s">
        <v>911</v>
      </c>
      <c r="I738" t="s">
        <v>911</v>
      </c>
    </row>
    <row r="739" spans="1:9" x14ac:dyDescent="0.2">
      <c r="A739">
        <v>79</v>
      </c>
      <c r="B739">
        <v>0</v>
      </c>
      <c r="C739" t="s">
        <v>10</v>
      </c>
      <c r="D739">
        <v>0</v>
      </c>
      <c r="E739">
        <v>0.60763388115447003</v>
      </c>
      <c r="F739">
        <v>1</v>
      </c>
      <c r="G739" s="1" t="s">
        <v>912</v>
      </c>
      <c r="H739" t="s">
        <v>912</v>
      </c>
      <c r="I739" t="s">
        <v>912</v>
      </c>
    </row>
    <row r="740" spans="1:9" x14ac:dyDescent="0.2">
      <c r="A740">
        <v>87</v>
      </c>
      <c r="B740">
        <v>4</v>
      </c>
      <c r="C740" t="s">
        <v>8</v>
      </c>
      <c r="D740">
        <v>1</v>
      </c>
      <c r="E740">
        <v>0.69715018034912601</v>
      </c>
      <c r="F740">
        <v>1</v>
      </c>
      <c r="G740" s="1" t="s">
        <v>913</v>
      </c>
      <c r="H740" t="s">
        <v>913</v>
      </c>
      <c r="I740" t="s">
        <v>913</v>
      </c>
    </row>
    <row r="741" spans="1:9" x14ac:dyDescent="0.2">
      <c r="A741">
        <v>85</v>
      </c>
      <c r="B741">
        <v>12</v>
      </c>
      <c r="C741" t="s">
        <v>8</v>
      </c>
      <c r="D741">
        <v>1</v>
      </c>
      <c r="E741">
        <v>0.95274996373336795</v>
      </c>
      <c r="F741">
        <v>2</v>
      </c>
      <c r="G741" s="1" t="s">
        <v>914</v>
      </c>
      <c r="H741" t="s">
        <v>915</v>
      </c>
      <c r="I741" t="s">
        <v>914</v>
      </c>
    </row>
    <row r="742" spans="1:9" x14ac:dyDescent="0.2">
      <c r="A742">
        <v>79</v>
      </c>
      <c r="B742">
        <v>11</v>
      </c>
      <c r="C742" t="s">
        <v>16</v>
      </c>
      <c r="D742">
        <v>0</v>
      </c>
      <c r="E742">
        <v>0.93837962322868396</v>
      </c>
      <c r="F742">
        <v>1</v>
      </c>
      <c r="G742" s="1" t="s">
        <v>916</v>
      </c>
      <c r="H742" t="s">
        <v>916</v>
      </c>
      <c r="I742" t="s">
        <v>916</v>
      </c>
    </row>
    <row r="743" spans="1:9" x14ac:dyDescent="0.2">
      <c r="A743">
        <v>47</v>
      </c>
      <c r="B743">
        <v>10</v>
      </c>
      <c r="C743" t="s">
        <v>10</v>
      </c>
      <c r="D743">
        <v>0</v>
      </c>
      <c r="E743">
        <v>0.69329811993520696</v>
      </c>
      <c r="F743">
        <v>2</v>
      </c>
      <c r="G743" s="1" t="s">
        <v>917</v>
      </c>
      <c r="H743" t="s">
        <v>918</v>
      </c>
      <c r="I743" t="s">
        <v>917</v>
      </c>
    </row>
    <row r="744" spans="1:9" x14ac:dyDescent="0.2">
      <c r="A744">
        <v>75</v>
      </c>
      <c r="B744">
        <v>13</v>
      </c>
      <c r="C744" t="s">
        <v>8</v>
      </c>
      <c r="D744">
        <v>2</v>
      </c>
      <c r="E744">
        <v>0.63694290886633098</v>
      </c>
      <c r="F744">
        <v>1</v>
      </c>
      <c r="G744" s="1" t="s">
        <v>919</v>
      </c>
      <c r="H744" t="s">
        <v>919</v>
      </c>
      <c r="I744" t="s">
        <v>919</v>
      </c>
    </row>
    <row r="745" spans="1:9" x14ac:dyDescent="0.2">
      <c r="A745">
        <v>24</v>
      </c>
      <c r="B745">
        <v>5</v>
      </c>
      <c r="C745" t="s">
        <v>8</v>
      </c>
      <c r="D745">
        <v>0</v>
      </c>
      <c r="E745">
        <v>0.92545810167211995</v>
      </c>
      <c r="F745">
        <v>1</v>
      </c>
      <c r="G745" s="1" t="s">
        <v>920</v>
      </c>
      <c r="H745" t="s">
        <v>920</v>
      </c>
      <c r="I745" t="s">
        <v>920</v>
      </c>
    </row>
    <row r="746" spans="1:9" x14ac:dyDescent="0.2">
      <c r="A746">
        <v>69</v>
      </c>
      <c r="B746">
        <v>10</v>
      </c>
      <c r="C746" t="s">
        <v>16</v>
      </c>
      <c r="D746">
        <v>2</v>
      </c>
      <c r="E746">
        <v>0.82705294585321099</v>
      </c>
      <c r="F746">
        <v>2</v>
      </c>
      <c r="G746" s="1" t="s">
        <v>921</v>
      </c>
      <c r="H746" t="s">
        <v>922</v>
      </c>
      <c r="I746" t="s">
        <v>921</v>
      </c>
    </row>
    <row r="747" spans="1:9" x14ac:dyDescent="0.2">
      <c r="A747">
        <v>59</v>
      </c>
      <c r="B747">
        <v>11</v>
      </c>
      <c r="C747" t="s">
        <v>8</v>
      </c>
      <c r="D747">
        <v>0</v>
      </c>
      <c r="E747">
        <v>0.63332129316404495</v>
      </c>
      <c r="F747">
        <v>1</v>
      </c>
      <c r="G747" s="1" t="s">
        <v>923</v>
      </c>
      <c r="H747" t="s">
        <v>923</v>
      </c>
      <c r="I747" t="s">
        <v>923</v>
      </c>
    </row>
    <row r="748" spans="1:9" x14ac:dyDescent="0.2">
      <c r="A748">
        <v>46</v>
      </c>
      <c r="B748">
        <v>12</v>
      </c>
      <c r="C748" t="s">
        <v>16</v>
      </c>
      <c r="D748">
        <v>0</v>
      </c>
      <c r="E748">
        <v>0.91502315923571598</v>
      </c>
      <c r="F748">
        <v>1</v>
      </c>
      <c r="G748" s="1" t="s">
        <v>924</v>
      </c>
      <c r="H748" t="s">
        <v>924</v>
      </c>
      <c r="I748" t="s">
        <v>924</v>
      </c>
    </row>
    <row r="749" spans="1:9" x14ac:dyDescent="0.2">
      <c r="A749">
        <v>56</v>
      </c>
      <c r="B749">
        <v>0</v>
      </c>
      <c r="C749" t="s">
        <v>10</v>
      </c>
      <c r="D749">
        <v>1</v>
      </c>
      <c r="E749">
        <v>0.88189692690502897</v>
      </c>
      <c r="F749">
        <v>1</v>
      </c>
      <c r="G749" s="1" t="s">
        <v>925</v>
      </c>
      <c r="H749" t="s">
        <v>925</v>
      </c>
      <c r="I749" t="s">
        <v>925</v>
      </c>
    </row>
    <row r="750" spans="1:9" x14ac:dyDescent="0.2">
      <c r="A750">
        <v>64</v>
      </c>
      <c r="B750">
        <v>8</v>
      </c>
      <c r="C750" t="s">
        <v>16</v>
      </c>
      <c r="D750">
        <v>1</v>
      </c>
      <c r="E750">
        <v>0.66581180202774704</v>
      </c>
      <c r="F750">
        <v>1</v>
      </c>
      <c r="G750" s="1" t="s">
        <v>926</v>
      </c>
      <c r="H750" t="s">
        <v>926</v>
      </c>
      <c r="I750" t="s">
        <v>926</v>
      </c>
    </row>
    <row r="751" spans="1:9" x14ac:dyDescent="0.2">
      <c r="A751">
        <v>59</v>
      </c>
      <c r="B751">
        <v>3</v>
      </c>
      <c r="C751" t="s">
        <v>16</v>
      </c>
      <c r="D751">
        <v>0</v>
      </c>
      <c r="E751">
        <v>0.66144119808450297</v>
      </c>
      <c r="F751">
        <v>1</v>
      </c>
      <c r="G751" s="1" t="s">
        <v>927</v>
      </c>
      <c r="H751" t="s">
        <v>927</v>
      </c>
      <c r="I751" t="s">
        <v>927</v>
      </c>
    </row>
    <row r="752" spans="1:9" x14ac:dyDescent="0.2">
      <c r="A752">
        <v>78</v>
      </c>
      <c r="B752">
        <v>14</v>
      </c>
      <c r="C752" t="s">
        <v>16</v>
      </c>
      <c r="D752">
        <v>0</v>
      </c>
      <c r="E752">
        <v>0.84755996835883696</v>
      </c>
      <c r="F752">
        <v>1</v>
      </c>
      <c r="G752" s="1" t="s">
        <v>928</v>
      </c>
      <c r="H752" t="s">
        <v>928</v>
      </c>
      <c r="I752" t="s">
        <v>928</v>
      </c>
    </row>
    <row r="753" spans="1:9" x14ac:dyDescent="0.2">
      <c r="A753">
        <v>42</v>
      </c>
      <c r="B753">
        <v>4</v>
      </c>
      <c r="C753" t="s">
        <v>8</v>
      </c>
      <c r="D753">
        <v>0</v>
      </c>
      <c r="E753">
        <v>0.51575032982509605</v>
      </c>
      <c r="F753">
        <v>1</v>
      </c>
      <c r="G753" s="1" t="s">
        <v>929</v>
      </c>
      <c r="H753" t="s">
        <v>929</v>
      </c>
      <c r="I753" t="s">
        <v>929</v>
      </c>
    </row>
    <row r="754" spans="1:9" x14ac:dyDescent="0.2">
      <c r="A754">
        <v>80</v>
      </c>
      <c r="B754">
        <v>9</v>
      </c>
      <c r="C754" t="s">
        <v>8</v>
      </c>
      <c r="D754">
        <v>1</v>
      </c>
      <c r="E754">
        <v>0.799144350108691</v>
      </c>
      <c r="F754">
        <v>2</v>
      </c>
      <c r="G754" s="1" t="s">
        <v>930</v>
      </c>
      <c r="H754" t="s">
        <v>931</v>
      </c>
      <c r="I754" t="s">
        <v>930</v>
      </c>
    </row>
    <row r="755" spans="1:9" x14ac:dyDescent="0.2">
      <c r="A755">
        <v>52</v>
      </c>
      <c r="B755">
        <v>13</v>
      </c>
      <c r="C755" t="s">
        <v>8</v>
      </c>
      <c r="D755">
        <v>0</v>
      </c>
      <c r="E755">
        <v>0.73630494775716204</v>
      </c>
      <c r="F755">
        <v>1</v>
      </c>
      <c r="G755" s="1" t="s">
        <v>932</v>
      </c>
      <c r="H755" t="s">
        <v>932</v>
      </c>
      <c r="I755" t="s">
        <v>932</v>
      </c>
    </row>
    <row r="756" spans="1:9" x14ac:dyDescent="0.2">
      <c r="A756">
        <v>65</v>
      </c>
      <c r="B756">
        <v>8</v>
      </c>
      <c r="C756" t="s">
        <v>8</v>
      </c>
      <c r="D756">
        <v>0</v>
      </c>
      <c r="E756">
        <v>0.92820258589927096</v>
      </c>
      <c r="F756">
        <v>2</v>
      </c>
      <c r="G756" s="1" t="s">
        <v>933</v>
      </c>
      <c r="H756" t="s">
        <v>934</v>
      </c>
      <c r="I756" t="s">
        <v>933</v>
      </c>
    </row>
    <row r="757" spans="1:9" x14ac:dyDescent="0.2">
      <c r="A757">
        <v>84</v>
      </c>
      <c r="B757">
        <v>4</v>
      </c>
      <c r="C757" t="s">
        <v>8</v>
      </c>
      <c r="D757">
        <v>0</v>
      </c>
      <c r="E757">
        <v>0.90254893084056698</v>
      </c>
      <c r="F757">
        <v>2</v>
      </c>
      <c r="G757" s="1" t="s">
        <v>935</v>
      </c>
      <c r="H757" t="s">
        <v>936</v>
      </c>
      <c r="I757" t="s">
        <v>935</v>
      </c>
    </row>
    <row r="758" spans="1:9" x14ac:dyDescent="0.2">
      <c r="A758">
        <v>89</v>
      </c>
      <c r="B758">
        <v>10</v>
      </c>
      <c r="C758" t="s">
        <v>8</v>
      </c>
      <c r="D758">
        <v>0</v>
      </c>
      <c r="E758">
        <v>0.66148253635037702</v>
      </c>
      <c r="F758">
        <v>1</v>
      </c>
      <c r="G758" s="1" t="s">
        <v>937</v>
      </c>
      <c r="H758" t="s">
        <v>937</v>
      </c>
      <c r="I758" t="s">
        <v>937</v>
      </c>
    </row>
    <row r="759" spans="1:9" x14ac:dyDescent="0.2">
      <c r="A759">
        <v>73</v>
      </c>
      <c r="B759">
        <v>12</v>
      </c>
      <c r="C759" t="s">
        <v>8</v>
      </c>
      <c r="D759">
        <v>1</v>
      </c>
      <c r="E759">
        <v>0.74931039905641195</v>
      </c>
      <c r="F759">
        <v>1</v>
      </c>
      <c r="G759" s="1" t="s">
        <v>938</v>
      </c>
      <c r="H759" t="s">
        <v>938</v>
      </c>
      <c r="I759" t="s">
        <v>938</v>
      </c>
    </row>
    <row r="760" spans="1:9" x14ac:dyDescent="0.2">
      <c r="A760">
        <v>68</v>
      </c>
      <c r="B760">
        <v>13</v>
      </c>
      <c r="C760" t="s">
        <v>10</v>
      </c>
      <c r="D760">
        <v>0</v>
      </c>
      <c r="E760">
        <v>0.94332485075574402</v>
      </c>
      <c r="F760">
        <v>3</v>
      </c>
      <c r="G760" s="1" t="s">
        <v>939</v>
      </c>
      <c r="H760" t="s">
        <v>940</v>
      </c>
      <c r="I760" t="s">
        <v>939</v>
      </c>
    </row>
    <row r="761" spans="1:9" x14ac:dyDescent="0.2">
      <c r="A761">
        <v>80</v>
      </c>
      <c r="B761">
        <v>10</v>
      </c>
      <c r="C761" t="s">
        <v>16</v>
      </c>
      <c r="D761">
        <v>0</v>
      </c>
      <c r="E761">
        <v>0.72453158174175802</v>
      </c>
      <c r="F761">
        <v>1</v>
      </c>
      <c r="G761" s="1" t="s">
        <v>941</v>
      </c>
      <c r="H761" t="s">
        <v>941</v>
      </c>
      <c r="I761" t="s">
        <v>941</v>
      </c>
    </row>
    <row r="762" spans="1:9" x14ac:dyDescent="0.2">
      <c r="A762">
        <v>30</v>
      </c>
      <c r="B762">
        <v>12</v>
      </c>
      <c r="C762" t="s">
        <v>8</v>
      </c>
      <c r="D762">
        <v>0</v>
      </c>
      <c r="E762">
        <v>0.57919338543433696</v>
      </c>
      <c r="F762">
        <v>1</v>
      </c>
      <c r="G762" s="1" t="s">
        <v>942</v>
      </c>
      <c r="H762" t="s">
        <v>942</v>
      </c>
      <c r="I762" t="s">
        <v>942</v>
      </c>
    </row>
    <row r="763" spans="1:9" x14ac:dyDescent="0.2">
      <c r="A763">
        <v>83</v>
      </c>
      <c r="B763">
        <v>11</v>
      </c>
      <c r="C763" t="s">
        <v>16</v>
      </c>
      <c r="D763">
        <v>0</v>
      </c>
      <c r="E763">
        <v>0.970555781270377</v>
      </c>
      <c r="F763">
        <v>1</v>
      </c>
      <c r="G763" s="1" t="s">
        <v>943</v>
      </c>
      <c r="H763" t="s">
        <v>943</v>
      </c>
      <c r="I763" t="s">
        <v>943</v>
      </c>
    </row>
    <row r="764" spans="1:9" x14ac:dyDescent="0.2">
      <c r="A764">
        <v>87</v>
      </c>
      <c r="B764">
        <v>12</v>
      </c>
      <c r="C764" t="s">
        <v>10</v>
      </c>
      <c r="D764">
        <v>2</v>
      </c>
      <c r="E764">
        <v>0.98417958663776495</v>
      </c>
      <c r="F764">
        <v>2</v>
      </c>
      <c r="G764" s="1" t="s">
        <v>944</v>
      </c>
      <c r="H764" t="s">
        <v>945</v>
      </c>
      <c r="I764" t="s">
        <v>944</v>
      </c>
    </row>
    <row r="765" spans="1:9" x14ac:dyDescent="0.2">
      <c r="A765">
        <v>44</v>
      </c>
      <c r="B765">
        <v>5</v>
      </c>
      <c r="C765" t="s">
        <v>10</v>
      </c>
      <c r="D765">
        <v>2</v>
      </c>
      <c r="E765">
        <v>0.79069774306844898</v>
      </c>
      <c r="F765">
        <v>2</v>
      </c>
      <c r="G765" s="1" t="s">
        <v>946</v>
      </c>
      <c r="H765" t="s">
        <v>947</v>
      </c>
      <c r="I765" t="s">
        <v>946</v>
      </c>
    </row>
    <row r="766" spans="1:9" x14ac:dyDescent="0.2">
      <c r="A766">
        <v>54</v>
      </c>
      <c r="B766">
        <v>12</v>
      </c>
      <c r="C766" t="s">
        <v>8</v>
      </c>
      <c r="D766">
        <v>0</v>
      </c>
      <c r="E766">
        <v>0.68522970273625095</v>
      </c>
      <c r="F766">
        <v>1</v>
      </c>
      <c r="G766" s="1" t="s">
        <v>948</v>
      </c>
      <c r="H766" t="s">
        <v>948</v>
      </c>
      <c r="I766" t="s">
        <v>948</v>
      </c>
    </row>
    <row r="767" spans="1:9" x14ac:dyDescent="0.2">
      <c r="A767">
        <v>57</v>
      </c>
      <c r="B767">
        <v>12</v>
      </c>
      <c r="C767" t="s">
        <v>8</v>
      </c>
      <c r="D767">
        <v>1</v>
      </c>
      <c r="E767">
        <v>0.91236021299846504</v>
      </c>
      <c r="F767">
        <v>1</v>
      </c>
      <c r="G767" s="1" t="s">
        <v>949</v>
      </c>
      <c r="H767" t="s">
        <v>949</v>
      </c>
      <c r="I767" t="s">
        <v>949</v>
      </c>
    </row>
    <row r="768" spans="1:9" x14ac:dyDescent="0.2">
      <c r="A768">
        <v>62</v>
      </c>
      <c r="B768">
        <v>14</v>
      </c>
      <c r="C768" t="s">
        <v>16</v>
      </c>
      <c r="D768">
        <v>0</v>
      </c>
      <c r="E768">
        <v>0.66411252226680495</v>
      </c>
      <c r="F768">
        <v>3</v>
      </c>
      <c r="G768" s="1" t="s">
        <v>950</v>
      </c>
      <c r="H768" t="s">
        <v>951</v>
      </c>
      <c r="I768" t="s">
        <v>950</v>
      </c>
    </row>
    <row r="769" spans="1:9" x14ac:dyDescent="0.2">
      <c r="A769">
        <v>81</v>
      </c>
      <c r="B769">
        <v>4</v>
      </c>
      <c r="C769" t="s">
        <v>10</v>
      </c>
      <c r="D769">
        <v>0</v>
      </c>
      <c r="E769">
        <v>0.565980134764686</v>
      </c>
      <c r="F769">
        <v>2</v>
      </c>
      <c r="G769" s="1" t="s">
        <v>952</v>
      </c>
      <c r="H769" t="s">
        <v>953</v>
      </c>
      <c r="I769" t="s">
        <v>952</v>
      </c>
    </row>
    <row r="770" spans="1:9" x14ac:dyDescent="0.2">
      <c r="A770">
        <v>82</v>
      </c>
      <c r="B770">
        <v>1</v>
      </c>
      <c r="C770" t="s">
        <v>8</v>
      </c>
      <c r="D770">
        <v>1</v>
      </c>
      <c r="E770">
        <v>0.57276088756043497</v>
      </c>
      <c r="F770">
        <v>1</v>
      </c>
      <c r="G770" s="1" t="s">
        <v>954</v>
      </c>
      <c r="H770" t="s">
        <v>954</v>
      </c>
      <c r="I770" t="s">
        <v>954</v>
      </c>
    </row>
    <row r="771" spans="1:9" x14ac:dyDescent="0.2">
      <c r="A771">
        <v>30</v>
      </c>
      <c r="B771">
        <v>12</v>
      </c>
      <c r="C771" t="s">
        <v>8</v>
      </c>
      <c r="D771">
        <v>0</v>
      </c>
      <c r="E771">
        <v>0.550662796129473</v>
      </c>
      <c r="F771">
        <v>1</v>
      </c>
      <c r="G771" s="1" t="s">
        <v>955</v>
      </c>
      <c r="H771" t="s">
        <v>955</v>
      </c>
      <c r="I771" t="s">
        <v>955</v>
      </c>
    </row>
    <row r="772" spans="1:9" x14ac:dyDescent="0.2">
      <c r="A772">
        <v>63</v>
      </c>
      <c r="B772">
        <v>14</v>
      </c>
      <c r="C772" t="s">
        <v>16</v>
      </c>
      <c r="D772">
        <v>1</v>
      </c>
      <c r="E772">
        <v>0.59334161109290995</v>
      </c>
      <c r="F772">
        <v>1</v>
      </c>
      <c r="G772" s="1" t="s">
        <v>956</v>
      </c>
      <c r="H772" t="s">
        <v>956</v>
      </c>
      <c r="I772" t="s">
        <v>956</v>
      </c>
    </row>
    <row r="773" spans="1:9" x14ac:dyDescent="0.2">
      <c r="A773">
        <v>70</v>
      </c>
      <c r="B773">
        <v>11</v>
      </c>
      <c r="C773" t="s">
        <v>8</v>
      </c>
      <c r="D773">
        <v>3</v>
      </c>
      <c r="E773">
        <v>0.72445985197555296</v>
      </c>
      <c r="F773">
        <v>1</v>
      </c>
      <c r="G773" s="1" t="s">
        <v>957</v>
      </c>
      <c r="H773" t="s">
        <v>957</v>
      </c>
      <c r="I773" t="s">
        <v>957</v>
      </c>
    </row>
    <row r="774" spans="1:9" x14ac:dyDescent="0.2">
      <c r="A774">
        <v>59</v>
      </c>
      <c r="B774">
        <v>7</v>
      </c>
      <c r="C774" t="s">
        <v>16</v>
      </c>
      <c r="D774">
        <v>0</v>
      </c>
      <c r="E774">
        <v>0.609470777329989</v>
      </c>
      <c r="F774">
        <v>1</v>
      </c>
      <c r="G774" s="1" t="s">
        <v>958</v>
      </c>
      <c r="H774" t="s">
        <v>958</v>
      </c>
      <c r="I774" t="s">
        <v>958</v>
      </c>
    </row>
    <row r="775" spans="1:9" x14ac:dyDescent="0.2">
      <c r="A775">
        <v>57</v>
      </c>
      <c r="B775">
        <v>7</v>
      </c>
      <c r="C775" t="s">
        <v>16</v>
      </c>
      <c r="D775">
        <v>1</v>
      </c>
      <c r="E775">
        <v>0.80837752087973103</v>
      </c>
      <c r="F775">
        <v>2</v>
      </c>
      <c r="G775" s="1" t="s">
        <v>959</v>
      </c>
      <c r="H775" t="s">
        <v>960</v>
      </c>
      <c r="I775" t="s">
        <v>959</v>
      </c>
    </row>
    <row r="776" spans="1:9" x14ac:dyDescent="0.2">
      <c r="A776">
        <v>64</v>
      </c>
      <c r="B776">
        <v>10</v>
      </c>
      <c r="C776" t="s">
        <v>8</v>
      </c>
      <c r="D776">
        <v>0</v>
      </c>
      <c r="E776">
        <v>0.90192388102877896</v>
      </c>
      <c r="F776">
        <v>1</v>
      </c>
      <c r="G776" s="1" t="s">
        <v>961</v>
      </c>
      <c r="H776" t="s">
        <v>961</v>
      </c>
      <c r="I776" t="s">
        <v>961</v>
      </c>
    </row>
    <row r="777" spans="1:9" x14ac:dyDescent="0.2">
      <c r="A777">
        <v>66</v>
      </c>
      <c r="B777">
        <v>12</v>
      </c>
      <c r="C777" t="s">
        <v>8</v>
      </c>
      <c r="D777">
        <v>0</v>
      </c>
      <c r="E777">
        <v>0.88778847036883202</v>
      </c>
      <c r="F777">
        <v>2</v>
      </c>
      <c r="G777" s="1" t="s">
        <v>962</v>
      </c>
      <c r="H777" t="s">
        <v>963</v>
      </c>
      <c r="I777" t="s">
        <v>962</v>
      </c>
    </row>
    <row r="778" spans="1:9" x14ac:dyDescent="0.2">
      <c r="A778">
        <v>52</v>
      </c>
      <c r="B778">
        <v>9</v>
      </c>
      <c r="C778" t="s">
        <v>8</v>
      </c>
      <c r="D778">
        <v>1</v>
      </c>
      <c r="E778">
        <v>0.79218625451903801</v>
      </c>
      <c r="F778">
        <v>1</v>
      </c>
      <c r="G778" s="1" t="s">
        <v>964</v>
      </c>
      <c r="H778" t="s">
        <v>964</v>
      </c>
      <c r="I778" t="s">
        <v>964</v>
      </c>
    </row>
    <row r="779" spans="1:9" x14ac:dyDescent="0.2">
      <c r="A779">
        <v>51</v>
      </c>
      <c r="B779">
        <v>10</v>
      </c>
      <c r="C779" t="s">
        <v>16</v>
      </c>
      <c r="D779">
        <v>0</v>
      </c>
      <c r="E779">
        <v>0.53332227421924505</v>
      </c>
      <c r="F779">
        <v>1</v>
      </c>
      <c r="G779" s="1" t="s">
        <v>965</v>
      </c>
      <c r="H779" t="s">
        <v>965</v>
      </c>
      <c r="I779" t="s">
        <v>965</v>
      </c>
    </row>
    <row r="780" spans="1:9" x14ac:dyDescent="0.2">
      <c r="A780">
        <v>20</v>
      </c>
      <c r="B780">
        <v>11</v>
      </c>
      <c r="C780" t="s">
        <v>8</v>
      </c>
      <c r="D780">
        <v>0</v>
      </c>
      <c r="E780">
        <v>0.96783707593567703</v>
      </c>
      <c r="F780">
        <v>2</v>
      </c>
      <c r="G780" s="1" t="s">
        <v>966</v>
      </c>
      <c r="H780" t="s">
        <v>967</v>
      </c>
      <c r="I780" t="s">
        <v>966</v>
      </c>
    </row>
    <row r="781" spans="1:9" x14ac:dyDescent="0.2">
      <c r="A781">
        <v>86</v>
      </c>
      <c r="B781">
        <v>12</v>
      </c>
      <c r="C781" t="s">
        <v>8</v>
      </c>
      <c r="D781">
        <v>1</v>
      </c>
      <c r="E781">
        <v>0.97138972103130095</v>
      </c>
      <c r="F781">
        <v>1</v>
      </c>
      <c r="G781" s="1" t="s">
        <v>968</v>
      </c>
      <c r="H781" t="s">
        <v>968</v>
      </c>
      <c r="I781" t="s">
        <v>968</v>
      </c>
    </row>
    <row r="782" spans="1:9" x14ac:dyDescent="0.2">
      <c r="A782">
        <v>84</v>
      </c>
      <c r="B782">
        <v>4</v>
      </c>
      <c r="C782" t="s">
        <v>10</v>
      </c>
      <c r="D782">
        <v>0</v>
      </c>
      <c r="E782">
        <v>0.91985255316831205</v>
      </c>
      <c r="F782">
        <v>1</v>
      </c>
      <c r="G782" s="1" t="s">
        <v>969</v>
      </c>
      <c r="H782" t="s">
        <v>969</v>
      </c>
      <c r="I782" t="s">
        <v>969</v>
      </c>
    </row>
    <row r="783" spans="1:9" x14ac:dyDescent="0.2">
      <c r="A783">
        <v>84</v>
      </c>
      <c r="B783">
        <v>12</v>
      </c>
      <c r="C783" t="s">
        <v>10</v>
      </c>
      <c r="D783">
        <v>2</v>
      </c>
      <c r="E783">
        <v>0.59398309700190999</v>
      </c>
      <c r="F783">
        <v>2</v>
      </c>
      <c r="G783" s="1" t="s">
        <v>970</v>
      </c>
      <c r="H783" t="s">
        <v>971</v>
      </c>
      <c r="I783" t="s">
        <v>970</v>
      </c>
    </row>
    <row r="784" spans="1:9" x14ac:dyDescent="0.2">
      <c r="A784">
        <v>59</v>
      </c>
      <c r="B784">
        <v>12</v>
      </c>
      <c r="C784" t="s">
        <v>16</v>
      </c>
      <c r="D784">
        <v>0</v>
      </c>
      <c r="E784">
        <v>0.96144324040506002</v>
      </c>
      <c r="F784">
        <v>1</v>
      </c>
      <c r="G784" s="1" t="s">
        <v>972</v>
      </c>
      <c r="H784" t="s">
        <v>972</v>
      </c>
      <c r="I784" t="s">
        <v>972</v>
      </c>
    </row>
    <row r="785" spans="1:9" x14ac:dyDescent="0.2">
      <c r="A785">
        <v>44</v>
      </c>
      <c r="B785">
        <v>12</v>
      </c>
      <c r="C785" t="s">
        <v>8</v>
      </c>
      <c r="D785">
        <v>0</v>
      </c>
      <c r="E785">
        <v>0.66229033644776802</v>
      </c>
      <c r="F785">
        <v>1</v>
      </c>
      <c r="G785" s="1" t="s">
        <v>973</v>
      </c>
      <c r="H785" t="s">
        <v>973</v>
      </c>
      <c r="I785" t="s">
        <v>973</v>
      </c>
    </row>
    <row r="786" spans="1:9" x14ac:dyDescent="0.2">
      <c r="A786">
        <v>58</v>
      </c>
      <c r="B786">
        <v>6</v>
      </c>
      <c r="C786" t="s">
        <v>16</v>
      </c>
      <c r="D786">
        <v>0</v>
      </c>
      <c r="E786">
        <v>0.89418518263846603</v>
      </c>
      <c r="F786">
        <v>1</v>
      </c>
      <c r="G786" s="1" t="s">
        <v>974</v>
      </c>
      <c r="H786" t="s">
        <v>974</v>
      </c>
      <c r="I786" t="s">
        <v>974</v>
      </c>
    </row>
    <row r="787" spans="1:9" x14ac:dyDescent="0.2">
      <c r="A787">
        <v>35</v>
      </c>
      <c r="B787">
        <v>4</v>
      </c>
      <c r="C787" t="s">
        <v>16</v>
      </c>
      <c r="D787">
        <v>0</v>
      </c>
      <c r="E787">
        <v>0.80313922383356795</v>
      </c>
      <c r="F787">
        <v>1</v>
      </c>
      <c r="G787" s="1" t="s">
        <v>975</v>
      </c>
      <c r="H787" t="s">
        <v>975</v>
      </c>
      <c r="I787" t="s">
        <v>975</v>
      </c>
    </row>
    <row r="788" spans="1:9" x14ac:dyDescent="0.2">
      <c r="A788">
        <v>82</v>
      </c>
      <c r="B788">
        <v>5</v>
      </c>
      <c r="C788" t="s">
        <v>16</v>
      </c>
      <c r="D788">
        <v>1</v>
      </c>
      <c r="E788">
        <v>0.94934045954141799</v>
      </c>
      <c r="F788">
        <v>1</v>
      </c>
      <c r="G788" s="1" t="s">
        <v>976</v>
      </c>
      <c r="H788" t="s">
        <v>976</v>
      </c>
      <c r="I788" t="s">
        <v>976</v>
      </c>
    </row>
    <row r="789" spans="1:9" x14ac:dyDescent="0.2">
      <c r="A789">
        <v>66</v>
      </c>
      <c r="B789">
        <v>14</v>
      </c>
      <c r="C789" t="s">
        <v>10</v>
      </c>
      <c r="D789">
        <v>0</v>
      </c>
      <c r="E789">
        <v>0.89181332266889501</v>
      </c>
      <c r="F789">
        <v>2</v>
      </c>
      <c r="G789" s="1" t="s">
        <v>977</v>
      </c>
      <c r="H789" t="s">
        <v>978</v>
      </c>
      <c r="I789" t="s">
        <v>977</v>
      </c>
    </row>
    <row r="790" spans="1:9" x14ac:dyDescent="0.2">
      <c r="A790">
        <v>70</v>
      </c>
      <c r="B790">
        <v>14</v>
      </c>
      <c r="C790" t="s">
        <v>10</v>
      </c>
      <c r="D790">
        <v>1</v>
      </c>
      <c r="E790">
        <v>0.750161876785569</v>
      </c>
      <c r="F790">
        <v>2</v>
      </c>
      <c r="G790" s="1" t="s">
        <v>979</v>
      </c>
      <c r="H790" t="s">
        <v>980</v>
      </c>
      <c r="I790" t="s">
        <v>979</v>
      </c>
    </row>
    <row r="791" spans="1:9" x14ac:dyDescent="0.2">
      <c r="A791">
        <v>85</v>
      </c>
      <c r="B791">
        <v>9</v>
      </c>
      <c r="C791" t="s">
        <v>10</v>
      </c>
      <c r="D791">
        <v>0</v>
      </c>
      <c r="E791">
        <v>0.805532513302751</v>
      </c>
      <c r="F791">
        <v>2</v>
      </c>
      <c r="G791" s="1" t="s">
        <v>981</v>
      </c>
      <c r="H791" t="s">
        <v>982</v>
      </c>
      <c r="I791" t="s">
        <v>981</v>
      </c>
    </row>
    <row r="792" spans="1:9" x14ac:dyDescent="0.2">
      <c r="A792">
        <v>45</v>
      </c>
      <c r="B792">
        <v>7</v>
      </c>
      <c r="C792" t="s">
        <v>10</v>
      </c>
      <c r="D792">
        <v>0</v>
      </c>
      <c r="E792">
        <v>0.513081971905194</v>
      </c>
      <c r="F792">
        <v>1</v>
      </c>
      <c r="G792" s="1" t="s">
        <v>983</v>
      </c>
      <c r="H792" t="s">
        <v>983</v>
      </c>
      <c r="I792" t="s">
        <v>983</v>
      </c>
    </row>
    <row r="793" spans="1:9" x14ac:dyDescent="0.2">
      <c r="A793">
        <v>89</v>
      </c>
      <c r="B793">
        <v>6</v>
      </c>
      <c r="C793" t="s">
        <v>8</v>
      </c>
      <c r="D793">
        <v>0</v>
      </c>
      <c r="E793">
        <v>0.62590499327052396</v>
      </c>
      <c r="F793">
        <v>2</v>
      </c>
      <c r="G793" s="1" t="s">
        <v>984</v>
      </c>
      <c r="H793" t="s">
        <v>985</v>
      </c>
      <c r="I793" t="s">
        <v>984</v>
      </c>
    </row>
    <row r="794" spans="1:9" x14ac:dyDescent="0.2">
      <c r="A794">
        <v>28</v>
      </c>
      <c r="B794">
        <v>8</v>
      </c>
      <c r="C794" t="s">
        <v>10</v>
      </c>
      <c r="D794">
        <v>0</v>
      </c>
      <c r="E794">
        <v>0.721118947374634</v>
      </c>
      <c r="F794">
        <v>1</v>
      </c>
      <c r="G794" s="1" t="s">
        <v>986</v>
      </c>
      <c r="H794" t="s">
        <v>986</v>
      </c>
      <c r="I794" t="s">
        <v>986</v>
      </c>
    </row>
    <row r="795" spans="1:9" x14ac:dyDescent="0.2">
      <c r="A795">
        <v>69</v>
      </c>
      <c r="B795">
        <v>11</v>
      </c>
      <c r="C795" t="s">
        <v>8</v>
      </c>
      <c r="D795">
        <v>1</v>
      </c>
      <c r="E795">
        <v>0.97173591528553505</v>
      </c>
      <c r="F795">
        <v>1</v>
      </c>
      <c r="G795" s="1" t="s">
        <v>987</v>
      </c>
      <c r="H795" t="s">
        <v>987</v>
      </c>
      <c r="I795" t="s">
        <v>987</v>
      </c>
    </row>
    <row r="796" spans="1:9" x14ac:dyDescent="0.2">
      <c r="A796">
        <v>85</v>
      </c>
      <c r="B796">
        <v>8</v>
      </c>
      <c r="C796" t="s">
        <v>10</v>
      </c>
      <c r="D796">
        <v>0</v>
      </c>
      <c r="E796">
        <v>0.940726830041967</v>
      </c>
      <c r="F796">
        <v>1</v>
      </c>
      <c r="G796" s="1" t="s">
        <v>988</v>
      </c>
      <c r="H796" t="s">
        <v>988</v>
      </c>
      <c r="I796" t="s">
        <v>988</v>
      </c>
    </row>
    <row r="797" spans="1:9" x14ac:dyDescent="0.2">
      <c r="A797">
        <v>90</v>
      </c>
      <c r="B797">
        <v>9</v>
      </c>
      <c r="C797" t="s">
        <v>8</v>
      </c>
      <c r="D797">
        <v>2</v>
      </c>
      <c r="E797">
        <v>0.60258039645850703</v>
      </c>
      <c r="F797">
        <v>2</v>
      </c>
      <c r="G797" s="1" t="s">
        <v>989</v>
      </c>
      <c r="H797" t="s">
        <v>990</v>
      </c>
      <c r="I797" t="s">
        <v>989</v>
      </c>
    </row>
    <row r="798" spans="1:9" x14ac:dyDescent="0.2">
      <c r="A798">
        <v>34</v>
      </c>
      <c r="B798">
        <v>7</v>
      </c>
      <c r="C798" t="s">
        <v>8</v>
      </c>
      <c r="D798">
        <v>0</v>
      </c>
      <c r="E798">
        <v>0.94542695698328305</v>
      </c>
      <c r="F798">
        <v>1</v>
      </c>
      <c r="G798" s="1" t="s">
        <v>991</v>
      </c>
      <c r="H798" t="s">
        <v>991</v>
      </c>
      <c r="I798" t="s">
        <v>991</v>
      </c>
    </row>
    <row r="799" spans="1:9" x14ac:dyDescent="0.2">
      <c r="A799">
        <v>76</v>
      </c>
      <c r="B799">
        <v>12</v>
      </c>
      <c r="C799" t="s">
        <v>8</v>
      </c>
      <c r="D799">
        <v>0</v>
      </c>
      <c r="E799">
        <v>0.75800961896311503</v>
      </c>
      <c r="F799">
        <v>2</v>
      </c>
      <c r="G799" s="1" t="s">
        <v>992</v>
      </c>
      <c r="H799" t="s">
        <v>993</v>
      </c>
      <c r="I799" t="s">
        <v>992</v>
      </c>
    </row>
    <row r="800" spans="1:9" x14ac:dyDescent="0.2">
      <c r="A800">
        <v>65</v>
      </c>
      <c r="B800">
        <v>6</v>
      </c>
      <c r="C800" t="s">
        <v>8</v>
      </c>
      <c r="D800">
        <v>2</v>
      </c>
      <c r="E800">
        <v>0.712400167365558</v>
      </c>
      <c r="F800">
        <v>2</v>
      </c>
      <c r="G800" s="1" t="s">
        <v>994</v>
      </c>
      <c r="H800" t="s">
        <v>995</v>
      </c>
      <c r="I800" t="s">
        <v>994</v>
      </c>
    </row>
    <row r="801" spans="1:9" x14ac:dyDescent="0.2">
      <c r="A801">
        <v>71</v>
      </c>
      <c r="B801">
        <v>5</v>
      </c>
      <c r="C801" t="s">
        <v>8</v>
      </c>
      <c r="D801">
        <v>1</v>
      </c>
      <c r="E801">
        <v>0.94522193388547704</v>
      </c>
      <c r="F801">
        <v>1</v>
      </c>
      <c r="G801" s="1" t="s">
        <v>996</v>
      </c>
      <c r="H801" t="s">
        <v>996</v>
      </c>
      <c r="I801" t="s">
        <v>996</v>
      </c>
    </row>
    <row r="802" spans="1:9" x14ac:dyDescent="0.2">
      <c r="A802">
        <v>67</v>
      </c>
      <c r="B802">
        <v>3</v>
      </c>
      <c r="C802" t="s">
        <v>10</v>
      </c>
      <c r="D802">
        <v>1</v>
      </c>
      <c r="E802">
        <v>0.82155644113663595</v>
      </c>
      <c r="F802">
        <v>1</v>
      </c>
      <c r="G802" s="1" t="s">
        <v>997</v>
      </c>
      <c r="H802" t="s">
        <v>997</v>
      </c>
      <c r="I802" t="s">
        <v>997</v>
      </c>
    </row>
    <row r="803" spans="1:9" x14ac:dyDescent="0.2">
      <c r="A803">
        <v>19</v>
      </c>
      <c r="B803">
        <v>6</v>
      </c>
      <c r="C803" t="s">
        <v>8</v>
      </c>
      <c r="D803">
        <v>3</v>
      </c>
      <c r="E803">
        <v>0.55025406391359899</v>
      </c>
      <c r="F803">
        <v>1</v>
      </c>
      <c r="G803" s="1" t="s">
        <v>998</v>
      </c>
      <c r="H803" t="s">
        <v>998</v>
      </c>
      <c r="I803" t="s">
        <v>998</v>
      </c>
    </row>
    <row r="804" spans="1:9" x14ac:dyDescent="0.2">
      <c r="A804">
        <v>80</v>
      </c>
      <c r="B804">
        <v>6</v>
      </c>
      <c r="C804" t="s">
        <v>8</v>
      </c>
      <c r="D804">
        <v>1</v>
      </c>
      <c r="E804">
        <v>0.89391619956586499</v>
      </c>
      <c r="F804">
        <v>1</v>
      </c>
      <c r="G804" s="1" t="s">
        <v>999</v>
      </c>
      <c r="H804" t="s">
        <v>999</v>
      </c>
      <c r="I804" t="s">
        <v>999</v>
      </c>
    </row>
    <row r="805" spans="1:9" x14ac:dyDescent="0.2">
      <c r="A805">
        <v>62</v>
      </c>
      <c r="B805">
        <v>9</v>
      </c>
      <c r="C805" t="s">
        <v>8</v>
      </c>
      <c r="D805">
        <v>1</v>
      </c>
      <c r="E805">
        <v>0.95863281015772395</v>
      </c>
      <c r="F805">
        <v>1</v>
      </c>
      <c r="G805" s="1" t="s">
        <v>1000</v>
      </c>
      <c r="H805" t="s">
        <v>1000</v>
      </c>
      <c r="I805" t="s">
        <v>1000</v>
      </c>
    </row>
    <row r="806" spans="1:9" x14ac:dyDescent="0.2">
      <c r="A806">
        <v>42</v>
      </c>
      <c r="B806">
        <v>4</v>
      </c>
      <c r="C806" t="s">
        <v>10</v>
      </c>
      <c r="D806">
        <v>1</v>
      </c>
      <c r="E806">
        <v>0.73542747413739595</v>
      </c>
      <c r="F806">
        <v>1</v>
      </c>
      <c r="G806" s="1" t="s">
        <v>1001</v>
      </c>
      <c r="H806" t="s">
        <v>1001</v>
      </c>
      <c r="I806" t="s">
        <v>1001</v>
      </c>
    </row>
    <row r="807" spans="1:9" x14ac:dyDescent="0.2">
      <c r="A807">
        <v>60</v>
      </c>
      <c r="B807">
        <v>10</v>
      </c>
      <c r="C807" t="s">
        <v>8</v>
      </c>
      <c r="D807">
        <v>1</v>
      </c>
      <c r="E807">
        <v>0.587745082215406</v>
      </c>
      <c r="F807">
        <v>1</v>
      </c>
      <c r="G807" s="1" t="s">
        <v>1002</v>
      </c>
      <c r="H807" t="s">
        <v>1002</v>
      </c>
      <c r="I807" t="s">
        <v>1002</v>
      </c>
    </row>
    <row r="808" spans="1:9" x14ac:dyDescent="0.2">
      <c r="A808">
        <v>78</v>
      </c>
      <c r="B808">
        <v>5</v>
      </c>
      <c r="C808" t="s">
        <v>8</v>
      </c>
      <c r="D808">
        <v>1</v>
      </c>
      <c r="E808">
        <v>0.89571661490481302</v>
      </c>
      <c r="F808">
        <v>1</v>
      </c>
      <c r="G808" s="1" t="s">
        <v>1003</v>
      </c>
      <c r="H808" t="s">
        <v>1003</v>
      </c>
      <c r="I808" t="s">
        <v>1003</v>
      </c>
    </row>
    <row r="809" spans="1:9" x14ac:dyDescent="0.2">
      <c r="A809">
        <v>42</v>
      </c>
      <c r="B809">
        <v>14</v>
      </c>
      <c r="C809" t="s">
        <v>10</v>
      </c>
      <c r="D809">
        <v>2</v>
      </c>
      <c r="E809">
        <v>0.76375467434991196</v>
      </c>
      <c r="F809">
        <v>1</v>
      </c>
      <c r="G809" s="1" t="s">
        <v>1004</v>
      </c>
      <c r="H809" t="s">
        <v>1004</v>
      </c>
      <c r="I809" t="s">
        <v>1004</v>
      </c>
    </row>
    <row r="810" spans="1:9" x14ac:dyDescent="0.2">
      <c r="A810">
        <v>54</v>
      </c>
      <c r="B810">
        <v>14</v>
      </c>
      <c r="C810" t="s">
        <v>8</v>
      </c>
      <c r="D810">
        <v>0</v>
      </c>
      <c r="E810">
        <v>0.88745104544796005</v>
      </c>
      <c r="F810">
        <v>1</v>
      </c>
      <c r="G810" s="1" t="s">
        <v>1005</v>
      </c>
      <c r="H810" t="s">
        <v>1005</v>
      </c>
      <c r="I810" t="s">
        <v>1005</v>
      </c>
    </row>
    <row r="811" spans="1:9" x14ac:dyDescent="0.2">
      <c r="A811">
        <v>26</v>
      </c>
      <c r="B811">
        <v>14</v>
      </c>
      <c r="C811" t="s">
        <v>8</v>
      </c>
      <c r="D811">
        <v>2</v>
      </c>
      <c r="E811">
        <v>0.84417521522846095</v>
      </c>
      <c r="F811">
        <v>1</v>
      </c>
      <c r="G811" s="1" t="s">
        <v>1006</v>
      </c>
      <c r="H811" t="s">
        <v>1006</v>
      </c>
      <c r="I811" t="s">
        <v>1006</v>
      </c>
    </row>
    <row r="812" spans="1:9" x14ac:dyDescent="0.2">
      <c r="A812">
        <v>79</v>
      </c>
      <c r="B812">
        <v>0</v>
      </c>
      <c r="C812" t="s">
        <v>8</v>
      </c>
      <c r="D812">
        <v>0</v>
      </c>
      <c r="E812">
        <v>0.82945711584761705</v>
      </c>
      <c r="F812">
        <v>2</v>
      </c>
      <c r="G812" s="1" t="s">
        <v>1007</v>
      </c>
      <c r="H812" t="s">
        <v>1008</v>
      </c>
      <c r="I812" t="s">
        <v>1007</v>
      </c>
    </row>
    <row r="813" spans="1:9" x14ac:dyDescent="0.2">
      <c r="A813">
        <v>72</v>
      </c>
      <c r="B813">
        <v>11</v>
      </c>
      <c r="C813" t="s">
        <v>16</v>
      </c>
      <c r="D813">
        <v>1</v>
      </c>
      <c r="E813">
        <v>0.55956807348411497</v>
      </c>
      <c r="F813">
        <v>1</v>
      </c>
      <c r="G813" s="1" t="s">
        <v>1009</v>
      </c>
      <c r="H813" t="s">
        <v>1009</v>
      </c>
      <c r="I813" t="s">
        <v>1009</v>
      </c>
    </row>
    <row r="814" spans="1:9" x14ac:dyDescent="0.2">
      <c r="A814">
        <v>67</v>
      </c>
      <c r="B814">
        <v>11</v>
      </c>
      <c r="C814" t="s">
        <v>16</v>
      </c>
      <c r="D814">
        <v>0</v>
      </c>
      <c r="E814">
        <v>0.77014116395730503</v>
      </c>
      <c r="F814">
        <v>1</v>
      </c>
      <c r="G814" s="1" t="s">
        <v>1010</v>
      </c>
      <c r="H814" t="s">
        <v>1010</v>
      </c>
      <c r="I814" t="s">
        <v>1010</v>
      </c>
    </row>
    <row r="815" spans="1:9" x14ac:dyDescent="0.2">
      <c r="A815">
        <v>66</v>
      </c>
      <c r="B815">
        <v>8</v>
      </c>
      <c r="C815" t="s">
        <v>16</v>
      </c>
      <c r="D815">
        <v>1</v>
      </c>
      <c r="E815">
        <v>0.89342433447018299</v>
      </c>
      <c r="F815">
        <v>1</v>
      </c>
      <c r="G815" s="1" t="s">
        <v>1011</v>
      </c>
      <c r="H815" t="s">
        <v>1011</v>
      </c>
      <c r="I815" t="s">
        <v>1011</v>
      </c>
    </row>
    <row r="816" spans="1:9" x14ac:dyDescent="0.2">
      <c r="A816">
        <v>19</v>
      </c>
      <c r="B816">
        <v>10</v>
      </c>
      <c r="C816" t="s">
        <v>8</v>
      </c>
      <c r="D816">
        <v>1</v>
      </c>
      <c r="E816">
        <v>0.75520851474720996</v>
      </c>
      <c r="F816">
        <v>1</v>
      </c>
      <c r="G816" s="1" t="s">
        <v>1012</v>
      </c>
      <c r="H816" t="s">
        <v>1012</v>
      </c>
      <c r="I816" t="s">
        <v>1012</v>
      </c>
    </row>
    <row r="817" spans="1:9" x14ac:dyDescent="0.2">
      <c r="A817">
        <v>22</v>
      </c>
      <c r="B817">
        <v>9</v>
      </c>
      <c r="C817" t="s">
        <v>16</v>
      </c>
      <c r="D817">
        <v>1</v>
      </c>
      <c r="E817">
        <v>0.895143141620792</v>
      </c>
      <c r="F817">
        <v>1</v>
      </c>
      <c r="G817" s="1" t="s">
        <v>1013</v>
      </c>
      <c r="H817" t="s">
        <v>1013</v>
      </c>
      <c r="I817" t="s">
        <v>1013</v>
      </c>
    </row>
    <row r="818" spans="1:9" x14ac:dyDescent="0.2">
      <c r="A818">
        <v>43</v>
      </c>
      <c r="B818">
        <v>12</v>
      </c>
      <c r="C818" t="s">
        <v>8</v>
      </c>
      <c r="D818">
        <v>0</v>
      </c>
      <c r="E818">
        <v>0.68670442537404597</v>
      </c>
      <c r="F818">
        <v>1</v>
      </c>
      <c r="G818" s="1" t="s">
        <v>1014</v>
      </c>
      <c r="H818" t="s">
        <v>1014</v>
      </c>
      <c r="I818" t="s">
        <v>1014</v>
      </c>
    </row>
    <row r="819" spans="1:9" x14ac:dyDescent="0.2">
      <c r="A819">
        <v>42</v>
      </c>
      <c r="B819">
        <v>14</v>
      </c>
      <c r="C819" t="s">
        <v>16</v>
      </c>
      <c r="D819">
        <v>0</v>
      </c>
      <c r="E819">
        <v>0.86073911725543395</v>
      </c>
      <c r="F819">
        <v>1</v>
      </c>
      <c r="G819" s="1" t="s">
        <v>1015</v>
      </c>
      <c r="H819" t="s">
        <v>1015</v>
      </c>
      <c r="I819" t="s">
        <v>1015</v>
      </c>
    </row>
    <row r="820" spans="1:9" x14ac:dyDescent="0.2">
      <c r="A820">
        <v>74</v>
      </c>
      <c r="B820">
        <v>14</v>
      </c>
      <c r="C820" t="s">
        <v>16</v>
      </c>
      <c r="D820">
        <v>0</v>
      </c>
      <c r="E820">
        <v>0.51834667485673003</v>
      </c>
      <c r="F820">
        <v>1</v>
      </c>
      <c r="G820" s="1" t="s">
        <v>1016</v>
      </c>
      <c r="H820" t="s">
        <v>1016</v>
      </c>
      <c r="I820" t="s">
        <v>1016</v>
      </c>
    </row>
    <row r="821" spans="1:9" x14ac:dyDescent="0.2">
      <c r="A821">
        <v>89</v>
      </c>
      <c r="B821">
        <v>2</v>
      </c>
      <c r="C821" t="s">
        <v>10</v>
      </c>
      <c r="D821">
        <v>1</v>
      </c>
      <c r="E821">
        <v>0.90872166515328001</v>
      </c>
      <c r="F821">
        <v>1</v>
      </c>
      <c r="G821" s="1" t="s">
        <v>1017</v>
      </c>
      <c r="H821" t="s">
        <v>1017</v>
      </c>
      <c r="I821" t="s">
        <v>1017</v>
      </c>
    </row>
    <row r="822" spans="1:9" x14ac:dyDescent="0.2">
      <c r="A822">
        <v>88</v>
      </c>
      <c r="B822">
        <v>4</v>
      </c>
      <c r="C822" t="s">
        <v>16</v>
      </c>
      <c r="D822">
        <v>0</v>
      </c>
      <c r="E822">
        <v>0.76430282497312896</v>
      </c>
      <c r="F822">
        <v>2</v>
      </c>
      <c r="G822" s="1" t="s">
        <v>1018</v>
      </c>
      <c r="H822" t="s">
        <v>1019</v>
      </c>
      <c r="I822" t="s">
        <v>1018</v>
      </c>
    </row>
    <row r="823" spans="1:9" x14ac:dyDescent="0.2">
      <c r="A823">
        <v>20</v>
      </c>
      <c r="B823">
        <v>14</v>
      </c>
      <c r="C823" t="s">
        <v>10</v>
      </c>
      <c r="D823">
        <v>0</v>
      </c>
      <c r="E823">
        <v>0.61812993045896303</v>
      </c>
      <c r="F823">
        <v>1</v>
      </c>
      <c r="G823" s="1" t="s">
        <v>1020</v>
      </c>
      <c r="H823" t="s">
        <v>1020</v>
      </c>
      <c r="I823" t="s">
        <v>1020</v>
      </c>
    </row>
    <row r="824" spans="1:9" x14ac:dyDescent="0.2">
      <c r="A824">
        <v>60</v>
      </c>
      <c r="B824">
        <v>4</v>
      </c>
      <c r="C824" t="s">
        <v>10</v>
      </c>
      <c r="D824">
        <v>0</v>
      </c>
      <c r="E824">
        <v>0.87925050337798905</v>
      </c>
      <c r="F824">
        <v>1</v>
      </c>
      <c r="G824" s="1" t="s">
        <v>1021</v>
      </c>
      <c r="H824" t="s">
        <v>1021</v>
      </c>
      <c r="I824" t="s">
        <v>1021</v>
      </c>
    </row>
    <row r="825" spans="1:9" x14ac:dyDescent="0.2">
      <c r="A825">
        <v>72</v>
      </c>
      <c r="B825">
        <v>4</v>
      </c>
      <c r="C825" t="s">
        <v>10</v>
      </c>
      <c r="D825">
        <v>0</v>
      </c>
      <c r="E825">
        <v>0.66100829653441895</v>
      </c>
      <c r="F825">
        <v>1</v>
      </c>
      <c r="G825" s="1" t="s">
        <v>1022</v>
      </c>
      <c r="H825" t="s">
        <v>1022</v>
      </c>
      <c r="I825" t="s">
        <v>1022</v>
      </c>
    </row>
    <row r="826" spans="1:9" x14ac:dyDescent="0.2">
      <c r="A826">
        <v>79</v>
      </c>
      <c r="B826">
        <v>5</v>
      </c>
      <c r="C826" t="s">
        <v>8</v>
      </c>
      <c r="D826">
        <v>1</v>
      </c>
      <c r="E826">
        <v>0.91794432071037602</v>
      </c>
      <c r="F826">
        <v>1</v>
      </c>
      <c r="G826" s="1" t="s">
        <v>1023</v>
      </c>
      <c r="H826" t="s">
        <v>1023</v>
      </c>
      <c r="I826" t="s">
        <v>1023</v>
      </c>
    </row>
    <row r="827" spans="1:9" x14ac:dyDescent="0.2">
      <c r="A827">
        <v>84</v>
      </c>
      <c r="B827">
        <v>3</v>
      </c>
      <c r="C827" t="s">
        <v>16</v>
      </c>
      <c r="D827">
        <v>0</v>
      </c>
      <c r="E827">
        <v>0.65883865451905899</v>
      </c>
      <c r="F827">
        <v>1</v>
      </c>
      <c r="G827" s="1" t="s">
        <v>1024</v>
      </c>
      <c r="H827" t="s">
        <v>1024</v>
      </c>
      <c r="I827" t="s">
        <v>1024</v>
      </c>
    </row>
    <row r="828" spans="1:9" x14ac:dyDescent="0.2">
      <c r="A828">
        <v>29</v>
      </c>
      <c r="B828">
        <v>13</v>
      </c>
      <c r="C828" t="s">
        <v>16</v>
      </c>
      <c r="D828">
        <v>0</v>
      </c>
      <c r="E828">
        <v>0.97005756781436503</v>
      </c>
      <c r="F828">
        <v>1</v>
      </c>
      <c r="G828" s="1" t="s">
        <v>1025</v>
      </c>
      <c r="H828" t="s">
        <v>1025</v>
      </c>
      <c r="I828" t="s">
        <v>1025</v>
      </c>
    </row>
    <row r="829" spans="1:9" x14ac:dyDescent="0.2">
      <c r="A829">
        <v>63</v>
      </c>
      <c r="B829">
        <v>14</v>
      </c>
      <c r="C829" t="s">
        <v>10</v>
      </c>
      <c r="D829">
        <v>0</v>
      </c>
      <c r="E829">
        <v>0.863127285032533</v>
      </c>
      <c r="F829">
        <v>1</v>
      </c>
      <c r="G829" s="1" t="s">
        <v>1026</v>
      </c>
      <c r="H829" t="s">
        <v>1026</v>
      </c>
      <c r="I829" t="s">
        <v>1026</v>
      </c>
    </row>
    <row r="830" spans="1:9" x14ac:dyDescent="0.2">
      <c r="A830">
        <v>84</v>
      </c>
      <c r="B830">
        <v>7</v>
      </c>
      <c r="C830" t="s">
        <v>16</v>
      </c>
      <c r="D830">
        <v>0</v>
      </c>
      <c r="E830">
        <v>0.93874907528515905</v>
      </c>
      <c r="F830">
        <v>1</v>
      </c>
      <c r="G830" s="1" t="s">
        <v>1027</v>
      </c>
      <c r="H830" t="s">
        <v>1027</v>
      </c>
      <c r="I830" t="s">
        <v>1027</v>
      </c>
    </row>
    <row r="831" spans="1:9" x14ac:dyDescent="0.2">
      <c r="A831">
        <v>69</v>
      </c>
      <c r="B831">
        <v>8</v>
      </c>
      <c r="C831" t="s">
        <v>10</v>
      </c>
      <c r="D831">
        <v>0</v>
      </c>
      <c r="E831">
        <v>0.65522548451553997</v>
      </c>
      <c r="F831">
        <v>1</v>
      </c>
      <c r="G831" s="1" t="s">
        <v>1028</v>
      </c>
      <c r="H831" t="s">
        <v>1028</v>
      </c>
      <c r="I831" t="s">
        <v>1028</v>
      </c>
    </row>
    <row r="832" spans="1:9" x14ac:dyDescent="0.2">
      <c r="A832">
        <v>79</v>
      </c>
      <c r="B832">
        <v>6</v>
      </c>
      <c r="C832" t="s">
        <v>8</v>
      </c>
      <c r="D832">
        <v>0</v>
      </c>
      <c r="E832">
        <v>0.65052104403730504</v>
      </c>
      <c r="F832">
        <v>1</v>
      </c>
      <c r="G832" s="1" t="s">
        <v>1029</v>
      </c>
      <c r="H832" t="s">
        <v>1029</v>
      </c>
      <c r="I832" t="s">
        <v>1029</v>
      </c>
    </row>
    <row r="833" spans="1:9" x14ac:dyDescent="0.2">
      <c r="A833">
        <v>39</v>
      </c>
      <c r="B833">
        <v>4</v>
      </c>
      <c r="C833" t="s">
        <v>16</v>
      </c>
      <c r="D833">
        <v>0</v>
      </c>
      <c r="E833">
        <v>0.829425074509345</v>
      </c>
      <c r="F833">
        <v>1</v>
      </c>
      <c r="G833" s="1" t="s">
        <v>1030</v>
      </c>
      <c r="H833" t="s">
        <v>1030</v>
      </c>
      <c r="I833" t="s">
        <v>1030</v>
      </c>
    </row>
    <row r="834" spans="1:9" x14ac:dyDescent="0.2">
      <c r="A834">
        <v>65</v>
      </c>
      <c r="B834">
        <v>13</v>
      </c>
      <c r="C834" t="s">
        <v>8</v>
      </c>
      <c r="D834">
        <v>0</v>
      </c>
      <c r="E834">
        <v>0.81341686949599501</v>
      </c>
      <c r="F834">
        <v>1</v>
      </c>
      <c r="G834" s="1" t="s">
        <v>1031</v>
      </c>
      <c r="H834" t="s">
        <v>1031</v>
      </c>
      <c r="I834" t="s">
        <v>1031</v>
      </c>
    </row>
    <row r="835" spans="1:9" x14ac:dyDescent="0.2">
      <c r="A835">
        <v>79</v>
      </c>
      <c r="B835">
        <v>1</v>
      </c>
      <c r="C835" t="s">
        <v>8</v>
      </c>
      <c r="D835">
        <v>0</v>
      </c>
      <c r="E835">
        <v>0.788426266866736</v>
      </c>
      <c r="F835">
        <v>1</v>
      </c>
      <c r="G835" s="1" t="s">
        <v>1032</v>
      </c>
      <c r="H835" t="s">
        <v>1032</v>
      </c>
      <c r="I835" t="s">
        <v>1032</v>
      </c>
    </row>
    <row r="836" spans="1:9" x14ac:dyDescent="0.2">
      <c r="A836">
        <v>66</v>
      </c>
      <c r="B836">
        <v>11</v>
      </c>
      <c r="C836" t="s">
        <v>8</v>
      </c>
      <c r="D836">
        <v>0</v>
      </c>
      <c r="E836">
        <v>0.88362957851495605</v>
      </c>
      <c r="F836">
        <v>1</v>
      </c>
      <c r="G836" s="1" t="s">
        <v>1033</v>
      </c>
      <c r="H836" t="s">
        <v>1033</v>
      </c>
      <c r="I836" t="s">
        <v>1033</v>
      </c>
    </row>
    <row r="837" spans="1:9" x14ac:dyDescent="0.2">
      <c r="A837">
        <v>71</v>
      </c>
      <c r="B837">
        <v>13</v>
      </c>
      <c r="C837" t="s">
        <v>8</v>
      </c>
      <c r="D837">
        <v>0</v>
      </c>
      <c r="E837">
        <v>0.61028226779308203</v>
      </c>
      <c r="F837">
        <v>1</v>
      </c>
      <c r="G837" s="1" t="s">
        <v>1034</v>
      </c>
      <c r="H837" t="s">
        <v>1034</v>
      </c>
      <c r="I837" t="s">
        <v>1034</v>
      </c>
    </row>
    <row r="838" spans="1:9" x14ac:dyDescent="0.2">
      <c r="A838">
        <v>37</v>
      </c>
      <c r="B838">
        <v>14</v>
      </c>
      <c r="C838" t="s">
        <v>8</v>
      </c>
      <c r="D838">
        <v>0</v>
      </c>
      <c r="E838">
        <v>0.95697905158158403</v>
      </c>
      <c r="F838">
        <v>1</v>
      </c>
      <c r="G838" s="1" t="s">
        <v>1035</v>
      </c>
      <c r="H838" t="s">
        <v>1035</v>
      </c>
      <c r="I838" t="s">
        <v>1035</v>
      </c>
    </row>
    <row r="839" spans="1:9" x14ac:dyDescent="0.2">
      <c r="A839">
        <v>28</v>
      </c>
      <c r="B839">
        <v>11</v>
      </c>
      <c r="C839" t="s">
        <v>8</v>
      </c>
      <c r="D839">
        <v>1</v>
      </c>
      <c r="E839">
        <v>0.95756926178000901</v>
      </c>
      <c r="F839">
        <v>1</v>
      </c>
      <c r="G839" s="1" t="s">
        <v>1036</v>
      </c>
      <c r="H839" t="s">
        <v>1036</v>
      </c>
      <c r="I839" t="s">
        <v>1036</v>
      </c>
    </row>
    <row r="840" spans="1:9" x14ac:dyDescent="0.2">
      <c r="A840">
        <v>35</v>
      </c>
      <c r="B840">
        <v>2</v>
      </c>
      <c r="C840" t="s">
        <v>8</v>
      </c>
      <c r="D840">
        <v>0</v>
      </c>
      <c r="E840">
        <v>0.69842167850583803</v>
      </c>
      <c r="F840">
        <v>2</v>
      </c>
      <c r="G840" s="1" t="s">
        <v>1037</v>
      </c>
      <c r="H840" t="s">
        <v>1038</v>
      </c>
      <c r="I840" t="s">
        <v>1037</v>
      </c>
    </row>
    <row r="841" spans="1:9" x14ac:dyDescent="0.2">
      <c r="A841">
        <v>63</v>
      </c>
      <c r="B841">
        <v>8</v>
      </c>
      <c r="C841" t="s">
        <v>16</v>
      </c>
      <c r="D841">
        <v>0</v>
      </c>
      <c r="E841">
        <v>0.77263582218438398</v>
      </c>
      <c r="F841">
        <v>1</v>
      </c>
      <c r="G841" s="1" t="s">
        <v>1039</v>
      </c>
      <c r="H841" t="s">
        <v>1039</v>
      </c>
      <c r="I841" t="s">
        <v>1039</v>
      </c>
    </row>
    <row r="842" spans="1:9" x14ac:dyDescent="0.2">
      <c r="A842">
        <v>64</v>
      </c>
      <c r="B842">
        <v>14</v>
      </c>
      <c r="C842" t="s">
        <v>8</v>
      </c>
      <c r="D842">
        <v>0</v>
      </c>
      <c r="E842">
        <v>0.88112003949936502</v>
      </c>
      <c r="F842">
        <v>2</v>
      </c>
      <c r="G842" s="1" t="s">
        <v>1040</v>
      </c>
      <c r="H842" t="s">
        <v>1041</v>
      </c>
      <c r="I842" t="s">
        <v>1040</v>
      </c>
    </row>
    <row r="843" spans="1:9" x14ac:dyDescent="0.2">
      <c r="A843">
        <v>42</v>
      </c>
      <c r="B843">
        <v>6</v>
      </c>
      <c r="C843" t="s">
        <v>8</v>
      </c>
      <c r="D843">
        <v>0</v>
      </c>
      <c r="E843">
        <v>0.75833217543549802</v>
      </c>
      <c r="F843">
        <v>1</v>
      </c>
      <c r="G843" s="1" t="s">
        <v>1042</v>
      </c>
      <c r="H843" t="s">
        <v>1042</v>
      </c>
      <c r="I843" t="s">
        <v>1042</v>
      </c>
    </row>
    <row r="844" spans="1:9" x14ac:dyDescent="0.2">
      <c r="A844">
        <v>73</v>
      </c>
      <c r="B844">
        <v>0</v>
      </c>
      <c r="C844" t="s">
        <v>8</v>
      </c>
      <c r="D844">
        <v>2</v>
      </c>
      <c r="E844">
        <v>0.86189648474100999</v>
      </c>
      <c r="F844">
        <v>1</v>
      </c>
      <c r="G844" s="1" t="s">
        <v>1043</v>
      </c>
      <c r="H844" t="s">
        <v>1043</v>
      </c>
      <c r="I844" t="s">
        <v>1043</v>
      </c>
    </row>
    <row r="845" spans="1:9" x14ac:dyDescent="0.2">
      <c r="A845">
        <v>87</v>
      </c>
      <c r="B845">
        <v>7</v>
      </c>
      <c r="C845" t="s">
        <v>10</v>
      </c>
      <c r="D845">
        <v>1</v>
      </c>
      <c r="E845">
        <v>0.89179164427332602</v>
      </c>
      <c r="F845">
        <v>1</v>
      </c>
      <c r="G845" s="1" t="s">
        <v>1044</v>
      </c>
      <c r="H845" t="s">
        <v>1044</v>
      </c>
      <c r="I845" t="s">
        <v>1044</v>
      </c>
    </row>
    <row r="846" spans="1:9" x14ac:dyDescent="0.2">
      <c r="A846">
        <v>45</v>
      </c>
      <c r="B846">
        <v>6</v>
      </c>
      <c r="C846" t="s">
        <v>16</v>
      </c>
      <c r="D846">
        <v>0</v>
      </c>
      <c r="E846">
        <v>0.70230278733652096</v>
      </c>
      <c r="F846">
        <v>1</v>
      </c>
      <c r="G846" s="1" t="s">
        <v>1045</v>
      </c>
      <c r="H846" t="s">
        <v>1045</v>
      </c>
      <c r="I846" t="s">
        <v>1045</v>
      </c>
    </row>
    <row r="847" spans="1:9" x14ac:dyDescent="0.2">
      <c r="A847">
        <v>58</v>
      </c>
      <c r="B847">
        <v>8</v>
      </c>
      <c r="C847" t="s">
        <v>8</v>
      </c>
      <c r="D847">
        <v>0</v>
      </c>
      <c r="E847">
        <v>0.64087976329028595</v>
      </c>
      <c r="F847">
        <v>1</v>
      </c>
      <c r="G847" s="1" t="s">
        <v>1046</v>
      </c>
      <c r="H847" t="s">
        <v>1046</v>
      </c>
      <c r="I847" t="s">
        <v>1046</v>
      </c>
    </row>
    <row r="848" spans="1:9" x14ac:dyDescent="0.2">
      <c r="A848">
        <v>85</v>
      </c>
      <c r="B848">
        <v>11</v>
      </c>
      <c r="C848" t="s">
        <v>8</v>
      </c>
      <c r="D848">
        <v>0</v>
      </c>
      <c r="E848">
        <v>0.60991541831754104</v>
      </c>
      <c r="F848">
        <v>1</v>
      </c>
      <c r="G848" s="1" t="s">
        <v>1047</v>
      </c>
      <c r="H848" t="s">
        <v>1047</v>
      </c>
      <c r="I848" t="s">
        <v>1047</v>
      </c>
    </row>
    <row r="849" spans="1:9" x14ac:dyDescent="0.2">
      <c r="A849">
        <v>25</v>
      </c>
      <c r="B849">
        <v>10</v>
      </c>
      <c r="C849" t="s">
        <v>16</v>
      </c>
      <c r="D849">
        <v>0</v>
      </c>
      <c r="E849">
        <v>0.90106647380161997</v>
      </c>
      <c r="F849">
        <v>1</v>
      </c>
      <c r="G849" s="1" t="s">
        <v>1048</v>
      </c>
      <c r="H849" t="s">
        <v>1048</v>
      </c>
      <c r="I849" t="s">
        <v>1048</v>
      </c>
    </row>
    <row r="850" spans="1:9" x14ac:dyDescent="0.2">
      <c r="A850">
        <v>83</v>
      </c>
      <c r="B850">
        <v>1</v>
      </c>
      <c r="C850" t="s">
        <v>8</v>
      </c>
      <c r="D850">
        <v>2</v>
      </c>
      <c r="E850">
        <v>0.58638500259257897</v>
      </c>
      <c r="F850">
        <v>2</v>
      </c>
      <c r="G850" s="1" t="s">
        <v>1049</v>
      </c>
      <c r="H850" t="s">
        <v>1050</v>
      </c>
      <c r="I850" t="s">
        <v>1049</v>
      </c>
    </row>
    <row r="851" spans="1:9" x14ac:dyDescent="0.2">
      <c r="A851">
        <v>76</v>
      </c>
      <c r="B851">
        <v>7</v>
      </c>
      <c r="C851" t="s">
        <v>8</v>
      </c>
      <c r="D851">
        <v>0</v>
      </c>
      <c r="E851">
        <v>0.76673546293750405</v>
      </c>
      <c r="F851">
        <v>1</v>
      </c>
      <c r="G851" s="1" t="s">
        <v>1051</v>
      </c>
      <c r="H851" t="s">
        <v>1051</v>
      </c>
      <c r="I851" t="s">
        <v>1051</v>
      </c>
    </row>
    <row r="852" spans="1:9" x14ac:dyDescent="0.2">
      <c r="A852">
        <v>87</v>
      </c>
      <c r="B852">
        <v>1</v>
      </c>
      <c r="C852" t="s">
        <v>8</v>
      </c>
      <c r="D852">
        <v>1</v>
      </c>
      <c r="E852">
        <v>0.68087813642341599</v>
      </c>
      <c r="F852">
        <v>2</v>
      </c>
      <c r="G852" s="1" t="s">
        <v>1052</v>
      </c>
      <c r="H852" t="s">
        <v>1053</v>
      </c>
      <c r="I852" t="s">
        <v>1052</v>
      </c>
    </row>
    <row r="853" spans="1:9" x14ac:dyDescent="0.2">
      <c r="A853">
        <v>51</v>
      </c>
      <c r="B853">
        <v>10</v>
      </c>
      <c r="C853" t="s">
        <v>8</v>
      </c>
      <c r="D853">
        <v>0</v>
      </c>
      <c r="E853">
        <v>0.92019794601947102</v>
      </c>
      <c r="F853">
        <v>1</v>
      </c>
      <c r="G853" s="1" t="s">
        <v>1054</v>
      </c>
      <c r="H853" t="s">
        <v>1054</v>
      </c>
      <c r="I853" t="s">
        <v>1054</v>
      </c>
    </row>
    <row r="854" spans="1:9" x14ac:dyDescent="0.2">
      <c r="A854">
        <v>55</v>
      </c>
      <c r="B854">
        <v>10</v>
      </c>
      <c r="C854" t="s">
        <v>10</v>
      </c>
      <c r="D854">
        <v>0</v>
      </c>
      <c r="E854">
        <v>0.67655492038466003</v>
      </c>
      <c r="F854">
        <v>1</v>
      </c>
      <c r="G854" s="1" t="s">
        <v>1055</v>
      </c>
      <c r="H854" t="s">
        <v>1055</v>
      </c>
      <c r="I854" t="s">
        <v>1055</v>
      </c>
    </row>
    <row r="855" spans="1:9" x14ac:dyDescent="0.2">
      <c r="A855">
        <v>48</v>
      </c>
      <c r="B855">
        <v>10</v>
      </c>
      <c r="C855" t="s">
        <v>8</v>
      </c>
      <c r="D855">
        <v>0</v>
      </c>
      <c r="E855">
        <v>0.93541462474968295</v>
      </c>
      <c r="F855">
        <v>1</v>
      </c>
      <c r="G855" s="1" t="s">
        <v>1056</v>
      </c>
      <c r="H855" t="s">
        <v>1056</v>
      </c>
      <c r="I855" t="s">
        <v>1056</v>
      </c>
    </row>
    <row r="856" spans="1:9" x14ac:dyDescent="0.2">
      <c r="A856">
        <v>52</v>
      </c>
      <c r="B856">
        <v>11</v>
      </c>
      <c r="C856" t="s">
        <v>10</v>
      </c>
      <c r="D856">
        <v>0</v>
      </c>
      <c r="E856">
        <v>0.96071999135892805</v>
      </c>
      <c r="F856">
        <v>1</v>
      </c>
      <c r="G856" s="1" t="s">
        <v>1057</v>
      </c>
      <c r="H856" t="s">
        <v>1057</v>
      </c>
      <c r="I856" t="s">
        <v>1057</v>
      </c>
    </row>
    <row r="857" spans="1:9" x14ac:dyDescent="0.2">
      <c r="A857">
        <v>41</v>
      </c>
      <c r="B857">
        <v>5</v>
      </c>
      <c r="C857" t="s">
        <v>10</v>
      </c>
      <c r="D857">
        <v>1</v>
      </c>
      <c r="E857">
        <v>0.97779618692584302</v>
      </c>
      <c r="F857">
        <v>1</v>
      </c>
      <c r="G857" s="1" t="s">
        <v>1058</v>
      </c>
      <c r="H857" t="s">
        <v>1058</v>
      </c>
      <c r="I857" t="s">
        <v>1058</v>
      </c>
    </row>
    <row r="858" spans="1:9" x14ac:dyDescent="0.2">
      <c r="A858">
        <v>78</v>
      </c>
      <c r="B858">
        <v>1</v>
      </c>
      <c r="C858" t="s">
        <v>8</v>
      </c>
      <c r="D858">
        <v>1</v>
      </c>
      <c r="E858">
        <v>0.90296080254484001</v>
      </c>
      <c r="F858">
        <v>1</v>
      </c>
      <c r="G858" s="1" t="s">
        <v>1059</v>
      </c>
      <c r="H858" t="s">
        <v>1059</v>
      </c>
      <c r="I858" t="s">
        <v>1059</v>
      </c>
    </row>
    <row r="859" spans="1:9" x14ac:dyDescent="0.2">
      <c r="A859">
        <v>40</v>
      </c>
      <c r="B859">
        <v>2</v>
      </c>
      <c r="C859" t="s">
        <v>10</v>
      </c>
      <c r="D859">
        <v>0</v>
      </c>
      <c r="E859">
        <v>0.75454366486519597</v>
      </c>
      <c r="F859">
        <v>1</v>
      </c>
      <c r="G859" s="1" t="s">
        <v>1060</v>
      </c>
      <c r="H859" t="s">
        <v>1060</v>
      </c>
      <c r="I859" t="s">
        <v>1060</v>
      </c>
    </row>
    <row r="860" spans="1:9" x14ac:dyDescent="0.2">
      <c r="A860">
        <v>77</v>
      </c>
      <c r="B860">
        <v>13</v>
      </c>
      <c r="C860" t="s">
        <v>16</v>
      </c>
      <c r="D860">
        <v>0</v>
      </c>
      <c r="E860">
        <v>0.93312148028053299</v>
      </c>
      <c r="F860">
        <v>1</v>
      </c>
      <c r="G860" s="1" t="s">
        <v>1061</v>
      </c>
      <c r="H860" t="s">
        <v>1061</v>
      </c>
      <c r="I860" t="s">
        <v>1061</v>
      </c>
    </row>
    <row r="861" spans="1:9" x14ac:dyDescent="0.2">
      <c r="A861">
        <v>46</v>
      </c>
      <c r="B861">
        <v>9</v>
      </c>
      <c r="C861" t="s">
        <v>8</v>
      </c>
      <c r="D861">
        <v>0</v>
      </c>
      <c r="E861">
        <v>0.81244728388264797</v>
      </c>
      <c r="F861">
        <v>1</v>
      </c>
      <c r="G861" s="1" t="s">
        <v>1062</v>
      </c>
      <c r="H861" t="s">
        <v>1062</v>
      </c>
      <c r="I861" t="s">
        <v>1062</v>
      </c>
    </row>
    <row r="862" spans="1:9" x14ac:dyDescent="0.2">
      <c r="A862">
        <v>72</v>
      </c>
      <c r="B862">
        <v>1</v>
      </c>
      <c r="C862" t="s">
        <v>10</v>
      </c>
      <c r="D862">
        <v>0</v>
      </c>
      <c r="E862">
        <v>0.84173218056093901</v>
      </c>
      <c r="F862">
        <v>1</v>
      </c>
      <c r="G862" s="1" t="s">
        <v>1063</v>
      </c>
      <c r="H862" t="s">
        <v>1063</v>
      </c>
      <c r="I862" t="s">
        <v>1063</v>
      </c>
    </row>
    <row r="863" spans="1:9" x14ac:dyDescent="0.2">
      <c r="A863">
        <v>53</v>
      </c>
      <c r="B863">
        <v>14</v>
      </c>
      <c r="C863" t="s">
        <v>16</v>
      </c>
      <c r="D863">
        <v>0</v>
      </c>
      <c r="E863">
        <v>0.96603443473577499</v>
      </c>
      <c r="F863">
        <v>1</v>
      </c>
      <c r="G863" s="1" t="s">
        <v>1064</v>
      </c>
      <c r="H863" t="s">
        <v>1064</v>
      </c>
      <c r="I863" t="s">
        <v>1064</v>
      </c>
    </row>
    <row r="864" spans="1:9" x14ac:dyDescent="0.2">
      <c r="A864">
        <v>46</v>
      </c>
      <c r="B864">
        <v>10</v>
      </c>
      <c r="C864" t="s">
        <v>16</v>
      </c>
      <c r="D864">
        <v>0</v>
      </c>
      <c r="E864">
        <v>0.97428708767984096</v>
      </c>
      <c r="F864">
        <v>1</v>
      </c>
      <c r="G864" s="1" t="s">
        <v>1065</v>
      </c>
      <c r="H864" t="s">
        <v>1065</v>
      </c>
      <c r="I864" t="s">
        <v>1065</v>
      </c>
    </row>
    <row r="865" spans="1:9" x14ac:dyDescent="0.2">
      <c r="A865">
        <v>75</v>
      </c>
      <c r="B865">
        <v>8</v>
      </c>
      <c r="C865" t="s">
        <v>8</v>
      </c>
      <c r="D865">
        <v>1</v>
      </c>
      <c r="E865">
        <v>0.91531921760179102</v>
      </c>
      <c r="F865">
        <v>1</v>
      </c>
      <c r="G865" s="1" t="s">
        <v>1066</v>
      </c>
      <c r="H865" t="s">
        <v>1066</v>
      </c>
      <c r="I865" t="s">
        <v>1066</v>
      </c>
    </row>
    <row r="866" spans="1:9" x14ac:dyDescent="0.2">
      <c r="A866">
        <v>63</v>
      </c>
      <c r="B866">
        <v>5</v>
      </c>
      <c r="C866" t="s">
        <v>10</v>
      </c>
      <c r="D866">
        <v>0</v>
      </c>
      <c r="E866">
        <v>0.66511063266079895</v>
      </c>
      <c r="F866">
        <v>1</v>
      </c>
      <c r="G866" s="1" t="s">
        <v>1067</v>
      </c>
      <c r="H866" t="s">
        <v>1067</v>
      </c>
      <c r="I866" t="s">
        <v>1067</v>
      </c>
    </row>
    <row r="867" spans="1:9" x14ac:dyDescent="0.2">
      <c r="A867">
        <v>25</v>
      </c>
      <c r="B867">
        <v>9</v>
      </c>
      <c r="C867" t="s">
        <v>8</v>
      </c>
      <c r="D867">
        <v>0</v>
      </c>
      <c r="E867">
        <v>0.84346409642603204</v>
      </c>
      <c r="F867">
        <v>1</v>
      </c>
      <c r="G867" s="1" t="s">
        <v>1068</v>
      </c>
      <c r="H867" t="s">
        <v>1068</v>
      </c>
      <c r="I867" t="s">
        <v>1068</v>
      </c>
    </row>
    <row r="868" spans="1:9" x14ac:dyDescent="0.2">
      <c r="A868">
        <v>53</v>
      </c>
      <c r="B868">
        <v>4</v>
      </c>
      <c r="C868" t="s">
        <v>10</v>
      </c>
      <c r="D868">
        <v>1</v>
      </c>
      <c r="E868">
        <v>0.81783559324685495</v>
      </c>
      <c r="F868">
        <v>1</v>
      </c>
      <c r="G868" s="1" t="s">
        <v>1069</v>
      </c>
      <c r="H868" t="s">
        <v>1069</v>
      </c>
      <c r="I868" t="s">
        <v>1069</v>
      </c>
    </row>
    <row r="869" spans="1:9" x14ac:dyDescent="0.2">
      <c r="A869">
        <v>39</v>
      </c>
      <c r="B869">
        <v>7</v>
      </c>
      <c r="C869" t="s">
        <v>16</v>
      </c>
      <c r="D869">
        <v>1</v>
      </c>
      <c r="E869">
        <v>0.70970065623987499</v>
      </c>
      <c r="F869">
        <v>1</v>
      </c>
      <c r="G869" s="1" t="s">
        <v>1070</v>
      </c>
      <c r="H869" t="s">
        <v>1070</v>
      </c>
      <c r="I869" t="s">
        <v>1070</v>
      </c>
    </row>
    <row r="870" spans="1:9" x14ac:dyDescent="0.2">
      <c r="A870">
        <v>63</v>
      </c>
      <c r="B870">
        <v>1</v>
      </c>
      <c r="C870" t="s">
        <v>8</v>
      </c>
      <c r="D870">
        <v>0</v>
      </c>
      <c r="E870">
        <v>0.73103138338774398</v>
      </c>
      <c r="F870">
        <v>1</v>
      </c>
      <c r="G870" s="1" t="s">
        <v>1071</v>
      </c>
      <c r="H870" t="s">
        <v>1071</v>
      </c>
      <c r="I870" t="s">
        <v>1071</v>
      </c>
    </row>
    <row r="871" spans="1:9" x14ac:dyDescent="0.2">
      <c r="A871">
        <v>82</v>
      </c>
      <c r="B871">
        <v>9</v>
      </c>
      <c r="C871" t="s">
        <v>8</v>
      </c>
      <c r="D871">
        <v>0</v>
      </c>
      <c r="E871">
        <v>0.676881426246837</v>
      </c>
      <c r="F871">
        <v>2</v>
      </c>
      <c r="G871" s="1" t="s">
        <v>1072</v>
      </c>
      <c r="H871" t="s">
        <v>1073</v>
      </c>
      <c r="I871" t="s">
        <v>1072</v>
      </c>
    </row>
    <row r="872" spans="1:9" x14ac:dyDescent="0.2">
      <c r="A872">
        <v>27</v>
      </c>
      <c r="B872">
        <v>12</v>
      </c>
      <c r="C872" t="s">
        <v>8</v>
      </c>
      <c r="D872">
        <v>2</v>
      </c>
      <c r="E872">
        <v>0.89597985788714096</v>
      </c>
      <c r="F872">
        <v>1</v>
      </c>
      <c r="G872" s="1" t="s">
        <v>1074</v>
      </c>
      <c r="H872" t="s">
        <v>1074</v>
      </c>
      <c r="I872" t="s">
        <v>1074</v>
      </c>
    </row>
    <row r="873" spans="1:9" x14ac:dyDescent="0.2">
      <c r="A873">
        <v>64</v>
      </c>
      <c r="B873">
        <v>3</v>
      </c>
      <c r="C873" t="s">
        <v>8</v>
      </c>
      <c r="D873">
        <v>0</v>
      </c>
      <c r="E873">
        <v>0.70327626448124603</v>
      </c>
      <c r="F873">
        <v>2</v>
      </c>
      <c r="G873" s="1" t="s">
        <v>1075</v>
      </c>
      <c r="H873" t="s">
        <v>1076</v>
      </c>
      <c r="I873" t="s">
        <v>1075</v>
      </c>
    </row>
    <row r="874" spans="1:9" x14ac:dyDescent="0.2">
      <c r="A874">
        <v>55</v>
      </c>
      <c r="B874">
        <v>8</v>
      </c>
      <c r="C874" t="s">
        <v>16</v>
      </c>
      <c r="D874">
        <v>0</v>
      </c>
      <c r="E874">
        <v>0.52919135754928004</v>
      </c>
      <c r="F874">
        <v>1</v>
      </c>
      <c r="G874" s="1" t="s">
        <v>1077</v>
      </c>
      <c r="H874" t="s">
        <v>1077</v>
      </c>
      <c r="I874" t="s">
        <v>1077</v>
      </c>
    </row>
    <row r="875" spans="1:9" x14ac:dyDescent="0.2">
      <c r="A875">
        <v>71</v>
      </c>
      <c r="B875">
        <v>3</v>
      </c>
      <c r="C875" t="s">
        <v>8</v>
      </c>
      <c r="D875">
        <v>0</v>
      </c>
      <c r="E875">
        <v>0.97467810066882499</v>
      </c>
      <c r="F875">
        <v>1</v>
      </c>
      <c r="G875" s="1" t="s">
        <v>1078</v>
      </c>
      <c r="H875" t="s">
        <v>1078</v>
      </c>
      <c r="I875" t="s">
        <v>1078</v>
      </c>
    </row>
    <row r="876" spans="1:9" x14ac:dyDescent="0.2">
      <c r="A876">
        <v>54</v>
      </c>
      <c r="B876">
        <v>9</v>
      </c>
      <c r="C876" t="s">
        <v>16</v>
      </c>
      <c r="D876">
        <v>3</v>
      </c>
      <c r="E876">
        <v>0.91628269467037204</v>
      </c>
      <c r="F876">
        <v>1</v>
      </c>
      <c r="G876" s="1" t="s">
        <v>1079</v>
      </c>
      <c r="H876" t="s">
        <v>1079</v>
      </c>
      <c r="I876" t="s">
        <v>1079</v>
      </c>
    </row>
    <row r="877" spans="1:9" x14ac:dyDescent="0.2">
      <c r="A877">
        <v>40</v>
      </c>
      <c r="B877">
        <v>2</v>
      </c>
      <c r="C877" t="s">
        <v>8</v>
      </c>
      <c r="D877">
        <v>1</v>
      </c>
      <c r="E877">
        <v>0.95921724173240397</v>
      </c>
      <c r="F877">
        <v>1</v>
      </c>
      <c r="G877" s="1" t="s">
        <v>1080</v>
      </c>
      <c r="H877" t="s">
        <v>1080</v>
      </c>
      <c r="I877" t="s">
        <v>1080</v>
      </c>
    </row>
    <row r="878" spans="1:9" x14ac:dyDescent="0.2">
      <c r="A878">
        <v>30</v>
      </c>
      <c r="B878">
        <v>13</v>
      </c>
      <c r="C878" t="s">
        <v>16</v>
      </c>
      <c r="D878">
        <v>2</v>
      </c>
      <c r="E878">
        <v>0.61802320822607704</v>
      </c>
      <c r="F878">
        <v>1</v>
      </c>
      <c r="G878" s="1" t="s">
        <v>1081</v>
      </c>
      <c r="H878" t="s">
        <v>1081</v>
      </c>
      <c r="I878" t="s">
        <v>1081</v>
      </c>
    </row>
    <row r="879" spans="1:9" x14ac:dyDescent="0.2">
      <c r="A879">
        <v>41</v>
      </c>
      <c r="B879">
        <v>14</v>
      </c>
      <c r="C879" t="s">
        <v>16</v>
      </c>
      <c r="D879">
        <v>0</v>
      </c>
      <c r="E879">
        <v>0.63967542955651902</v>
      </c>
      <c r="F879">
        <v>2</v>
      </c>
      <c r="G879" s="1" t="s">
        <v>1082</v>
      </c>
      <c r="H879" t="s">
        <v>1083</v>
      </c>
      <c r="I879" t="s">
        <v>1082</v>
      </c>
    </row>
    <row r="880" spans="1:9" x14ac:dyDescent="0.2">
      <c r="A880">
        <v>66</v>
      </c>
      <c r="B880">
        <v>4</v>
      </c>
      <c r="C880" t="s">
        <v>8</v>
      </c>
      <c r="D880">
        <v>0</v>
      </c>
      <c r="E880">
        <v>0.86609306314494505</v>
      </c>
      <c r="F880">
        <v>1</v>
      </c>
      <c r="G880" s="1" t="s">
        <v>1084</v>
      </c>
      <c r="H880" t="s">
        <v>1084</v>
      </c>
      <c r="I880" t="s">
        <v>1084</v>
      </c>
    </row>
    <row r="881" spans="1:9" x14ac:dyDescent="0.2">
      <c r="A881">
        <v>36</v>
      </c>
      <c r="B881">
        <v>8</v>
      </c>
      <c r="C881" t="s">
        <v>8</v>
      </c>
      <c r="D881">
        <v>1</v>
      </c>
      <c r="E881">
        <v>0.87794961361214496</v>
      </c>
      <c r="F881">
        <v>2</v>
      </c>
      <c r="G881" s="1" t="s">
        <v>1085</v>
      </c>
      <c r="H881" t="s">
        <v>1086</v>
      </c>
      <c r="I881" t="s">
        <v>1085</v>
      </c>
    </row>
    <row r="882" spans="1:9" x14ac:dyDescent="0.2">
      <c r="A882">
        <v>62</v>
      </c>
      <c r="B882">
        <v>10</v>
      </c>
      <c r="C882" t="s">
        <v>10</v>
      </c>
      <c r="D882">
        <v>1</v>
      </c>
      <c r="E882">
        <v>0.57169121364131603</v>
      </c>
      <c r="F882">
        <v>2</v>
      </c>
      <c r="G882" s="1" t="s">
        <v>1087</v>
      </c>
      <c r="H882" t="s">
        <v>1088</v>
      </c>
      <c r="I882" t="s">
        <v>1087</v>
      </c>
    </row>
    <row r="883" spans="1:9" x14ac:dyDescent="0.2">
      <c r="A883">
        <v>20</v>
      </c>
      <c r="B883">
        <v>7</v>
      </c>
      <c r="C883" t="s">
        <v>10</v>
      </c>
      <c r="D883">
        <v>0</v>
      </c>
      <c r="E883">
        <v>0.62813752400688805</v>
      </c>
      <c r="F883">
        <v>1</v>
      </c>
      <c r="G883" s="1" t="s">
        <v>1089</v>
      </c>
      <c r="H883" t="s">
        <v>1089</v>
      </c>
      <c r="I883" t="s">
        <v>1089</v>
      </c>
    </row>
    <row r="884" spans="1:9" x14ac:dyDescent="0.2">
      <c r="A884">
        <v>76</v>
      </c>
      <c r="B884">
        <v>9</v>
      </c>
      <c r="C884" t="s">
        <v>8</v>
      </c>
      <c r="D884">
        <v>0</v>
      </c>
      <c r="E884">
        <v>0.98435579403303597</v>
      </c>
      <c r="F884">
        <v>1</v>
      </c>
      <c r="G884" s="1" t="s">
        <v>1090</v>
      </c>
      <c r="H884" t="s">
        <v>1090</v>
      </c>
      <c r="I884" t="s">
        <v>1090</v>
      </c>
    </row>
    <row r="885" spans="1:9" x14ac:dyDescent="0.2">
      <c r="A885">
        <v>81</v>
      </c>
      <c r="B885">
        <v>10</v>
      </c>
      <c r="C885" t="s">
        <v>16</v>
      </c>
      <c r="D885">
        <v>1</v>
      </c>
      <c r="E885">
        <v>0.89866146026179206</v>
      </c>
      <c r="F885">
        <v>1</v>
      </c>
      <c r="G885" s="1" t="s">
        <v>1091</v>
      </c>
      <c r="H885" t="s">
        <v>1091</v>
      </c>
      <c r="I885" t="s">
        <v>1091</v>
      </c>
    </row>
    <row r="886" spans="1:9" x14ac:dyDescent="0.2">
      <c r="A886">
        <v>62</v>
      </c>
      <c r="B886">
        <v>2</v>
      </c>
      <c r="C886" t="s">
        <v>16</v>
      </c>
      <c r="D886">
        <v>0</v>
      </c>
      <c r="E886">
        <v>0.92184973484836497</v>
      </c>
      <c r="F886">
        <v>1</v>
      </c>
      <c r="G886" s="1" t="s">
        <v>1092</v>
      </c>
      <c r="H886" t="s">
        <v>1092</v>
      </c>
      <c r="I886" t="s">
        <v>1092</v>
      </c>
    </row>
    <row r="887" spans="1:9" x14ac:dyDescent="0.2">
      <c r="A887">
        <v>71</v>
      </c>
      <c r="B887">
        <v>9</v>
      </c>
      <c r="C887" t="s">
        <v>16</v>
      </c>
      <c r="D887">
        <v>0</v>
      </c>
      <c r="E887">
        <v>0.95233836304396402</v>
      </c>
      <c r="F887">
        <v>1</v>
      </c>
      <c r="G887" s="1" t="s">
        <v>1093</v>
      </c>
      <c r="H887" t="s">
        <v>1093</v>
      </c>
      <c r="I887" t="s">
        <v>1093</v>
      </c>
    </row>
    <row r="888" spans="1:9" x14ac:dyDescent="0.2">
      <c r="A888">
        <v>67</v>
      </c>
      <c r="B888">
        <v>12</v>
      </c>
      <c r="C888" t="s">
        <v>8</v>
      </c>
      <c r="D888">
        <v>0</v>
      </c>
      <c r="E888">
        <v>0.72348834120202798</v>
      </c>
      <c r="F888">
        <v>1</v>
      </c>
      <c r="G888" s="1" t="s">
        <v>1094</v>
      </c>
      <c r="H888" t="s">
        <v>1094</v>
      </c>
      <c r="I888" t="s">
        <v>1094</v>
      </c>
    </row>
    <row r="889" spans="1:9" x14ac:dyDescent="0.2">
      <c r="A889">
        <v>57</v>
      </c>
      <c r="B889">
        <v>2</v>
      </c>
      <c r="C889" t="s">
        <v>8</v>
      </c>
      <c r="D889">
        <v>0</v>
      </c>
      <c r="E889">
        <v>0.93110943760257203</v>
      </c>
      <c r="F889">
        <v>1</v>
      </c>
      <c r="G889" s="1" t="s">
        <v>1095</v>
      </c>
      <c r="H889" t="s">
        <v>1095</v>
      </c>
      <c r="I889" t="s">
        <v>1095</v>
      </c>
    </row>
    <row r="890" spans="1:9" x14ac:dyDescent="0.2">
      <c r="A890">
        <v>51</v>
      </c>
      <c r="B890">
        <v>15</v>
      </c>
      <c r="C890" t="s">
        <v>10</v>
      </c>
      <c r="D890">
        <v>1</v>
      </c>
      <c r="E890">
        <v>0.59343260549940202</v>
      </c>
      <c r="F890">
        <v>2</v>
      </c>
      <c r="G890" s="1" t="s">
        <v>1096</v>
      </c>
      <c r="H890" t="s">
        <v>1097</v>
      </c>
      <c r="I890" t="s">
        <v>1096</v>
      </c>
    </row>
    <row r="891" spans="1:9" x14ac:dyDescent="0.2">
      <c r="A891">
        <v>76</v>
      </c>
      <c r="B891">
        <v>11</v>
      </c>
      <c r="C891" t="s">
        <v>8</v>
      </c>
      <c r="D891">
        <v>0</v>
      </c>
      <c r="E891">
        <v>0.72694587579462699</v>
      </c>
      <c r="F891">
        <v>2</v>
      </c>
      <c r="G891" s="1" t="s">
        <v>1098</v>
      </c>
      <c r="H891" t="s">
        <v>1099</v>
      </c>
      <c r="I891" t="s">
        <v>1098</v>
      </c>
    </row>
    <row r="892" spans="1:9" x14ac:dyDescent="0.2">
      <c r="A892">
        <v>48</v>
      </c>
      <c r="B892">
        <v>10</v>
      </c>
      <c r="C892" t="s">
        <v>8</v>
      </c>
      <c r="D892">
        <v>1</v>
      </c>
      <c r="E892">
        <v>0.89459017431363497</v>
      </c>
      <c r="F892">
        <v>1</v>
      </c>
      <c r="G892" s="1" t="s">
        <v>1100</v>
      </c>
      <c r="H892" t="s">
        <v>1100</v>
      </c>
      <c r="I892" t="s">
        <v>1100</v>
      </c>
    </row>
    <row r="893" spans="1:9" x14ac:dyDescent="0.2">
      <c r="A893">
        <v>43</v>
      </c>
      <c r="B893">
        <v>6</v>
      </c>
      <c r="C893" t="s">
        <v>8</v>
      </c>
      <c r="D893">
        <v>1</v>
      </c>
      <c r="E893">
        <v>0.89586857741232995</v>
      </c>
      <c r="F893">
        <v>1</v>
      </c>
      <c r="G893" s="1" t="s">
        <v>1101</v>
      </c>
      <c r="H893" t="s">
        <v>1101</v>
      </c>
      <c r="I893" t="s">
        <v>1101</v>
      </c>
    </row>
    <row r="894" spans="1:9" x14ac:dyDescent="0.2">
      <c r="A894">
        <v>71</v>
      </c>
      <c r="B894">
        <v>8</v>
      </c>
      <c r="C894" t="s">
        <v>16</v>
      </c>
      <c r="D894">
        <v>0</v>
      </c>
      <c r="E894">
        <v>0.56466349784750502</v>
      </c>
      <c r="F894">
        <v>2</v>
      </c>
      <c r="G894" s="1" t="s">
        <v>1102</v>
      </c>
      <c r="H894" t="s">
        <v>1103</v>
      </c>
      <c r="I894" t="s">
        <v>1102</v>
      </c>
    </row>
    <row r="895" spans="1:9" x14ac:dyDescent="0.2">
      <c r="A895">
        <v>90</v>
      </c>
      <c r="B895">
        <v>13</v>
      </c>
      <c r="C895" t="s">
        <v>16</v>
      </c>
      <c r="D895">
        <v>0</v>
      </c>
      <c r="E895">
        <v>0.82554310350678906</v>
      </c>
      <c r="F895">
        <v>1</v>
      </c>
      <c r="G895" s="1" t="s">
        <v>1104</v>
      </c>
      <c r="H895" t="s">
        <v>1104</v>
      </c>
      <c r="I895" t="s">
        <v>1104</v>
      </c>
    </row>
    <row r="896" spans="1:9" x14ac:dyDescent="0.2">
      <c r="A896">
        <v>32</v>
      </c>
      <c r="B896">
        <v>15</v>
      </c>
      <c r="C896" t="s">
        <v>8</v>
      </c>
      <c r="D896">
        <v>1</v>
      </c>
      <c r="E896">
        <v>0.97405930468812596</v>
      </c>
      <c r="F896">
        <v>1</v>
      </c>
      <c r="G896" s="1" t="s">
        <v>1105</v>
      </c>
      <c r="H896" t="s">
        <v>1105</v>
      </c>
      <c r="I896" t="s">
        <v>1105</v>
      </c>
    </row>
    <row r="897" spans="1:9" x14ac:dyDescent="0.2">
      <c r="A897">
        <v>77</v>
      </c>
      <c r="B897">
        <v>6</v>
      </c>
      <c r="C897" t="s">
        <v>10</v>
      </c>
      <c r="D897">
        <v>0</v>
      </c>
      <c r="E897">
        <v>0.64332013181410697</v>
      </c>
      <c r="F897">
        <v>1</v>
      </c>
      <c r="G897" s="1" t="s">
        <v>1106</v>
      </c>
      <c r="H897" t="s">
        <v>1106</v>
      </c>
      <c r="I897" t="s">
        <v>1106</v>
      </c>
    </row>
    <row r="898" spans="1:9" x14ac:dyDescent="0.2">
      <c r="A898">
        <v>23</v>
      </c>
      <c r="B898">
        <v>11</v>
      </c>
      <c r="C898" t="s">
        <v>10</v>
      </c>
      <c r="D898">
        <v>0</v>
      </c>
      <c r="E898">
        <v>0.66126772563438896</v>
      </c>
      <c r="F898">
        <v>1</v>
      </c>
      <c r="G898" s="1" t="s">
        <v>1107</v>
      </c>
      <c r="H898" t="s">
        <v>1107</v>
      </c>
      <c r="I898" t="s">
        <v>1107</v>
      </c>
    </row>
    <row r="899" spans="1:9" x14ac:dyDescent="0.2">
      <c r="A899">
        <v>84</v>
      </c>
      <c r="B899">
        <v>7</v>
      </c>
      <c r="C899" t="s">
        <v>10</v>
      </c>
      <c r="D899">
        <v>1</v>
      </c>
      <c r="E899">
        <v>0.64225941291078903</v>
      </c>
      <c r="F899">
        <v>1</v>
      </c>
      <c r="G899" s="1" t="s">
        <v>1108</v>
      </c>
      <c r="H899" t="s">
        <v>1108</v>
      </c>
      <c r="I899" t="s">
        <v>1108</v>
      </c>
    </row>
    <row r="900" spans="1:9" x14ac:dyDescent="0.2">
      <c r="A900">
        <v>76</v>
      </c>
      <c r="B900">
        <v>14</v>
      </c>
      <c r="C900" t="s">
        <v>10</v>
      </c>
      <c r="D900">
        <v>0</v>
      </c>
      <c r="E900">
        <v>0.95369726675562605</v>
      </c>
      <c r="F900">
        <v>1</v>
      </c>
      <c r="G900" s="1" t="s">
        <v>1109</v>
      </c>
      <c r="H900" t="s">
        <v>1109</v>
      </c>
      <c r="I900" t="s">
        <v>1109</v>
      </c>
    </row>
    <row r="901" spans="1:9" x14ac:dyDescent="0.2">
      <c r="A901">
        <v>80</v>
      </c>
      <c r="B901">
        <v>4</v>
      </c>
      <c r="C901" t="s">
        <v>8</v>
      </c>
      <c r="D901">
        <v>1</v>
      </c>
      <c r="E901">
        <v>0.81160840624943398</v>
      </c>
      <c r="F901">
        <v>1</v>
      </c>
      <c r="G901" s="1" t="s">
        <v>1110</v>
      </c>
      <c r="H901" t="s">
        <v>1110</v>
      </c>
      <c r="I901" t="s">
        <v>1110</v>
      </c>
    </row>
    <row r="902" spans="1:9" x14ac:dyDescent="0.2">
      <c r="A902">
        <v>77</v>
      </c>
      <c r="B902">
        <v>8</v>
      </c>
      <c r="C902" t="s">
        <v>16</v>
      </c>
      <c r="D902">
        <v>0</v>
      </c>
      <c r="E902">
        <v>0.90244289464317295</v>
      </c>
      <c r="F902">
        <v>2</v>
      </c>
      <c r="G902" s="1" t="s">
        <v>1111</v>
      </c>
      <c r="H902" t="s">
        <v>1112</v>
      </c>
      <c r="I902" t="s">
        <v>1111</v>
      </c>
    </row>
    <row r="903" spans="1:9" x14ac:dyDescent="0.2">
      <c r="A903">
        <v>54</v>
      </c>
      <c r="B903">
        <v>9</v>
      </c>
      <c r="C903" t="s">
        <v>16</v>
      </c>
      <c r="D903">
        <v>1</v>
      </c>
      <c r="E903">
        <v>0.72633698815479897</v>
      </c>
      <c r="F903">
        <v>1</v>
      </c>
      <c r="G903" s="1" t="s">
        <v>1113</v>
      </c>
      <c r="H903" t="s">
        <v>1113</v>
      </c>
      <c r="I903" t="s">
        <v>1113</v>
      </c>
    </row>
    <row r="904" spans="1:9" x14ac:dyDescent="0.2">
      <c r="A904">
        <v>23</v>
      </c>
      <c r="B904">
        <v>8</v>
      </c>
      <c r="C904" t="s">
        <v>16</v>
      </c>
      <c r="D904">
        <v>0</v>
      </c>
      <c r="E904">
        <v>0.95537232689093798</v>
      </c>
      <c r="F904">
        <v>1</v>
      </c>
      <c r="G904" s="1" t="s">
        <v>1114</v>
      </c>
      <c r="H904" t="s">
        <v>1114</v>
      </c>
      <c r="I904" t="s">
        <v>1114</v>
      </c>
    </row>
    <row r="905" spans="1:9" x14ac:dyDescent="0.2">
      <c r="A905">
        <v>34</v>
      </c>
      <c r="B905">
        <v>11</v>
      </c>
      <c r="C905" t="s">
        <v>16</v>
      </c>
      <c r="D905">
        <v>2</v>
      </c>
      <c r="E905">
        <v>0.86986043571960203</v>
      </c>
      <c r="F905">
        <v>1</v>
      </c>
      <c r="G905" s="1" t="s">
        <v>1115</v>
      </c>
      <c r="H905" t="s">
        <v>1115</v>
      </c>
      <c r="I905" t="s">
        <v>1115</v>
      </c>
    </row>
    <row r="906" spans="1:9" x14ac:dyDescent="0.2">
      <c r="A906">
        <v>88</v>
      </c>
      <c r="B906">
        <v>7</v>
      </c>
      <c r="C906" t="s">
        <v>16</v>
      </c>
      <c r="D906">
        <v>1</v>
      </c>
      <c r="E906">
        <v>0.89479774807114199</v>
      </c>
      <c r="F906">
        <v>2</v>
      </c>
      <c r="G906" s="1" t="s">
        <v>1116</v>
      </c>
      <c r="H906" t="s">
        <v>1117</v>
      </c>
      <c r="I906" t="s">
        <v>1116</v>
      </c>
    </row>
    <row r="907" spans="1:9" x14ac:dyDescent="0.2">
      <c r="A907">
        <v>26</v>
      </c>
      <c r="B907">
        <v>1</v>
      </c>
      <c r="C907" t="s">
        <v>8</v>
      </c>
      <c r="D907">
        <v>1</v>
      </c>
      <c r="E907">
        <v>0.679452449316159</v>
      </c>
      <c r="F907">
        <v>1</v>
      </c>
      <c r="G907" s="1" t="s">
        <v>1118</v>
      </c>
      <c r="H907" t="s">
        <v>1118</v>
      </c>
      <c r="I907" t="s">
        <v>1118</v>
      </c>
    </row>
    <row r="908" spans="1:9" x14ac:dyDescent="0.2">
      <c r="A908">
        <v>74</v>
      </c>
      <c r="B908">
        <v>0</v>
      </c>
      <c r="C908" t="s">
        <v>8</v>
      </c>
      <c r="D908">
        <v>0</v>
      </c>
      <c r="E908">
        <v>0.76860484341159496</v>
      </c>
      <c r="F908">
        <v>1</v>
      </c>
      <c r="G908" s="1" t="s">
        <v>1119</v>
      </c>
      <c r="H908" t="s">
        <v>1119</v>
      </c>
      <c r="I908" t="s">
        <v>1119</v>
      </c>
    </row>
    <row r="909" spans="1:9" x14ac:dyDescent="0.2">
      <c r="A909">
        <v>27</v>
      </c>
      <c r="B909">
        <v>13</v>
      </c>
      <c r="C909" t="s">
        <v>8</v>
      </c>
      <c r="D909">
        <v>0</v>
      </c>
      <c r="E909">
        <v>0.93176545109599795</v>
      </c>
      <c r="F909">
        <v>1</v>
      </c>
      <c r="G909" s="1" t="s">
        <v>1120</v>
      </c>
      <c r="H909" t="s">
        <v>1120</v>
      </c>
      <c r="I909" t="s">
        <v>1120</v>
      </c>
    </row>
    <row r="910" spans="1:9" x14ac:dyDescent="0.2">
      <c r="A910">
        <v>49</v>
      </c>
      <c r="B910">
        <v>1</v>
      </c>
      <c r="C910" t="s">
        <v>16</v>
      </c>
      <c r="D910">
        <v>3</v>
      </c>
      <c r="E910">
        <v>0.86703487031627402</v>
      </c>
      <c r="F910">
        <v>1</v>
      </c>
      <c r="G910" s="1" t="s">
        <v>1121</v>
      </c>
      <c r="H910" t="s">
        <v>1121</v>
      </c>
      <c r="I910" t="s">
        <v>1121</v>
      </c>
    </row>
    <row r="911" spans="1:9" x14ac:dyDescent="0.2">
      <c r="A911">
        <v>76</v>
      </c>
      <c r="B911">
        <v>5</v>
      </c>
      <c r="C911" t="s">
        <v>8</v>
      </c>
      <c r="D911">
        <v>1</v>
      </c>
      <c r="E911">
        <v>0.88129950291477099</v>
      </c>
      <c r="F911">
        <v>1</v>
      </c>
      <c r="G911" s="1" t="s">
        <v>1122</v>
      </c>
      <c r="H911" t="s">
        <v>1122</v>
      </c>
      <c r="I911" t="s">
        <v>1122</v>
      </c>
    </row>
    <row r="912" spans="1:9" x14ac:dyDescent="0.2">
      <c r="A912">
        <v>67</v>
      </c>
      <c r="B912">
        <v>13</v>
      </c>
      <c r="C912" t="s">
        <v>16</v>
      </c>
      <c r="D912">
        <v>0</v>
      </c>
      <c r="E912">
        <v>0.68444709200412002</v>
      </c>
      <c r="F912">
        <v>1</v>
      </c>
      <c r="G912" s="1" t="s">
        <v>1123</v>
      </c>
      <c r="H912" t="s">
        <v>1123</v>
      </c>
      <c r="I912" t="s">
        <v>1123</v>
      </c>
    </row>
    <row r="913" spans="1:9" x14ac:dyDescent="0.2">
      <c r="A913">
        <v>73</v>
      </c>
      <c r="B913">
        <v>6</v>
      </c>
      <c r="C913" t="s">
        <v>8</v>
      </c>
      <c r="D913">
        <v>1</v>
      </c>
      <c r="E913">
        <v>0.68718659435398899</v>
      </c>
      <c r="F913">
        <v>1</v>
      </c>
      <c r="G913" s="1" t="s">
        <v>1124</v>
      </c>
      <c r="H913" t="s">
        <v>1124</v>
      </c>
      <c r="I913" t="s">
        <v>1124</v>
      </c>
    </row>
    <row r="914" spans="1:9" x14ac:dyDescent="0.2">
      <c r="A914">
        <v>67</v>
      </c>
      <c r="B914">
        <v>8</v>
      </c>
      <c r="C914" t="s">
        <v>8</v>
      </c>
      <c r="D914">
        <v>0</v>
      </c>
      <c r="E914">
        <v>0.86879900051280901</v>
      </c>
      <c r="F914">
        <v>2</v>
      </c>
      <c r="G914" s="1" t="s">
        <v>1125</v>
      </c>
      <c r="H914" t="s">
        <v>1126</v>
      </c>
      <c r="I914" t="s">
        <v>1125</v>
      </c>
    </row>
    <row r="915" spans="1:9" x14ac:dyDescent="0.2">
      <c r="A915">
        <v>31</v>
      </c>
      <c r="B915">
        <v>2</v>
      </c>
      <c r="C915" t="s">
        <v>16</v>
      </c>
      <c r="D915">
        <v>0</v>
      </c>
      <c r="E915">
        <v>0.71324977581389204</v>
      </c>
      <c r="F915">
        <v>1</v>
      </c>
      <c r="G915" s="1" t="s">
        <v>1127</v>
      </c>
      <c r="H915" t="s">
        <v>1127</v>
      </c>
      <c r="I915" t="s">
        <v>1127</v>
      </c>
    </row>
    <row r="916" spans="1:9" x14ac:dyDescent="0.2">
      <c r="A916">
        <v>25</v>
      </c>
      <c r="B916">
        <v>6</v>
      </c>
      <c r="C916" t="s">
        <v>16</v>
      </c>
      <c r="D916">
        <v>1</v>
      </c>
      <c r="E916">
        <v>0.82716621807776403</v>
      </c>
      <c r="F916">
        <v>2</v>
      </c>
      <c r="G916" s="1" t="s">
        <v>1128</v>
      </c>
      <c r="H916" t="s">
        <v>1129</v>
      </c>
      <c r="I916" t="s">
        <v>1128</v>
      </c>
    </row>
    <row r="917" spans="1:9" x14ac:dyDescent="0.2">
      <c r="A917">
        <v>19</v>
      </c>
      <c r="B917">
        <v>10</v>
      </c>
      <c r="C917" t="s">
        <v>8</v>
      </c>
      <c r="D917">
        <v>2</v>
      </c>
      <c r="E917">
        <v>0.61333056143484999</v>
      </c>
      <c r="F917">
        <v>1</v>
      </c>
      <c r="G917" s="1" t="s">
        <v>1130</v>
      </c>
      <c r="H917" t="s">
        <v>1130</v>
      </c>
      <c r="I917" t="s">
        <v>1130</v>
      </c>
    </row>
    <row r="918" spans="1:9" x14ac:dyDescent="0.2">
      <c r="A918">
        <v>83</v>
      </c>
      <c r="B918">
        <v>14</v>
      </c>
      <c r="C918" t="s">
        <v>8</v>
      </c>
      <c r="D918">
        <v>1</v>
      </c>
      <c r="E918">
        <v>0.58738034009002105</v>
      </c>
      <c r="F918">
        <v>1</v>
      </c>
      <c r="G918" s="1" t="s">
        <v>1131</v>
      </c>
      <c r="H918" t="s">
        <v>1131</v>
      </c>
      <c r="I918" t="s">
        <v>1131</v>
      </c>
    </row>
    <row r="919" spans="1:9" x14ac:dyDescent="0.2">
      <c r="A919">
        <v>24</v>
      </c>
      <c r="B919">
        <v>10</v>
      </c>
      <c r="C919" t="s">
        <v>8</v>
      </c>
      <c r="D919">
        <v>0</v>
      </c>
      <c r="E919">
        <v>0.64801700611133095</v>
      </c>
      <c r="F919">
        <v>2</v>
      </c>
      <c r="G919" s="1" t="s">
        <v>1132</v>
      </c>
      <c r="H919" t="s">
        <v>1133</v>
      </c>
      <c r="I919" t="s">
        <v>1132</v>
      </c>
    </row>
    <row r="920" spans="1:9" x14ac:dyDescent="0.2">
      <c r="A920">
        <v>58</v>
      </c>
      <c r="B920">
        <v>8</v>
      </c>
      <c r="C920" t="s">
        <v>8</v>
      </c>
      <c r="D920">
        <v>0</v>
      </c>
      <c r="E920">
        <v>0.98314303031656902</v>
      </c>
      <c r="F920">
        <v>1</v>
      </c>
      <c r="G920" s="1" t="s">
        <v>1134</v>
      </c>
      <c r="H920" t="s">
        <v>1134</v>
      </c>
      <c r="I920" t="s">
        <v>1134</v>
      </c>
    </row>
    <row r="921" spans="1:9" x14ac:dyDescent="0.2">
      <c r="A921">
        <v>50</v>
      </c>
      <c r="B921">
        <v>12</v>
      </c>
      <c r="C921" t="s">
        <v>8</v>
      </c>
      <c r="D921">
        <v>1</v>
      </c>
      <c r="E921">
        <v>0.99760546500328895</v>
      </c>
      <c r="F921">
        <v>1</v>
      </c>
      <c r="G921" s="1" t="s">
        <v>1135</v>
      </c>
      <c r="H921" t="s">
        <v>1135</v>
      </c>
      <c r="I921" t="s">
        <v>1135</v>
      </c>
    </row>
    <row r="922" spans="1:9" x14ac:dyDescent="0.2">
      <c r="A922">
        <v>71</v>
      </c>
      <c r="B922">
        <v>3</v>
      </c>
      <c r="C922" t="s">
        <v>8</v>
      </c>
      <c r="D922">
        <v>0</v>
      </c>
      <c r="E922">
        <v>0.81930246273986995</v>
      </c>
      <c r="F922">
        <v>1</v>
      </c>
      <c r="G922" s="1" t="s">
        <v>1136</v>
      </c>
      <c r="H922" t="s">
        <v>1136</v>
      </c>
      <c r="I922" t="s">
        <v>1136</v>
      </c>
    </row>
    <row r="923" spans="1:9" x14ac:dyDescent="0.2">
      <c r="A923">
        <v>66</v>
      </c>
      <c r="B923">
        <v>4</v>
      </c>
      <c r="C923" t="s">
        <v>8</v>
      </c>
      <c r="D923">
        <v>0</v>
      </c>
      <c r="E923">
        <v>0.736238594632596</v>
      </c>
      <c r="F923">
        <v>2</v>
      </c>
      <c r="G923" s="1" t="s">
        <v>1137</v>
      </c>
      <c r="H923" t="s">
        <v>1138</v>
      </c>
      <c r="I923" t="s">
        <v>1137</v>
      </c>
    </row>
    <row r="924" spans="1:9" x14ac:dyDescent="0.2">
      <c r="A924">
        <v>45</v>
      </c>
      <c r="B924">
        <v>4</v>
      </c>
      <c r="C924" t="s">
        <v>10</v>
      </c>
      <c r="D924">
        <v>1</v>
      </c>
      <c r="E924">
        <v>0.76464115153066803</v>
      </c>
      <c r="F924">
        <v>1</v>
      </c>
      <c r="G924" s="1" t="s">
        <v>1139</v>
      </c>
      <c r="H924" t="s">
        <v>1139</v>
      </c>
      <c r="I924" t="s">
        <v>1139</v>
      </c>
    </row>
    <row r="925" spans="1:9" x14ac:dyDescent="0.2">
      <c r="A925">
        <v>38</v>
      </c>
      <c r="B925">
        <v>11</v>
      </c>
      <c r="C925" t="s">
        <v>16</v>
      </c>
      <c r="D925">
        <v>0</v>
      </c>
      <c r="E925">
        <v>0.680867501767352</v>
      </c>
      <c r="F925">
        <v>1</v>
      </c>
      <c r="G925" s="1" t="s">
        <v>1140</v>
      </c>
      <c r="H925" t="s">
        <v>1140</v>
      </c>
      <c r="I925" t="s">
        <v>1140</v>
      </c>
    </row>
    <row r="926" spans="1:9" x14ac:dyDescent="0.2">
      <c r="A926">
        <v>59</v>
      </c>
      <c r="B926">
        <v>11</v>
      </c>
      <c r="C926" t="s">
        <v>10</v>
      </c>
      <c r="D926">
        <v>0</v>
      </c>
      <c r="E926">
        <v>0.63416714896448001</v>
      </c>
      <c r="F926">
        <v>1</v>
      </c>
      <c r="G926" s="1" t="s">
        <v>1141</v>
      </c>
      <c r="H926" t="s">
        <v>1141</v>
      </c>
      <c r="I926" t="s">
        <v>1141</v>
      </c>
    </row>
    <row r="927" spans="1:9" x14ac:dyDescent="0.2">
      <c r="A927">
        <v>57</v>
      </c>
      <c r="B927">
        <v>0</v>
      </c>
      <c r="C927" t="s">
        <v>16</v>
      </c>
      <c r="D927">
        <v>0</v>
      </c>
      <c r="E927">
        <v>0.87910018011461899</v>
      </c>
      <c r="F927">
        <v>2</v>
      </c>
      <c r="G927" s="1" t="s">
        <v>1142</v>
      </c>
      <c r="H927" t="s">
        <v>1143</v>
      </c>
      <c r="I927" t="s">
        <v>1142</v>
      </c>
    </row>
    <row r="928" spans="1:9" x14ac:dyDescent="0.2">
      <c r="A928">
        <v>80</v>
      </c>
      <c r="B928">
        <v>5</v>
      </c>
      <c r="C928" t="s">
        <v>16</v>
      </c>
      <c r="D928">
        <v>1</v>
      </c>
      <c r="E928">
        <v>0.81249547179322701</v>
      </c>
      <c r="F928">
        <v>1</v>
      </c>
      <c r="G928" s="1" t="s">
        <v>1144</v>
      </c>
      <c r="H928" t="s">
        <v>1144</v>
      </c>
      <c r="I928" t="s">
        <v>1144</v>
      </c>
    </row>
    <row r="929" spans="1:9" x14ac:dyDescent="0.2">
      <c r="A929">
        <v>60</v>
      </c>
      <c r="B929">
        <v>5</v>
      </c>
      <c r="C929" t="s">
        <v>10</v>
      </c>
      <c r="D929">
        <v>0</v>
      </c>
      <c r="E929">
        <v>0.71969775808975101</v>
      </c>
      <c r="F929">
        <v>1</v>
      </c>
      <c r="G929" s="1" t="s">
        <v>1145</v>
      </c>
      <c r="H929" t="s">
        <v>1145</v>
      </c>
      <c r="I929" t="s">
        <v>1145</v>
      </c>
    </row>
    <row r="930" spans="1:9" x14ac:dyDescent="0.2">
      <c r="A930">
        <v>74</v>
      </c>
      <c r="B930">
        <v>11</v>
      </c>
      <c r="C930" t="s">
        <v>8</v>
      </c>
      <c r="D930">
        <v>0</v>
      </c>
      <c r="E930">
        <v>0.68344675167463698</v>
      </c>
      <c r="F930">
        <v>1</v>
      </c>
      <c r="G930" s="1" t="s">
        <v>1146</v>
      </c>
      <c r="H930" t="s">
        <v>1146</v>
      </c>
      <c r="I930" t="s">
        <v>1146</v>
      </c>
    </row>
    <row r="931" spans="1:9" x14ac:dyDescent="0.2">
      <c r="A931">
        <v>83</v>
      </c>
      <c r="B931">
        <v>2</v>
      </c>
      <c r="C931" t="s">
        <v>16</v>
      </c>
      <c r="D931">
        <v>0</v>
      </c>
      <c r="E931">
        <v>0.92746134288608995</v>
      </c>
      <c r="F931">
        <v>1</v>
      </c>
      <c r="G931" s="1" t="s">
        <v>1147</v>
      </c>
      <c r="H931" t="s">
        <v>1147</v>
      </c>
      <c r="I931" t="s">
        <v>1147</v>
      </c>
    </row>
    <row r="932" spans="1:9" x14ac:dyDescent="0.2">
      <c r="A932">
        <v>26</v>
      </c>
      <c r="B932">
        <v>10</v>
      </c>
      <c r="C932" t="s">
        <v>8</v>
      </c>
      <c r="D932">
        <v>1</v>
      </c>
      <c r="E932">
        <v>0.865896779694594</v>
      </c>
      <c r="F932">
        <v>1</v>
      </c>
      <c r="G932" s="1" t="s">
        <v>1148</v>
      </c>
      <c r="H932" t="s">
        <v>1148</v>
      </c>
      <c r="I932" t="s">
        <v>1148</v>
      </c>
    </row>
    <row r="933" spans="1:9" x14ac:dyDescent="0.2">
      <c r="A933">
        <v>67</v>
      </c>
      <c r="B933">
        <v>9</v>
      </c>
      <c r="C933" t="s">
        <v>8</v>
      </c>
      <c r="D933">
        <v>0</v>
      </c>
      <c r="E933">
        <v>0.64247973461169705</v>
      </c>
      <c r="F933">
        <v>2</v>
      </c>
      <c r="G933" s="1" t="s">
        <v>1149</v>
      </c>
      <c r="H933" t="s">
        <v>1150</v>
      </c>
      <c r="I933" t="s">
        <v>1149</v>
      </c>
    </row>
    <row r="934" spans="1:9" x14ac:dyDescent="0.2">
      <c r="A934">
        <v>81</v>
      </c>
      <c r="B934">
        <v>1</v>
      </c>
      <c r="C934" t="s">
        <v>16</v>
      </c>
      <c r="D934">
        <v>2</v>
      </c>
      <c r="E934">
        <v>0.65508583583868996</v>
      </c>
      <c r="F934">
        <v>1</v>
      </c>
      <c r="G934" s="1" t="s">
        <v>1151</v>
      </c>
      <c r="H934" t="s">
        <v>1151</v>
      </c>
      <c r="I934" t="s">
        <v>1151</v>
      </c>
    </row>
    <row r="935" spans="1:9" x14ac:dyDescent="0.2">
      <c r="A935">
        <v>47</v>
      </c>
      <c r="B935">
        <v>11</v>
      </c>
      <c r="C935" t="s">
        <v>8</v>
      </c>
      <c r="D935">
        <v>1</v>
      </c>
      <c r="E935">
        <v>0.98080961382947895</v>
      </c>
      <c r="F935">
        <v>2</v>
      </c>
      <c r="G935" s="1" t="s">
        <v>1152</v>
      </c>
      <c r="H935" t="s">
        <v>1153</v>
      </c>
      <c r="I935" t="s">
        <v>1152</v>
      </c>
    </row>
    <row r="936" spans="1:9" x14ac:dyDescent="0.2">
      <c r="A936">
        <v>59</v>
      </c>
      <c r="B936">
        <v>12</v>
      </c>
      <c r="C936" t="s">
        <v>10</v>
      </c>
      <c r="D936">
        <v>0</v>
      </c>
      <c r="E936">
        <v>0.515099690062925</v>
      </c>
      <c r="F936">
        <v>1</v>
      </c>
      <c r="G936" s="1" t="s">
        <v>1154</v>
      </c>
      <c r="H936" t="s">
        <v>1154</v>
      </c>
      <c r="I936" t="s">
        <v>1154</v>
      </c>
    </row>
    <row r="937" spans="1:9" x14ac:dyDescent="0.2">
      <c r="A937">
        <v>39</v>
      </c>
      <c r="B937">
        <v>9</v>
      </c>
      <c r="C937" t="s">
        <v>8</v>
      </c>
      <c r="D937">
        <v>0</v>
      </c>
      <c r="E937">
        <v>0.68701285263523504</v>
      </c>
      <c r="F937">
        <v>1</v>
      </c>
      <c r="G937" s="1" t="s">
        <v>1155</v>
      </c>
      <c r="H937" t="s">
        <v>1155</v>
      </c>
      <c r="I937" t="s">
        <v>1155</v>
      </c>
    </row>
    <row r="938" spans="1:9" x14ac:dyDescent="0.2">
      <c r="A938">
        <v>82</v>
      </c>
      <c r="B938">
        <v>7</v>
      </c>
      <c r="C938" t="s">
        <v>8</v>
      </c>
      <c r="D938">
        <v>0</v>
      </c>
      <c r="E938">
        <v>0.572347829234786</v>
      </c>
      <c r="F938">
        <v>1</v>
      </c>
      <c r="G938" s="1" t="s">
        <v>1156</v>
      </c>
      <c r="H938" t="s">
        <v>1156</v>
      </c>
      <c r="I938" t="s">
        <v>1156</v>
      </c>
    </row>
    <row r="939" spans="1:9" x14ac:dyDescent="0.2">
      <c r="A939">
        <v>23</v>
      </c>
      <c r="B939">
        <v>10</v>
      </c>
      <c r="C939" t="s">
        <v>8</v>
      </c>
      <c r="D939">
        <v>1</v>
      </c>
      <c r="E939">
        <v>0.788202683790587</v>
      </c>
      <c r="F939">
        <v>1</v>
      </c>
      <c r="G939" s="1" t="s">
        <v>1157</v>
      </c>
      <c r="H939" t="s">
        <v>1157</v>
      </c>
      <c r="I939" t="s">
        <v>1157</v>
      </c>
    </row>
    <row r="940" spans="1:9" x14ac:dyDescent="0.2">
      <c r="A940">
        <v>62</v>
      </c>
      <c r="B940">
        <v>2</v>
      </c>
      <c r="C940" t="s">
        <v>16</v>
      </c>
      <c r="D940">
        <v>0</v>
      </c>
      <c r="E940">
        <v>0.93104005162604198</v>
      </c>
      <c r="F940">
        <v>1</v>
      </c>
      <c r="G940" s="1" t="s">
        <v>1158</v>
      </c>
      <c r="H940" t="s">
        <v>1158</v>
      </c>
      <c r="I940" t="s">
        <v>1158</v>
      </c>
    </row>
    <row r="941" spans="1:9" x14ac:dyDescent="0.2">
      <c r="A941">
        <v>83</v>
      </c>
      <c r="B941">
        <v>6</v>
      </c>
      <c r="C941" t="s">
        <v>8</v>
      </c>
      <c r="D941">
        <v>0</v>
      </c>
      <c r="E941">
        <v>0.67430539941415202</v>
      </c>
      <c r="F941">
        <v>1</v>
      </c>
      <c r="G941" s="1" t="s">
        <v>1159</v>
      </c>
      <c r="H941" t="s">
        <v>1159</v>
      </c>
      <c r="I941" t="s">
        <v>1159</v>
      </c>
    </row>
    <row r="942" spans="1:9" x14ac:dyDescent="0.2">
      <c r="A942">
        <v>60</v>
      </c>
      <c r="B942">
        <v>4</v>
      </c>
      <c r="C942" t="s">
        <v>8</v>
      </c>
      <c r="D942">
        <v>0</v>
      </c>
      <c r="E942">
        <v>0.97609423799440298</v>
      </c>
      <c r="F942">
        <v>1</v>
      </c>
      <c r="G942" s="1" t="s">
        <v>1160</v>
      </c>
      <c r="H942" t="s">
        <v>1160</v>
      </c>
      <c r="I942" t="s">
        <v>1160</v>
      </c>
    </row>
    <row r="943" spans="1:9" x14ac:dyDescent="0.2">
      <c r="A943">
        <v>86</v>
      </c>
      <c r="B943">
        <v>6</v>
      </c>
      <c r="C943" t="s">
        <v>8</v>
      </c>
      <c r="D943">
        <v>0</v>
      </c>
      <c r="E943">
        <v>0.93923021375667304</v>
      </c>
      <c r="F943">
        <v>2</v>
      </c>
      <c r="G943" s="1" t="s">
        <v>1161</v>
      </c>
      <c r="H943" t="s">
        <v>1162</v>
      </c>
      <c r="I943" t="s">
        <v>1161</v>
      </c>
    </row>
    <row r="944" spans="1:9" x14ac:dyDescent="0.2">
      <c r="A944">
        <v>83</v>
      </c>
      <c r="B944">
        <v>12</v>
      </c>
      <c r="C944" t="s">
        <v>8</v>
      </c>
      <c r="D944">
        <v>0</v>
      </c>
      <c r="E944">
        <v>0.50205538119189397</v>
      </c>
      <c r="F944">
        <v>1</v>
      </c>
      <c r="G944" s="1" t="s">
        <v>1163</v>
      </c>
      <c r="H944" t="s">
        <v>1163</v>
      </c>
      <c r="I944" t="s">
        <v>1163</v>
      </c>
    </row>
    <row r="945" spans="1:9" x14ac:dyDescent="0.2">
      <c r="A945">
        <v>78</v>
      </c>
      <c r="B945">
        <v>12</v>
      </c>
      <c r="C945" t="s">
        <v>16</v>
      </c>
      <c r="D945">
        <v>0</v>
      </c>
      <c r="E945">
        <v>0.78299323935061704</v>
      </c>
      <c r="F945">
        <v>2</v>
      </c>
      <c r="G945" s="1" t="s">
        <v>1164</v>
      </c>
      <c r="H945" t="s">
        <v>1165</v>
      </c>
      <c r="I945" t="s">
        <v>1164</v>
      </c>
    </row>
    <row r="946" spans="1:9" x14ac:dyDescent="0.2">
      <c r="A946">
        <v>27</v>
      </c>
      <c r="B946">
        <v>3</v>
      </c>
      <c r="C946" t="s">
        <v>10</v>
      </c>
      <c r="D946">
        <v>0</v>
      </c>
      <c r="E946">
        <v>0.52103377913590498</v>
      </c>
      <c r="F946">
        <v>1</v>
      </c>
      <c r="G946" s="1" t="s">
        <v>1166</v>
      </c>
      <c r="H946" t="s">
        <v>1166</v>
      </c>
      <c r="I946" t="s">
        <v>1166</v>
      </c>
    </row>
    <row r="947" spans="1:9" x14ac:dyDescent="0.2">
      <c r="A947">
        <v>21</v>
      </c>
      <c r="B947">
        <v>12</v>
      </c>
      <c r="C947" t="s">
        <v>8</v>
      </c>
      <c r="D947">
        <v>0</v>
      </c>
      <c r="E947">
        <v>0.89161447691731199</v>
      </c>
      <c r="F947">
        <v>1</v>
      </c>
      <c r="G947" s="1" t="s">
        <v>1167</v>
      </c>
      <c r="H947" t="s">
        <v>1167</v>
      </c>
      <c r="I947" t="s">
        <v>1167</v>
      </c>
    </row>
    <row r="948" spans="1:9" x14ac:dyDescent="0.2">
      <c r="A948">
        <v>69</v>
      </c>
      <c r="B948">
        <v>3</v>
      </c>
      <c r="C948" t="s">
        <v>8</v>
      </c>
      <c r="D948">
        <v>0</v>
      </c>
      <c r="E948">
        <v>0.93497272278182197</v>
      </c>
      <c r="F948">
        <v>1</v>
      </c>
      <c r="G948" s="1" t="s">
        <v>1168</v>
      </c>
      <c r="H948" t="s">
        <v>1168</v>
      </c>
      <c r="I948" t="s">
        <v>1168</v>
      </c>
    </row>
    <row r="949" spans="1:9" x14ac:dyDescent="0.2">
      <c r="A949">
        <v>70</v>
      </c>
      <c r="B949">
        <v>12</v>
      </c>
      <c r="C949" t="s">
        <v>10</v>
      </c>
      <c r="D949">
        <v>0</v>
      </c>
      <c r="E949">
        <v>0.63454422587528803</v>
      </c>
      <c r="F949">
        <v>1</v>
      </c>
      <c r="G949" s="1" t="s">
        <v>1169</v>
      </c>
      <c r="H949" t="s">
        <v>1169</v>
      </c>
      <c r="I949" t="s">
        <v>1169</v>
      </c>
    </row>
    <row r="950" spans="1:9" x14ac:dyDescent="0.2">
      <c r="A950">
        <v>75</v>
      </c>
      <c r="B950">
        <v>3</v>
      </c>
      <c r="C950" t="s">
        <v>10</v>
      </c>
      <c r="D950">
        <v>0</v>
      </c>
      <c r="E950">
        <v>0.74496597785037</v>
      </c>
      <c r="F950">
        <v>1</v>
      </c>
      <c r="G950" s="1" t="s">
        <v>1170</v>
      </c>
      <c r="H950" t="s">
        <v>1170</v>
      </c>
      <c r="I950" t="s">
        <v>1170</v>
      </c>
    </row>
    <row r="951" spans="1:9" x14ac:dyDescent="0.2">
      <c r="A951">
        <v>34</v>
      </c>
      <c r="B951">
        <v>9</v>
      </c>
      <c r="C951" t="s">
        <v>16</v>
      </c>
      <c r="D951">
        <v>0</v>
      </c>
      <c r="E951">
        <v>0.81121733679901797</v>
      </c>
      <c r="F951">
        <v>2</v>
      </c>
      <c r="G951" s="1" t="s">
        <v>1171</v>
      </c>
      <c r="H951" t="s">
        <v>1172</v>
      </c>
      <c r="I951" t="s">
        <v>1171</v>
      </c>
    </row>
    <row r="952" spans="1:9" x14ac:dyDescent="0.2">
      <c r="A952">
        <v>59</v>
      </c>
      <c r="B952">
        <v>4</v>
      </c>
      <c r="C952" t="s">
        <v>8</v>
      </c>
      <c r="D952">
        <v>0</v>
      </c>
      <c r="E952">
        <v>0.68882862664759203</v>
      </c>
      <c r="F952">
        <v>1</v>
      </c>
      <c r="G952" s="1" t="s">
        <v>1173</v>
      </c>
      <c r="H952" t="s">
        <v>1173</v>
      </c>
      <c r="I952" t="s">
        <v>1173</v>
      </c>
    </row>
    <row r="953" spans="1:9" x14ac:dyDescent="0.2">
      <c r="A953">
        <v>68</v>
      </c>
      <c r="B953">
        <v>3</v>
      </c>
      <c r="C953" t="s">
        <v>10</v>
      </c>
      <c r="D953">
        <v>0</v>
      </c>
      <c r="E953">
        <v>0.69210163154639304</v>
      </c>
      <c r="F953">
        <v>2</v>
      </c>
      <c r="G953" s="1" t="s">
        <v>1174</v>
      </c>
      <c r="H953" t="s">
        <v>1175</v>
      </c>
      <c r="I953" t="s">
        <v>1174</v>
      </c>
    </row>
    <row r="954" spans="1:9" x14ac:dyDescent="0.2">
      <c r="A954">
        <v>45</v>
      </c>
      <c r="B954">
        <v>8</v>
      </c>
      <c r="C954" t="s">
        <v>8</v>
      </c>
      <c r="D954">
        <v>1</v>
      </c>
      <c r="E954">
        <v>0.65887785190716397</v>
      </c>
      <c r="F954">
        <v>1</v>
      </c>
      <c r="G954" s="1" t="s">
        <v>1176</v>
      </c>
      <c r="H954" t="s">
        <v>1176</v>
      </c>
      <c r="I954" t="s">
        <v>1176</v>
      </c>
    </row>
    <row r="955" spans="1:9" x14ac:dyDescent="0.2">
      <c r="A955">
        <v>79</v>
      </c>
      <c r="B955">
        <v>14</v>
      </c>
      <c r="C955" t="s">
        <v>8</v>
      </c>
      <c r="D955">
        <v>1</v>
      </c>
      <c r="E955">
        <v>0.91504742146935303</v>
      </c>
      <c r="F955">
        <v>2</v>
      </c>
      <c r="G955" s="1" t="s">
        <v>1177</v>
      </c>
      <c r="H955" t="s">
        <v>1178</v>
      </c>
      <c r="I955" t="s">
        <v>1177</v>
      </c>
    </row>
    <row r="956" spans="1:9" x14ac:dyDescent="0.2">
      <c r="A956">
        <v>79</v>
      </c>
      <c r="B956">
        <v>6</v>
      </c>
      <c r="C956" t="s">
        <v>8</v>
      </c>
      <c r="D956">
        <v>0</v>
      </c>
      <c r="E956">
        <v>0.95180643966887102</v>
      </c>
      <c r="F956">
        <v>1</v>
      </c>
      <c r="G956" s="1" t="s">
        <v>1179</v>
      </c>
      <c r="H956" t="s">
        <v>1179</v>
      </c>
      <c r="I956" t="s">
        <v>1179</v>
      </c>
    </row>
    <row r="957" spans="1:9" x14ac:dyDescent="0.2">
      <c r="A957">
        <v>70</v>
      </c>
      <c r="B957">
        <v>3</v>
      </c>
      <c r="C957" t="s">
        <v>16</v>
      </c>
      <c r="D957">
        <v>0</v>
      </c>
      <c r="E957">
        <v>0.89635515271220401</v>
      </c>
      <c r="F957">
        <v>1</v>
      </c>
      <c r="G957" s="1" t="s">
        <v>1180</v>
      </c>
      <c r="H957" t="s">
        <v>1180</v>
      </c>
      <c r="I957" t="s">
        <v>1180</v>
      </c>
    </row>
    <row r="958" spans="1:9" x14ac:dyDescent="0.2">
      <c r="A958">
        <v>72</v>
      </c>
      <c r="B958">
        <v>8</v>
      </c>
      <c r="C958" t="s">
        <v>16</v>
      </c>
      <c r="D958">
        <v>0</v>
      </c>
      <c r="E958">
        <v>0.75997743068728596</v>
      </c>
      <c r="F958">
        <v>2</v>
      </c>
      <c r="G958" s="1" t="s">
        <v>1181</v>
      </c>
      <c r="H958" t="s">
        <v>1182</v>
      </c>
      <c r="I958" t="s">
        <v>1181</v>
      </c>
    </row>
    <row r="959" spans="1:9" x14ac:dyDescent="0.2">
      <c r="A959">
        <v>37</v>
      </c>
      <c r="B959">
        <v>8</v>
      </c>
      <c r="C959" t="s">
        <v>16</v>
      </c>
      <c r="D959">
        <v>1</v>
      </c>
      <c r="E959">
        <v>0.80537032522261098</v>
      </c>
      <c r="F959">
        <v>1</v>
      </c>
      <c r="G959" s="1" t="s">
        <v>1183</v>
      </c>
      <c r="H959" t="s">
        <v>1183</v>
      </c>
      <c r="I959" t="s">
        <v>1183</v>
      </c>
    </row>
    <row r="960" spans="1:9" x14ac:dyDescent="0.2">
      <c r="A960">
        <v>86</v>
      </c>
      <c r="B960">
        <v>14</v>
      </c>
      <c r="C960" t="s">
        <v>10</v>
      </c>
      <c r="D960">
        <v>0</v>
      </c>
      <c r="E960">
        <v>0.81130074057728097</v>
      </c>
      <c r="F960">
        <v>1</v>
      </c>
      <c r="G960" s="1" t="s">
        <v>1184</v>
      </c>
      <c r="H960" t="s">
        <v>1184</v>
      </c>
      <c r="I960" t="s">
        <v>1184</v>
      </c>
    </row>
    <row r="961" spans="1:9" x14ac:dyDescent="0.2">
      <c r="A961">
        <v>76</v>
      </c>
      <c r="B961">
        <v>11</v>
      </c>
      <c r="C961" t="s">
        <v>16</v>
      </c>
      <c r="D961">
        <v>1</v>
      </c>
      <c r="E961">
        <v>0.84674836078193005</v>
      </c>
      <c r="F961">
        <v>2</v>
      </c>
      <c r="G961" s="1" t="s">
        <v>1185</v>
      </c>
      <c r="H961" t="s">
        <v>1186</v>
      </c>
      <c r="I961" t="s">
        <v>1185</v>
      </c>
    </row>
    <row r="962" spans="1:9" x14ac:dyDescent="0.2">
      <c r="A962">
        <v>47</v>
      </c>
      <c r="B962">
        <v>10</v>
      </c>
      <c r="C962" t="s">
        <v>16</v>
      </c>
      <c r="D962">
        <v>2</v>
      </c>
      <c r="E962">
        <v>0.61239619727712102</v>
      </c>
      <c r="F962">
        <v>1</v>
      </c>
      <c r="G962" s="1" t="s">
        <v>1187</v>
      </c>
      <c r="H962" t="s">
        <v>1187</v>
      </c>
      <c r="I962" t="s">
        <v>1187</v>
      </c>
    </row>
    <row r="963" spans="1:9" x14ac:dyDescent="0.2">
      <c r="A963">
        <v>85</v>
      </c>
      <c r="B963">
        <v>3</v>
      </c>
      <c r="C963" t="s">
        <v>8</v>
      </c>
      <c r="D963">
        <v>1</v>
      </c>
      <c r="E963">
        <v>0.52369672711938597</v>
      </c>
      <c r="F963">
        <v>1</v>
      </c>
      <c r="G963" s="1" t="s">
        <v>1188</v>
      </c>
      <c r="H963" t="s">
        <v>1188</v>
      </c>
      <c r="I963" t="s">
        <v>1188</v>
      </c>
    </row>
    <row r="964" spans="1:9" x14ac:dyDescent="0.2">
      <c r="A964">
        <v>74</v>
      </c>
      <c r="B964">
        <v>12</v>
      </c>
      <c r="C964" t="s">
        <v>10</v>
      </c>
      <c r="D964">
        <v>1</v>
      </c>
      <c r="E964">
        <v>0.98734171839896601</v>
      </c>
      <c r="F964">
        <v>3</v>
      </c>
      <c r="G964" s="1" t="s">
        <v>1189</v>
      </c>
      <c r="H964" t="s">
        <v>1190</v>
      </c>
      <c r="I964" t="s">
        <v>1189</v>
      </c>
    </row>
    <row r="965" spans="1:9" x14ac:dyDescent="0.2">
      <c r="A965">
        <v>33</v>
      </c>
      <c r="B965">
        <v>13</v>
      </c>
      <c r="C965" t="s">
        <v>8</v>
      </c>
      <c r="D965">
        <v>0</v>
      </c>
      <c r="E965">
        <v>0.87280574324540805</v>
      </c>
      <c r="F965">
        <v>1</v>
      </c>
      <c r="G965" s="1" t="s">
        <v>1191</v>
      </c>
      <c r="H965" t="s">
        <v>1191</v>
      </c>
      <c r="I965" t="s">
        <v>1191</v>
      </c>
    </row>
    <row r="966" spans="1:9" x14ac:dyDescent="0.2">
      <c r="A966">
        <v>22</v>
      </c>
      <c r="B966">
        <v>11</v>
      </c>
      <c r="C966" t="s">
        <v>16</v>
      </c>
      <c r="D966">
        <v>2</v>
      </c>
      <c r="E966">
        <v>0.73444822465535298</v>
      </c>
      <c r="F966">
        <v>1</v>
      </c>
      <c r="G966" s="1" t="s">
        <v>1192</v>
      </c>
      <c r="H966" t="s">
        <v>1192</v>
      </c>
      <c r="I966" t="s">
        <v>1192</v>
      </c>
    </row>
    <row r="967" spans="1:9" x14ac:dyDescent="0.2">
      <c r="A967">
        <v>42</v>
      </c>
      <c r="B967">
        <v>13</v>
      </c>
      <c r="C967" t="s">
        <v>16</v>
      </c>
      <c r="D967">
        <v>0</v>
      </c>
      <c r="E967">
        <v>0.90966336929705005</v>
      </c>
      <c r="F967">
        <v>1</v>
      </c>
      <c r="G967" s="1" t="s">
        <v>1193</v>
      </c>
      <c r="H967" t="s">
        <v>1193</v>
      </c>
      <c r="I967" t="s">
        <v>1193</v>
      </c>
    </row>
    <row r="968" spans="1:9" x14ac:dyDescent="0.2">
      <c r="A968">
        <v>67</v>
      </c>
      <c r="B968">
        <v>10</v>
      </c>
      <c r="C968" t="s">
        <v>8</v>
      </c>
      <c r="D968">
        <v>0</v>
      </c>
      <c r="E968">
        <v>0.699034341610968</v>
      </c>
      <c r="F968">
        <v>1</v>
      </c>
      <c r="G968" s="1" t="s">
        <v>1194</v>
      </c>
      <c r="H968" t="s">
        <v>1194</v>
      </c>
      <c r="I968" t="s">
        <v>1194</v>
      </c>
    </row>
    <row r="969" spans="1:9" x14ac:dyDescent="0.2">
      <c r="A969">
        <v>73</v>
      </c>
      <c r="B969">
        <v>2</v>
      </c>
      <c r="C969" t="s">
        <v>8</v>
      </c>
      <c r="D969">
        <v>0</v>
      </c>
      <c r="E969">
        <v>0.72733613452874102</v>
      </c>
      <c r="F969">
        <v>1</v>
      </c>
      <c r="G969" s="1" t="s">
        <v>1195</v>
      </c>
      <c r="H969" t="s">
        <v>1195</v>
      </c>
      <c r="I969" t="s">
        <v>1195</v>
      </c>
    </row>
    <row r="970" spans="1:9" x14ac:dyDescent="0.2">
      <c r="A970">
        <v>85</v>
      </c>
      <c r="B970">
        <v>4</v>
      </c>
      <c r="C970" t="s">
        <v>10</v>
      </c>
      <c r="D970">
        <v>1</v>
      </c>
      <c r="E970">
        <v>0.92139464092906598</v>
      </c>
      <c r="F970">
        <v>2</v>
      </c>
      <c r="G970" s="1" t="s">
        <v>1196</v>
      </c>
      <c r="H970" t="s">
        <v>1197</v>
      </c>
      <c r="I970" t="s">
        <v>1196</v>
      </c>
    </row>
    <row r="971" spans="1:9" x14ac:dyDescent="0.2">
      <c r="A971">
        <v>72</v>
      </c>
      <c r="B971">
        <v>4</v>
      </c>
      <c r="C971" t="s">
        <v>8</v>
      </c>
      <c r="D971">
        <v>0</v>
      </c>
      <c r="E971">
        <v>0.88138949067797501</v>
      </c>
      <c r="F971">
        <v>1</v>
      </c>
      <c r="G971" s="1" t="s">
        <v>1198</v>
      </c>
      <c r="H971" t="s">
        <v>1198</v>
      </c>
      <c r="I971" t="s">
        <v>1198</v>
      </c>
    </row>
    <row r="972" spans="1:9" x14ac:dyDescent="0.2">
      <c r="A972">
        <v>36</v>
      </c>
      <c r="B972">
        <v>15</v>
      </c>
      <c r="C972" t="s">
        <v>10</v>
      </c>
      <c r="D972">
        <v>0</v>
      </c>
      <c r="E972">
        <v>0.96988116065040197</v>
      </c>
      <c r="F972">
        <v>1</v>
      </c>
      <c r="G972" s="1" t="s">
        <v>1199</v>
      </c>
      <c r="H972" t="s">
        <v>1199</v>
      </c>
      <c r="I972" t="s">
        <v>1199</v>
      </c>
    </row>
    <row r="973" spans="1:9" x14ac:dyDescent="0.2">
      <c r="A973">
        <v>54</v>
      </c>
      <c r="B973">
        <v>4</v>
      </c>
      <c r="C973" t="s">
        <v>8</v>
      </c>
      <c r="D973">
        <v>0</v>
      </c>
      <c r="E973">
        <v>0.65998734417371496</v>
      </c>
      <c r="F973">
        <v>1</v>
      </c>
      <c r="G973" s="1" t="s">
        <v>1200</v>
      </c>
      <c r="H973" t="s">
        <v>1200</v>
      </c>
      <c r="I973" t="s">
        <v>1200</v>
      </c>
    </row>
    <row r="974" spans="1:9" x14ac:dyDescent="0.2">
      <c r="A974">
        <v>84</v>
      </c>
      <c r="B974">
        <v>13</v>
      </c>
      <c r="C974" t="s">
        <v>10</v>
      </c>
      <c r="D974">
        <v>0</v>
      </c>
      <c r="E974">
        <v>0.74099240917712506</v>
      </c>
      <c r="F974">
        <v>2</v>
      </c>
      <c r="G974" s="1" t="s">
        <v>1201</v>
      </c>
      <c r="H974" t="s">
        <v>1202</v>
      </c>
      <c r="I974" t="s">
        <v>1201</v>
      </c>
    </row>
    <row r="975" spans="1:9" x14ac:dyDescent="0.2">
      <c r="A975">
        <v>62</v>
      </c>
      <c r="B975">
        <v>3</v>
      </c>
      <c r="C975" t="s">
        <v>16</v>
      </c>
      <c r="D975">
        <v>2</v>
      </c>
      <c r="E975">
        <v>0.52823797182645604</v>
      </c>
      <c r="F975">
        <v>1</v>
      </c>
      <c r="G975" s="1" t="s">
        <v>1203</v>
      </c>
      <c r="H975" t="s">
        <v>1203</v>
      </c>
      <c r="I975" t="s">
        <v>1203</v>
      </c>
    </row>
    <row r="976" spans="1:9" x14ac:dyDescent="0.2">
      <c r="A976">
        <v>27</v>
      </c>
      <c r="B976">
        <v>6</v>
      </c>
      <c r="C976" t="s">
        <v>10</v>
      </c>
      <c r="D976">
        <v>0</v>
      </c>
      <c r="E976">
        <v>0.81290500191971704</v>
      </c>
      <c r="F976">
        <v>1</v>
      </c>
      <c r="G976" s="1" t="s">
        <v>1204</v>
      </c>
      <c r="H976" t="s">
        <v>1204</v>
      </c>
      <c r="I976" t="s">
        <v>1204</v>
      </c>
    </row>
    <row r="977" spans="1:9" x14ac:dyDescent="0.2">
      <c r="A977">
        <v>30</v>
      </c>
      <c r="B977">
        <v>9</v>
      </c>
      <c r="C977" t="s">
        <v>10</v>
      </c>
      <c r="D977">
        <v>1</v>
      </c>
      <c r="E977">
        <v>0.85097532428335398</v>
      </c>
      <c r="F977">
        <v>1</v>
      </c>
      <c r="G977" s="1" t="s">
        <v>1205</v>
      </c>
      <c r="H977" t="s">
        <v>1205</v>
      </c>
      <c r="I977" t="s">
        <v>1205</v>
      </c>
    </row>
    <row r="978" spans="1:9" x14ac:dyDescent="0.2">
      <c r="A978">
        <v>65</v>
      </c>
      <c r="B978">
        <v>14</v>
      </c>
      <c r="C978" t="s">
        <v>10</v>
      </c>
      <c r="D978">
        <v>0</v>
      </c>
      <c r="E978">
        <v>0.67560485261492398</v>
      </c>
      <c r="F978">
        <v>1</v>
      </c>
      <c r="G978" s="1" t="s">
        <v>1206</v>
      </c>
      <c r="H978" t="s">
        <v>1206</v>
      </c>
      <c r="I978" t="s">
        <v>1206</v>
      </c>
    </row>
    <row r="979" spans="1:9" x14ac:dyDescent="0.2">
      <c r="A979">
        <v>88</v>
      </c>
      <c r="B979">
        <v>12</v>
      </c>
      <c r="C979" t="s">
        <v>10</v>
      </c>
      <c r="D979">
        <v>1</v>
      </c>
      <c r="E979">
        <v>0.92671613069251202</v>
      </c>
      <c r="F979">
        <v>2</v>
      </c>
      <c r="G979" s="1" t="s">
        <v>1207</v>
      </c>
      <c r="H979" t="s">
        <v>1208</v>
      </c>
      <c r="I979" t="s">
        <v>1207</v>
      </c>
    </row>
    <row r="980" spans="1:9" x14ac:dyDescent="0.2">
      <c r="A980">
        <v>58</v>
      </c>
      <c r="B980">
        <v>0</v>
      </c>
      <c r="C980" t="s">
        <v>8</v>
      </c>
      <c r="D980">
        <v>2</v>
      </c>
      <c r="E980">
        <v>0.734749037306756</v>
      </c>
      <c r="F980">
        <v>1</v>
      </c>
      <c r="G980" s="1" t="s">
        <v>1209</v>
      </c>
      <c r="H980" t="s">
        <v>1209</v>
      </c>
      <c r="I980" t="s">
        <v>1209</v>
      </c>
    </row>
    <row r="981" spans="1:9" x14ac:dyDescent="0.2">
      <c r="A981">
        <v>40</v>
      </c>
      <c r="B981">
        <v>6</v>
      </c>
      <c r="C981" t="s">
        <v>8</v>
      </c>
      <c r="D981">
        <v>0</v>
      </c>
      <c r="E981">
        <v>0.631405298714526</v>
      </c>
      <c r="F981">
        <v>1</v>
      </c>
      <c r="G981" s="1" t="s">
        <v>1210</v>
      </c>
      <c r="H981" t="s">
        <v>1210</v>
      </c>
      <c r="I981" t="s">
        <v>1210</v>
      </c>
    </row>
    <row r="982" spans="1:9" x14ac:dyDescent="0.2">
      <c r="A982">
        <v>71</v>
      </c>
      <c r="B982">
        <v>7</v>
      </c>
      <c r="C982" t="s">
        <v>8</v>
      </c>
      <c r="D982">
        <v>0</v>
      </c>
      <c r="E982">
        <v>0.91143117600586299</v>
      </c>
      <c r="F982">
        <v>2</v>
      </c>
      <c r="G982" s="1" t="s">
        <v>1211</v>
      </c>
      <c r="H982" t="s">
        <v>1212</v>
      </c>
      <c r="I982" t="s">
        <v>1211</v>
      </c>
    </row>
    <row r="983" spans="1:9" x14ac:dyDescent="0.2">
      <c r="A983">
        <v>63</v>
      </c>
      <c r="B983">
        <v>2</v>
      </c>
      <c r="C983" t="s">
        <v>16</v>
      </c>
      <c r="D983">
        <v>1</v>
      </c>
      <c r="E983">
        <v>0.90701587824150898</v>
      </c>
      <c r="F983">
        <v>2</v>
      </c>
      <c r="G983" s="1" t="s">
        <v>1213</v>
      </c>
      <c r="H983" t="s">
        <v>1214</v>
      </c>
      <c r="I983" t="s">
        <v>1213</v>
      </c>
    </row>
    <row r="984" spans="1:9" x14ac:dyDescent="0.2">
      <c r="A984">
        <v>73</v>
      </c>
      <c r="B984">
        <v>4</v>
      </c>
      <c r="C984" t="s">
        <v>10</v>
      </c>
      <c r="D984">
        <v>0</v>
      </c>
      <c r="E984">
        <v>0.905082333600149</v>
      </c>
      <c r="F984">
        <v>1</v>
      </c>
      <c r="G984" s="1" t="s">
        <v>1215</v>
      </c>
      <c r="H984" t="s">
        <v>1215</v>
      </c>
      <c r="I984" t="s">
        <v>1215</v>
      </c>
    </row>
    <row r="985" spans="1:9" x14ac:dyDescent="0.2">
      <c r="A985">
        <v>68</v>
      </c>
      <c r="B985">
        <v>10</v>
      </c>
      <c r="C985" t="s">
        <v>8</v>
      </c>
      <c r="D985">
        <v>2</v>
      </c>
      <c r="E985">
        <v>0.72251398733351402</v>
      </c>
      <c r="F985">
        <v>2</v>
      </c>
      <c r="G985" s="1" t="s">
        <v>1216</v>
      </c>
      <c r="H985" t="s">
        <v>1217</v>
      </c>
      <c r="I985" t="s">
        <v>1216</v>
      </c>
    </row>
    <row r="986" spans="1:9" x14ac:dyDescent="0.2">
      <c r="A986">
        <v>66</v>
      </c>
      <c r="B986">
        <v>9</v>
      </c>
      <c r="C986" t="s">
        <v>16</v>
      </c>
      <c r="D986">
        <v>2</v>
      </c>
      <c r="E986">
        <v>0.93260834575630702</v>
      </c>
      <c r="F986">
        <v>2</v>
      </c>
      <c r="G986" s="1" t="s">
        <v>1218</v>
      </c>
      <c r="H986" t="s">
        <v>1219</v>
      </c>
      <c r="I986" t="s">
        <v>1218</v>
      </c>
    </row>
    <row r="987" spans="1:9" x14ac:dyDescent="0.2">
      <c r="A987">
        <v>25</v>
      </c>
      <c r="B987">
        <v>14</v>
      </c>
      <c r="C987" t="s">
        <v>8</v>
      </c>
      <c r="D987">
        <v>0</v>
      </c>
      <c r="E987">
        <v>0.98042614106088899</v>
      </c>
      <c r="F987">
        <v>1</v>
      </c>
      <c r="G987" s="1" t="s">
        <v>1220</v>
      </c>
      <c r="H987" t="s">
        <v>1220</v>
      </c>
      <c r="I987" t="s">
        <v>1220</v>
      </c>
    </row>
    <row r="988" spans="1:9" x14ac:dyDescent="0.2">
      <c r="A988">
        <v>57</v>
      </c>
      <c r="B988">
        <v>11</v>
      </c>
      <c r="C988" t="s">
        <v>8</v>
      </c>
      <c r="D988">
        <v>0</v>
      </c>
      <c r="E988">
        <v>0.64307507104240402</v>
      </c>
      <c r="F988">
        <v>1</v>
      </c>
      <c r="G988" s="1" t="s">
        <v>1221</v>
      </c>
      <c r="H988" t="s">
        <v>1221</v>
      </c>
      <c r="I988" t="s">
        <v>1221</v>
      </c>
    </row>
    <row r="989" spans="1:9" x14ac:dyDescent="0.2">
      <c r="A989">
        <v>46</v>
      </c>
      <c r="B989">
        <v>8</v>
      </c>
      <c r="C989" t="s">
        <v>8</v>
      </c>
      <c r="D989">
        <v>0</v>
      </c>
      <c r="E989">
        <v>0.58210455684456996</v>
      </c>
      <c r="F989">
        <v>1</v>
      </c>
      <c r="G989" s="1" t="s">
        <v>1222</v>
      </c>
      <c r="H989" t="s">
        <v>1222</v>
      </c>
      <c r="I989" t="s">
        <v>1222</v>
      </c>
    </row>
    <row r="990" spans="1:9" x14ac:dyDescent="0.2">
      <c r="A990">
        <v>80</v>
      </c>
      <c r="B990">
        <v>15</v>
      </c>
      <c r="C990" t="s">
        <v>16</v>
      </c>
      <c r="D990">
        <v>0</v>
      </c>
      <c r="E990">
        <v>0.753862212179229</v>
      </c>
      <c r="F990">
        <v>2</v>
      </c>
      <c r="G990" s="1" t="s">
        <v>1223</v>
      </c>
      <c r="H990" t="s">
        <v>1224</v>
      </c>
      <c r="I990" t="s">
        <v>1223</v>
      </c>
    </row>
    <row r="991" spans="1:9" x14ac:dyDescent="0.2">
      <c r="A991">
        <v>85</v>
      </c>
      <c r="B991">
        <v>10</v>
      </c>
      <c r="C991" t="s">
        <v>16</v>
      </c>
      <c r="D991">
        <v>0</v>
      </c>
      <c r="E991">
        <v>0.83889652171637896</v>
      </c>
      <c r="F991">
        <v>1</v>
      </c>
      <c r="G991" s="1" t="s">
        <v>1225</v>
      </c>
      <c r="H991" t="s">
        <v>1225</v>
      </c>
      <c r="I991" t="s">
        <v>1225</v>
      </c>
    </row>
    <row r="992" spans="1:9" x14ac:dyDescent="0.2">
      <c r="A992">
        <v>50</v>
      </c>
      <c r="B992">
        <v>6</v>
      </c>
      <c r="C992" t="s">
        <v>8</v>
      </c>
      <c r="D992">
        <v>0</v>
      </c>
      <c r="E992">
        <v>0.61109112517442599</v>
      </c>
      <c r="F992">
        <v>1</v>
      </c>
      <c r="G992" s="1" t="s">
        <v>1226</v>
      </c>
      <c r="H992" t="s">
        <v>1226</v>
      </c>
      <c r="I992" t="s">
        <v>1226</v>
      </c>
    </row>
    <row r="993" spans="1:9" x14ac:dyDescent="0.2">
      <c r="A993">
        <v>67</v>
      </c>
      <c r="B993">
        <v>5</v>
      </c>
      <c r="C993" t="s">
        <v>10</v>
      </c>
      <c r="D993">
        <v>0</v>
      </c>
      <c r="E993">
        <v>0.62161002913489904</v>
      </c>
      <c r="F993">
        <v>1</v>
      </c>
      <c r="G993" s="1" t="s">
        <v>1227</v>
      </c>
      <c r="H993" t="s">
        <v>1227</v>
      </c>
      <c r="I993" t="s">
        <v>1227</v>
      </c>
    </row>
    <row r="994" spans="1:9" x14ac:dyDescent="0.2">
      <c r="A994">
        <v>80</v>
      </c>
      <c r="B994">
        <v>1</v>
      </c>
      <c r="C994" t="s">
        <v>8</v>
      </c>
      <c r="D994">
        <v>0</v>
      </c>
      <c r="E994">
        <v>0.90333917655516405</v>
      </c>
      <c r="F994">
        <v>1</v>
      </c>
      <c r="G994" s="1" t="s">
        <v>1228</v>
      </c>
      <c r="H994" t="s">
        <v>1228</v>
      </c>
      <c r="I994" t="s">
        <v>1228</v>
      </c>
    </row>
    <row r="995" spans="1:9" x14ac:dyDescent="0.2">
      <c r="A995">
        <v>24</v>
      </c>
      <c r="B995">
        <v>7</v>
      </c>
      <c r="C995" t="s">
        <v>16</v>
      </c>
      <c r="D995">
        <v>1</v>
      </c>
      <c r="E995">
        <v>0.568467786768451</v>
      </c>
      <c r="F995">
        <v>1</v>
      </c>
      <c r="G995" s="1" t="s">
        <v>1229</v>
      </c>
      <c r="H995" t="s">
        <v>1229</v>
      </c>
      <c r="I995" t="s">
        <v>1229</v>
      </c>
    </row>
    <row r="996" spans="1:9" x14ac:dyDescent="0.2">
      <c r="A996">
        <v>72</v>
      </c>
      <c r="B996">
        <v>8</v>
      </c>
      <c r="C996" t="s">
        <v>8</v>
      </c>
      <c r="D996">
        <v>1</v>
      </c>
      <c r="E996">
        <v>0.94081077713053696</v>
      </c>
      <c r="F996">
        <v>1</v>
      </c>
      <c r="G996" s="1" t="s">
        <v>1230</v>
      </c>
      <c r="H996" t="s">
        <v>1230</v>
      </c>
      <c r="I996" t="s">
        <v>1230</v>
      </c>
    </row>
    <row r="997" spans="1:9" x14ac:dyDescent="0.2">
      <c r="A997">
        <v>66</v>
      </c>
      <c r="B997">
        <v>14</v>
      </c>
      <c r="C997" t="s">
        <v>16</v>
      </c>
      <c r="D997">
        <v>2</v>
      </c>
      <c r="E997">
        <v>0.69447466125711799</v>
      </c>
      <c r="F997">
        <v>1</v>
      </c>
      <c r="G997" s="1" t="s">
        <v>1231</v>
      </c>
      <c r="H997" t="s">
        <v>1231</v>
      </c>
      <c r="I997" t="s">
        <v>1231</v>
      </c>
    </row>
    <row r="998" spans="1:9" x14ac:dyDescent="0.2">
      <c r="A998">
        <v>81</v>
      </c>
      <c r="B998">
        <v>5</v>
      </c>
      <c r="C998" t="s">
        <v>16</v>
      </c>
      <c r="D998">
        <v>0</v>
      </c>
      <c r="E998">
        <v>0.81142291275318701</v>
      </c>
      <c r="F998">
        <v>1</v>
      </c>
      <c r="G998" s="1" t="s">
        <v>1232</v>
      </c>
      <c r="H998" t="s">
        <v>1232</v>
      </c>
      <c r="I998" t="s">
        <v>1232</v>
      </c>
    </row>
    <row r="999" spans="1:9" x14ac:dyDescent="0.2">
      <c r="A999">
        <v>73</v>
      </c>
      <c r="B999">
        <v>8</v>
      </c>
      <c r="C999" t="s">
        <v>10</v>
      </c>
      <c r="D999">
        <v>0</v>
      </c>
      <c r="E999">
        <v>0.88744877057615701</v>
      </c>
      <c r="F999">
        <v>3</v>
      </c>
      <c r="G999" s="1" t="s">
        <v>1233</v>
      </c>
      <c r="H999" t="s">
        <v>1234</v>
      </c>
      <c r="I999" t="s">
        <v>1233</v>
      </c>
    </row>
    <row r="1000" spans="1:9" x14ac:dyDescent="0.2">
      <c r="A1000">
        <v>38</v>
      </c>
      <c r="B1000">
        <v>0</v>
      </c>
      <c r="C1000" t="s">
        <v>8</v>
      </c>
      <c r="D1000">
        <v>3</v>
      </c>
      <c r="E1000">
        <v>0.53557309380266804</v>
      </c>
      <c r="F1000">
        <v>1</v>
      </c>
      <c r="G1000" s="1" t="s">
        <v>1235</v>
      </c>
      <c r="H1000" t="s">
        <v>1235</v>
      </c>
      <c r="I1000" t="s">
        <v>1235</v>
      </c>
    </row>
    <row r="1001" spans="1:9" x14ac:dyDescent="0.2">
      <c r="A1001">
        <v>28</v>
      </c>
      <c r="B1001">
        <v>4</v>
      </c>
      <c r="C1001" t="s">
        <v>16</v>
      </c>
      <c r="D1001">
        <v>0</v>
      </c>
      <c r="E1001">
        <v>0.83709076838567897</v>
      </c>
      <c r="F1001">
        <v>1</v>
      </c>
      <c r="G1001" s="1" t="s">
        <v>1236</v>
      </c>
      <c r="H1001" t="s">
        <v>1236</v>
      </c>
      <c r="I1001" t="s">
        <v>1236</v>
      </c>
    </row>
    <row r="1002" spans="1:9" x14ac:dyDescent="0.2">
      <c r="A1002">
        <v>74</v>
      </c>
      <c r="B1002">
        <v>0</v>
      </c>
      <c r="C1002" t="s">
        <v>16</v>
      </c>
      <c r="D1002">
        <v>0</v>
      </c>
      <c r="E1002">
        <v>0.51956753863487404</v>
      </c>
      <c r="F1002">
        <v>2</v>
      </c>
      <c r="G1002" s="1" t="s">
        <v>1237</v>
      </c>
      <c r="H1002" t="s">
        <v>1238</v>
      </c>
      <c r="I1002" t="s">
        <v>1237</v>
      </c>
    </row>
    <row r="1003" spans="1:9" x14ac:dyDescent="0.2">
      <c r="A1003">
        <v>85</v>
      </c>
      <c r="B1003">
        <v>1</v>
      </c>
      <c r="C1003" t="s">
        <v>10</v>
      </c>
      <c r="D1003">
        <v>1</v>
      </c>
      <c r="E1003">
        <v>0.77200287149753399</v>
      </c>
      <c r="F1003">
        <v>1</v>
      </c>
      <c r="G1003" s="1" t="s">
        <v>1239</v>
      </c>
      <c r="H1003" t="s">
        <v>1239</v>
      </c>
      <c r="I1003" t="s">
        <v>1239</v>
      </c>
    </row>
    <row r="1004" spans="1:9" x14ac:dyDescent="0.2">
      <c r="A1004">
        <v>77</v>
      </c>
      <c r="B1004">
        <v>13</v>
      </c>
      <c r="C1004" t="s">
        <v>16</v>
      </c>
      <c r="D1004">
        <v>0</v>
      </c>
      <c r="E1004">
        <v>0.92416396376211196</v>
      </c>
      <c r="F1004">
        <v>2</v>
      </c>
      <c r="G1004" s="1" t="s">
        <v>1240</v>
      </c>
      <c r="H1004" t="s">
        <v>1241</v>
      </c>
      <c r="I1004" t="s">
        <v>1240</v>
      </c>
    </row>
    <row r="1005" spans="1:9" x14ac:dyDescent="0.2">
      <c r="A1005">
        <v>86</v>
      </c>
      <c r="B1005">
        <v>7</v>
      </c>
      <c r="C1005" t="s">
        <v>8</v>
      </c>
      <c r="D1005">
        <v>0</v>
      </c>
      <c r="E1005">
        <v>0.70539556641597301</v>
      </c>
      <c r="F1005">
        <v>1</v>
      </c>
      <c r="G1005" s="1" t="s">
        <v>1242</v>
      </c>
      <c r="H1005" t="s">
        <v>1242</v>
      </c>
      <c r="I1005" t="s">
        <v>1242</v>
      </c>
    </row>
    <row r="1006" spans="1:9" x14ac:dyDescent="0.2">
      <c r="A1006">
        <v>65</v>
      </c>
      <c r="B1006">
        <v>12</v>
      </c>
      <c r="C1006" t="s">
        <v>16</v>
      </c>
      <c r="D1006">
        <v>0</v>
      </c>
      <c r="E1006">
        <v>0.63816080417018395</v>
      </c>
      <c r="F1006">
        <v>1</v>
      </c>
      <c r="G1006" s="1" t="s">
        <v>1243</v>
      </c>
      <c r="H1006" t="s">
        <v>1243</v>
      </c>
      <c r="I1006" t="s">
        <v>1243</v>
      </c>
    </row>
    <row r="1007" spans="1:9" x14ac:dyDescent="0.2">
      <c r="A1007">
        <v>54</v>
      </c>
      <c r="B1007">
        <v>4</v>
      </c>
      <c r="C1007" t="s">
        <v>8</v>
      </c>
      <c r="D1007">
        <v>1</v>
      </c>
      <c r="E1007">
        <v>0.51263780239969503</v>
      </c>
      <c r="F1007">
        <v>1</v>
      </c>
      <c r="G1007" s="1" t="s">
        <v>1244</v>
      </c>
      <c r="H1007" t="s">
        <v>1244</v>
      </c>
      <c r="I1007" t="s">
        <v>1244</v>
      </c>
    </row>
    <row r="1008" spans="1:9" x14ac:dyDescent="0.2">
      <c r="A1008">
        <v>81</v>
      </c>
      <c r="B1008">
        <v>0</v>
      </c>
      <c r="C1008" t="s">
        <v>8</v>
      </c>
      <c r="D1008">
        <v>3</v>
      </c>
      <c r="E1008">
        <v>0.61734835221432105</v>
      </c>
      <c r="F1008">
        <v>1</v>
      </c>
      <c r="G1008" s="1" t="s">
        <v>1245</v>
      </c>
      <c r="H1008" t="s">
        <v>1245</v>
      </c>
      <c r="I1008" t="s">
        <v>1245</v>
      </c>
    </row>
    <row r="1009" spans="1:9" x14ac:dyDescent="0.2">
      <c r="A1009">
        <v>78</v>
      </c>
      <c r="B1009">
        <v>9</v>
      </c>
      <c r="C1009" t="s">
        <v>8</v>
      </c>
      <c r="D1009">
        <v>0</v>
      </c>
      <c r="E1009">
        <v>0.67913794599007804</v>
      </c>
      <c r="F1009">
        <v>1</v>
      </c>
      <c r="G1009" s="1" t="s">
        <v>1246</v>
      </c>
      <c r="H1009" t="s">
        <v>1246</v>
      </c>
      <c r="I1009" t="s">
        <v>1246</v>
      </c>
    </row>
    <row r="1010" spans="1:9" x14ac:dyDescent="0.2">
      <c r="A1010">
        <v>89</v>
      </c>
      <c r="B1010">
        <v>15</v>
      </c>
      <c r="C1010" t="s">
        <v>10</v>
      </c>
      <c r="D1010">
        <v>0</v>
      </c>
      <c r="E1010">
        <v>0.85968229314312306</v>
      </c>
      <c r="F1010">
        <v>1</v>
      </c>
      <c r="G1010" s="1" t="s">
        <v>1247</v>
      </c>
      <c r="H1010" t="s">
        <v>1247</v>
      </c>
      <c r="I1010" t="s">
        <v>1247</v>
      </c>
    </row>
    <row r="1011" spans="1:9" x14ac:dyDescent="0.2">
      <c r="A1011">
        <v>66</v>
      </c>
      <c r="B1011">
        <v>13</v>
      </c>
      <c r="C1011" t="s">
        <v>8</v>
      </c>
      <c r="D1011">
        <v>0</v>
      </c>
      <c r="E1011">
        <v>0.63353673601522997</v>
      </c>
      <c r="F1011">
        <v>1</v>
      </c>
      <c r="G1011" s="1" t="s">
        <v>1248</v>
      </c>
      <c r="H1011" t="s">
        <v>1248</v>
      </c>
      <c r="I1011" t="s">
        <v>1248</v>
      </c>
    </row>
    <row r="1012" spans="1:9" x14ac:dyDescent="0.2">
      <c r="A1012">
        <v>64</v>
      </c>
      <c r="B1012">
        <v>9</v>
      </c>
      <c r="C1012" t="s">
        <v>10</v>
      </c>
      <c r="D1012">
        <v>1</v>
      </c>
      <c r="E1012">
        <v>0.60452628543134801</v>
      </c>
      <c r="F1012">
        <v>2</v>
      </c>
      <c r="G1012" s="1" t="s">
        <v>1249</v>
      </c>
      <c r="H1012" t="s">
        <v>1250</v>
      </c>
      <c r="I1012" t="s">
        <v>1249</v>
      </c>
    </row>
    <row r="1013" spans="1:9" x14ac:dyDescent="0.2">
      <c r="A1013">
        <v>21</v>
      </c>
      <c r="B1013">
        <v>5</v>
      </c>
      <c r="C1013" t="s">
        <v>8</v>
      </c>
      <c r="D1013">
        <v>0</v>
      </c>
      <c r="E1013">
        <v>0.90581891743931897</v>
      </c>
      <c r="F1013">
        <v>1</v>
      </c>
      <c r="G1013" s="1" t="s">
        <v>1251</v>
      </c>
      <c r="H1013" t="s">
        <v>1251</v>
      </c>
      <c r="I1013" t="s">
        <v>1251</v>
      </c>
    </row>
    <row r="1014" spans="1:9" x14ac:dyDescent="0.2">
      <c r="A1014">
        <v>79</v>
      </c>
      <c r="B1014">
        <v>2</v>
      </c>
      <c r="C1014" t="s">
        <v>10</v>
      </c>
      <c r="D1014">
        <v>1</v>
      </c>
      <c r="E1014">
        <v>0.89923410676419702</v>
      </c>
      <c r="F1014">
        <v>1</v>
      </c>
      <c r="G1014" s="1" t="s">
        <v>1252</v>
      </c>
      <c r="H1014" t="s">
        <v>1252</v>
      </c>
      <c r="I1014" t="s">
        <v>1252</v>
      </c>
    </row>
    <row r="1015" spans="1:9" x14ac:dyDescent="0.2">
      <c r="A1015">
        <v>47</v>
      </c>
      <c r="B1015">
        <v>15</v>
      </c>
      <c r="C1015" t="s">
        <v>16</v>
      </c>
      <c r="D1015">
        <v>0</v>
      </c>
      <c r="E1015">
        <v>0.96083094982896</v>
      </c>
      <c r="F1015">
        <v>1</v>
      </c>
      <c r="G1015" s="1" t="s">
        <v>1253</v>
      </c>
      <c r="H1015" t="s">
        <v>1253</v>
      </c>
      <c r="I1015" t="s">
        <v>1253</v>
      </c>
    </row>
    <row r="1016" spans="1:9" x14ac:dyDescent="0.2">
      <c r="A1016">
        <v>81</v>
      </c>
      <c r="B1016">
        <v>2</v>
      </c>
      <c r="C1016" t="s">
        <v>10</v>
      </c>
      <c r="D1016">
        <v>1</v>
      </c>
      <c r="E1016">
        <v>0.88581765536218904</v>
      </c>
      <c r="F1016">
        <v>3</v>
      </c>
      <c r="G1016" s="1" t="s">
        <v>1254</v>
      </c>
      <c r="H1016" t="s">
        <v>1255</v>
      </c>
      <c r="I1016" t="s">
        <v>1254</v>
      </c>
    </row>
    <row r="1017" spans="1:9" x14ac:dyDescent="0.2">
      <c r="A1017">
        <v>87</v>
      </c>
      <c r="B1017">
        <v>6</v>
      </c>
      <c r="C1017" t="s">
        <v>8</v>
      </c>
      <c r="D1017">
        <v>1</v>
      </c>
      <c r="E1017">
        <v>0.536241582827643</v>
      </c>
      <c r="F1017">
        <v>3</v>
      </c>
      <c r="G1017" s="1" t="s">
        <v>1256</v>
      </c>
      <c r="H1017" t="s">
        <v>1257</v>
      </c>
      <c r="I1017" t="s">
        <v>1256</v>
      </c>
    </row>
    <row r="1018" spans="1:9" x14ac:dyDescent="0.2">
      <c r="A1018">
        <v>48</v>
      </c>
      <c r="B1018">
        <v>14</v>
      </c>
      <c r="C1018" t="s">
        <v>16</v>
      </c>
      <c r="D1018">
        <v>0</v>
      </c>
      <c r="E1018">
        <v>0.91836533253081098</v>
      </c>
      <c r="F1018">
        <v>1</v>
      </c>
      <c r="G1018" s="1" t="s">
        <v>1258</v>
      </c>
      <c r="H1018" t="s">
        <v>1258</v>
      </c>
      <c r="I1018" t="s">
        <v>1258</v>
      </c>
    </row>
    <row r="1019" spans="1:9" x14ac:dyDescent="0.2">
      <c r="A1019">
        <v>72</v>
      </c>
      <c r="B1019">
        <v>3</v>
      </c>
      <c r="C1019" t="s">
        <v>16</v>
      </c>
      <c r="D1019">
        <v>0</v>
      </c>
      <c r="E1019">
        <v>0.54255704896058898</v>
      </c>
      <c r="F1019">
        <v>2</v>
      </c>
      <c r="G1019" s="1" t="s">
        <v>1259</v>
      </c>
      <c r="H1019" t="s">
        <v>1260</v>
      </c>
      <c r="I1019" t="s">
        <v>1259</v>
      </c>
    </row>
    <row r="1020" spans="1:9" x14ac:dyDescent="0.2">
      <c r="A1020">
        <v>24</v>
      </c>
      <c r="B1020">
        <v>8</v>
      </c>
      <c r="C1020" t="s">
        <v>10</v>
      </c>
      <c r="D1020">
        <v>1</v>
      </c>
      <c r="E1020">
        <v>0.59582372673321504</v>
      </c>
      <c r="F1020">
        <v>1</v>
      </c>
      <c r="G1020" s="1" t="s">
        <v>1261</v>
      </c>
      <c r="H1020" t="s">
        <v>1261</v>
      </c>
      <c r="I1020" t="s">
        <v>1261</v>
      </c>
    </row>
    <row r="1021" spans="1:9" x14ac:dyDescent="0.2">
      <c r="A1021">
        <v>44</v>
      </c>
      <c r="B1021">
        <v>3</v>
      </c>
      <c r="C1021" t="s">
        <v>8</v>
      </c>
      <c r="D1021">
        <v>1</v>
      </c>
      <c r="E1021">
        <v>0.96659031603485301</v>
      </c>
      <c r="F1021">
        <v>1</v>
      </c>
      <c r="G1021" s="1" t="s">
        <v>1262</v>
      </c>
      <c r="H1021" t="s">
        <v>1262</v>
      </c>
      <c r="I1021" t="s">
        <v>1262</v>
      </c>
    </row>
    <row r="1022" spans="1:9" x14ac:dyDescent="0.2">
      <c r="A1022">
        <v>82</v>
      </c>
      <c r="B1022">
        <v>14</v>
      </c>
      <c r="C1022" t="s">
        <v>8</v>
      </c>
      <c r="D1022">
        <v>0</v>
      </c>
      <c r="E1022">
        <v>0.56267244135960903</v>
      </c>
      <c r="F1022">
        <v>1</v>
      </c>
      <c r="G1022" s="1" t="s">
        <v>1263</v>
      </c>
      <c r="H1022" t="s">
        <v>1263</v>
      </c>
      <c r="I1022" t="s">
        <v>1263</v>
      </c>
    </row>
    <row r="1023" spans="1:9" x14ac:dyDescent="0.2">
      <c r="A1023">
        <v>57</v>
      </c>
      <c r="B1023">
        <v>15</v>
      </c>
      <c r="C1023" t="s">
        <v>8</v>
      </c>
      <c r="D1023">
        <v>0</v>
      </c>
      <c r="E1023">
        <v>0.87833793018944595</v>
      </c>
      <c r="F1023">
        <v>1</v>
      </c>
      <c r="G1023" s="1" t="s">
        <v>1264</v>
      </c>
      <c r="H1023" t="s">
        <v>1264</v>
      </c>
      <c r="I1023" t="s">
        <v>1264</v>
      </c>
    </row>
    <row r="1024" spans="1:9" x14ac:dyDescent="0.2">
      <c r="A1024">
        <v>70</v>
      </c>
      <c r="B1024">
        <v>2</v>
      </c>
      <c r="C1024" t="s">
        <v>10</v>
      </c>
      <c r="D1024">
        <v>2</v>
      </c>
      <c r="E1024">
        <v>0.86712707043625403</v>
      </c>
      <c r="F1024">
        <v>1</v>
      </c>
      <c r="G1024" s="1" t="s">
        <v>1265</v>
      </c>
      <c r="H1024" t="s">
        <v>1265</v>
      </c>
      <c r="I1024" t="s">
        <v>1265</v>
      </c>
    </row>
    <row r="1025" spans="1:9" x14ac:dyDescent="0.2">
      <c r="A1025">
        <v>54</v>
      </c>
      <c r="B1025">
        <v>5</v>
      </c>
      <c r="C1025" t="s">
        <v>8</v>
      </c>
      <c r="D1025">
        <v>2</v>
      </c>
      <c r="E1025">
        <v>0.50293717265594795</v>
      </c>
      <c r="F1025">
        <v>1</v>
      </c>
      <c r="G1025" s="1" t="s">
        <v>1266</v>
      </c>
      <c r="H1025" t="s">
        <v>1266</v>
      </c>
      <c r="I1025" t="s">
        <v>1266</v>
      </c>
    </row>
    <row r="1026" spans="1:9" x14ac:dyDescent="0.2">
      <c r="A1026">
        <v>76</v>
      </c>
      <c r="B1026">
        <v>9</v>
      </c>
      <c r="C1026" t="s">
        <v>8</v>
      </c>
      <c r="D1026">
        <v>0</v>
      </c>
      <c r="E1026">
        <v>0.55416512116789796</v>
      </c>
      <c r="F1026">
        <v>3</v>
      </c>
      <c r="G1026" s="1" t="s">
        <v>1267</v>
      </c>
      <c r="H1026" t="s">
        <v>1268</v>
      </c>
      <c r="I1026" t="s">
        <v>1269</v>
      </c>
    </row>
    <row r="1027" spans="1:9" x14ac:dyDescent="0.2">
      <c r="A1027">
        <v>85</v>
      </c>
      <c r="B1027">
        <v>13</v>
      </c>
      <c r="C1027" t="s">
        <v>10</v>
      </c>
      <c r="D1027">
        <v>0</v>
      </c>
      <c r="E1027">
        <v>0.80468935321550805</v>
      </c>
      <c r="F1027">
        <v>2</v>
      </c>
      <c r="G1027" s="1" t="s">
        <v>1270</v>
      </c>
      <c r="H1027" t="s">
        <v>1271</v>
      </c>
      <c r="I1027" t="s">
        <v>1270</v>
      </c>
    </row>
    <row r="1028" spans="1:9" x14ac:dyDescent="0.2">
      <c r="A1028">
        <v>22</v>
      </c>
      <c r="B1028">
        <v>13</v>
      </c>
      <c r="C1028" t="s">
        <v>8</v>
      </c>
      <c r="D1028">
        <v>1</v>
      </c>
      <c r="E1028">
        <v>0.84115615801420096</v>
      </c>
      <c r="F1028">
        <v>1</v>
      </c>
      <c r="G1028" s="1" t="s">
        <v>1272</v>
      </c>
      <c r="H1028" t="s">
        <v>1272</v>
      </c>
      <c r="I1028" t="s">
        <v>1272</v>
      </c>
    </row>
    <row r="1029" spans="1:9" x14ac:dyDescent="0.2">
      <c r="A1029">
        <v>79</v>
      </c>
      <c r="B1029">
        <v>0</v>
      </c>
      <c r="C1029" t="s">
        <v>8</v>
      </c>
      <c r="D1029">
        <v>1</v>
      </c>
      <c r="E1029">
        <v>0.68104883434716601</v>
      </c>
      <c r="F1029">
        <v>1</v>
      </c>
      <c r="G1029" s="1" t="s">
        <v>1273</v>
      </c>
      <c r="H1029" t="s">
        <v>1273</v>
      </c>
      <c r="I1029" t="s">
        <v>1273</v>
      </c>
    </row>
    <row r="1030" spans="1:9" x14ac:dyDescent="0.2">
      <c r="A1030">
        <v>71</v>
      </c>
      <c r="B1030">
        <v>8</v>
      </c>
      <c r="C1030" t="s">
        <v>16</v>
      </c>
      <c r="D1030">
        <v>0</v>
      </c>
      <c r="E1030">
        <v>0.63315416395198598</v>
      </c>
      <c r="F1030">
        <v>1</v>
      </c>
      <c r="G1030" s="1" t="s">
        <v>1274</v>
      </c>
      <c r="H1030" t="s">
        <v>1274</v>
      </c>
      <c r="I1030" t="s">
        <v>1274</v>
      </c>
    </row>
    <row r="1031" spans="1:9" x14ac:dyDescent="0.2">
      <c r="A1031">
        <v>87</v>
      </c>
      <c r="B1031">
        <v>3</v>
      </c>
      <c r="C1031" t="s">
        <v>8</v>
      </c>
      <c r="D1031">
        <v>0</v>
      </c>
      <c r="E1031">
        <v>0.83833493350539401</v>
      </c>
      <c r="F1031">
        <v>1</v>
      </c>
      <c r="G1031" s="1" t="s">
        <v>1275</v>
      </c>
      <c r="H1031" t="s">
        <v>1275</v>
      </c>
      <c r="I1031" t="s">
        <v>1275</v>
      </c>
    </row>
    <row r="1032" spans="1:9" x14ac:dyDescent="0.2">
      <c r="A1032">
        <v>66</v>
      </c>
      <c r="B1032">
        <v>10</v>
      </c>
      <c r="C1032" t="s">
        <v>8</v>
      </c>
      <c r="D1032">
        <v>0</v>
      </c>
      <c r="E1032">
        <v>0.75557772698812198</v>
      </c>
      <c r="F1032">
        <v>1</v>
      </c>
      <c r="G1032" s="1" t="s">
        <v>1276</v>
      </c>
      <c r="H1032" t="s">
        <v>1276</v>
      </c>
      <c r="I1032" t="s">
        <v>1276</v>
      </c>
    </row>
    <row r="1033" spans="1:9" x14ac:dyDescent="0.2">
      <c r="A1033">
        <v>75</v>
      </c>
      <c r="B1033">
        <v>9</v>
      </c>
      <c r="C1033" t="s">
        <v>8</v>
      </c>
      <c r="D1033">
        <v>0</v>
      </c>
      <c r="E1033">
        <v>0.93561259924899798</v>
      </c>
      <c r="F1033">
        <v>2</v>
      </c>
      <c r="G1033" s="1" t="s">
        <v>1277</v>
      </c>
      <c r="H1033" t="s">
        <v>1278</v>
      </c>
      <c r="I1033" t="s">
        <v>1277</v>
      </c>
    </row>
    <row r="1034" spans="1:9" x14ac:dyDescent="0.2">
      <c r="A1034">
        <v>45</v>
      </c>
      <c r="B1034">
        <v>1</v>
      </c>
      <c r="C1034" t="s">
        <v>8</v>
      </c>
      <c r="D1034">
        <v>0</v>
      </c>
      <c r="E1034">
        <v>0.62736692465841803</v>
      </c>
      <c r="F1034">
        <v>1</v>
      </c>
      <c r="G1034" s="1" t="s">
        <v>1279</v>
      </c>
      <c r="H1034" t="s">
        <v>1279</v>
      </c>
      <c r="I1034" t="s">
        <v>1279</v>
      </c>
    </row>
    <row r="1035" spans="1:9" x14ac:dyDescent="0.2">
      <c r="A1035">
        <v>78</v>
      </c>
      <c r="B1035">
        <v>2</v>
      </c>
      <c r="C1035" t="s">
        <v>8</v>
      </c>
      <c r="D1035">
        <v>1</v>
      </c>
      <c r="E1035">
        <v>0.55239322292618498</v>
      </c>
      <c r="F1035">
        <v>1</v>
      </c>
      <c r="G1035" s="1" t="s">
        <v>1280</v>
      </c>
      <c r="H1035" t="s">
        <v>1280</v>
      </c>
      <c r="I1035" t="s">
        <v>1280</v>
      </c>
    </row>
    <row r="1036" spans="1:9" x14ac:dyDescent="0.2">
      <c r="A1036">
        <v>76</v>
      </c>
      <c r="B1036">
        <v>4</v>
      </c>
      <c r="C1036" t="s">
        <v>10</v>
      </c>
      <c r="D1036">
        <v>0</v>
      </c>
      <c r="E1036">
        <v>0.72805207956116602</v>
      </c>
      <c r="F1036">
        <v>1</v>
      </c>
      <c r="G1036" s="1" t="s">
        <v>1281</v>
      </c>
      <c r="H1036" t="s">
        <v>1281</v>
      </c>
      <c r="I1036" t="s">
        <v>1281</v>
      </c>
    </row>
    <row r="1037" spans="1:9" x14ac:dyDescent="0.2">
      <c r="A1037">
        <v>49</v>
      </c>
      <c r="B1037">
        <v>13</v>
      </c>
      <c r="C1037" t="s">
        <v>10</v>
      </c>
      <c r="D1037">
        <v>0</v>
      </c>
      <c r="E1037">
        <v>0.86896196438465301</v>
      </c>
      <c r="F1037">
        <v>1</v>
      </c>
      <c r="G1037" s="1" t="s">
        <v>1282</v>
      </c>
      <c r="H1037" t="s">
        <v>1282</v>
      </c>
      <c r="I1037" t="s">
        <v>1282</v>
      </c>
    </row>
    <row r="1038" spans="1:9" x14ac:dyDescent="0.2">
      <c r="A1038">
        <v>64</v>
      </c>
      <c r="B1038">
        <v>3</v>
      </c>
      <c r="C1038" t="s">
        <v>16</v>
      </c>
      <c r="D1038">
        <v>0</v>
      </c>
      <c r="E1038">
        <v>0.84166619996540204</v>
      </c>
      <c r="F1038">
        <v>1</v>
      </c>
      <c r="G1038" s="1" t="s">
        <v>1283</v>
      </c>
      <c r="H1038" t="s">
        <v>1283</v>
      </c>
      <c r="I1038" t="s">
        <v>1283</v>
      </c>
    </row>
    <row r="1039" spans="1:9" x14ac:dyDescent="0.2">
      <c r="A1039">
        <v>73</v>
      </c>
      <c r="B1039">
        <v>14</v>
      </c>
      <c r="C1039" t="s">
        <v>16</v>
      </c>
      <c r="D1039">
        <v>0</v>
      </c>
      <c r="E1039">
        <v>0.99808621418196697</v>
      </c>
      <c r="F1039">
        <v>1</v>
      </c>
      <c r="G1039" s="1" t="s">
        <v>1284</v>
      </c>
      <c r="H1039" t="s">
        <v>1284</v>
      </c>
      <c r="I1039" t="s">
        <v>1284</v>
      </c>
    </row>
    <row r="1040" spans="1:9" x14ac:dyDescent="0.2">
      <c r="A1040">
        <v>62</v>
      </c>
      <c r="B1040">
        <v>7</v>
      </c>
      <c r="C1040" t="s">
        <v>8</v>
      </c>
      <c r="D1040">
        <v>0</v>
      </c>
      <c r="E1040">
        <v>0.85936766455415603</v>
      </c>
      <c r="F1040">
        <v>1</v>
      </c>
      <c r="G1040" s="1" t="s">
        <v>1285</v>
      </c>
      <c r="H1040" t="s">
        <v>1285</v>
      </c>
      <c r="I1040" t="s">
        <v>1285</v>
      </c>
    </row>
    <row r="1041" spans="1:9" x14ac:dyDescent="0.2">
      <c r="A1041">
        <v>52</v>
      </c>
      <c r="B1041">
        <v>9</v>
      </c>
      <c r="C1041" t="s">
        <v>16</v>
      </c>
      <c r="D1041">
        <v>0</v>
      </c>
      <c r="E1041">
        <v>0.94209037465043399</v>
      </c>
      <c r="F1041">
        <v>1</v>
      </c>
      <c r="G1041" s="1" t="s">
        <v>1286</v>
      </c>
      <c r="H1041" t="s">
        <v>1286</v>
      </c>
      <c r="I1041" t="s">
        <v>1286</v>
      </c>
    </row>
    <row r="1042" spans="1:9" x14ac:dyDescent="0.2">
      <c r="A1042">
        <v>38</v>
      </c>
      <c r="B1042">
        <v>14</v>
      </c>
      <c r="C1042" t="s">
        <v>16</v>
      </c>
      <c r="D1042">
        <v>2</v>
      </c>
      <c r="E1042">
        <v>0.540276138926856</v>
      </c>
      <c r="F1042">
        <v>1</v>
      </c>
      <c r="G1042" s="1" t="s">
        <v>1287</v>
      </c>
      <c r="H1042" t="s">
        <v>1287</v>
      </c>
      <c r="I1042" t="s">
        <v>1287</v>
      </c>
    </row>
    <row r="1043" spans="1:9" x14ac:dyDescent="0.2">
      <c r="A1043">
        <v>84</v>
      </c>
      <c r="B1043">
        <v>14</v>
      </c>
      <c r="C1043" t="s">
        <v>8</v>
      </c>
      <c r="D1043">
        <v>1</v>
      </c>
      <c r="E1043">
        <v>0.84483332023955904</v>
      </c>
      <c r="F1043">
        <v>1</v>
      </c>
      <c r="G1043" s="1" t="s">
        <v>1288</v>
      </c>
      <c r="H1043" t="s">
        <v>1288</v>
      </c>
      <c r="I1043" t="s">
        <v>1288</v>
      </c>
    </row>
    <row r="1044" spans="1:9" x14ac:dyDescent="0.2">
      <c r="A1044">
        <v>47</v>
      </c>
      <c r="B1044">
        <v>8</v>
      </c>
      <c r="C1044" t="s">
        <v>8</v>
      </c>
      <c r="D1044">
        <v>1</v>
      </c>
      <c r="E1044">
        <v>0.85190975561272397</v>
      </c>
      <c r="F1044">
        <v>1</v>
      </c>
      <c r="G1044" s="1" t="s">
        <v>1289</v>
      </c>
      <c r="H1044" t="s">
        <v>1289</v>
      </c>
      <c r="I1044" t="s">
        <v>1289</v>
      </c>
    </row>
    <row r="1045" spans="1:9" x14ac:dyDescent="0.2">
      <c r="A1045">
        <v>59</v>
      </c>
      <c r="B1045">
        <v>6</v>
      </c>
      <c r="C1045" t="s">
        <v>8</v>
      </c>
      <c r="D1045">
        <v>1</v>
      </c>
      <c r="E1045">
        <v>0.95166764047462504</v>
      </c>
      <c r="F1045">
        <v>1</v>
      </c>
      <c r="G1045" s="1" t="s">
        <v>1290</v>
      </c>
      <c r="H1045" t="s">
        <v>1290</v>
      </c>
      <c r="I1045" t="s">
        <v>1290</v>
      </c>
    </row>
    <row r="1046" spans="1:9" x14ac:dyDescent="0.2">
      <c r="A1046">
        <v>31</v>
      </c>
      <c r="B1046">
        <v>14</v>
      </c>
      <c r="C1046" t="s">
        <v>10</v>
      </c>
      <c r="D1046">
        <v>0</v>
      </c>
      <c r="E1046">
        <v>0.75716377119533695</v>
      </c>
      <c r="F1046">
        <v>1</v>
      </c>
      <c r="G1046" s="1" t="s">
        <v>1291</v>
      </c>
      <c r="H1046" t="s">
        <v>1291</v>
      </c>
      <c r="I1046" t="s">
        <v>1291</v>
      </c>
    </row>
    <row r="1047" spans="1:9" x14ac:dyDescent="0.2">
      <c r="A1047">
        <v>53</v>
      </c>
      <c r="B1047">
        <v>5</v>
      </c>
      <c r="C1047" t="s">
        <v>8</v>
      </c>
      <c r="D1047">
        <v>0</v>
      </c>
      <c r="E1047">
        <v>0.78570665582083199</v>
      </c>
      <c r="F1047">
        <v>1</v>
      </c>
      <c r="G1047" s="1" t="s">
        <v>1292</v>
      </c>
      <c r="H1047" t="s">
        <v>1292</v>
      </c>
      <c r="I1047" t="s">
        <v>1292</v>
      </c>
    </row>
    <row r="1048" spans="1:9" x14ac:dyDescent="0.2">
      <c r="A1048">
        <v>78</v>
      </c>
      <c r="B1048">
        <v>13</v>
      </c>
      <c r="C1048" t="s">
        <v>8</v>
      </c>
      <c r="D1048">
        <v>1</v>
      </c>
      <c r="E1048">
        <v>0.93189432402141403</v>
      </c>
      <c r="F1048">
        <v>1</v>
      </c>
      <c r="G1048" s="1" t="s">
        <v>1293</v>
      </c>
      <c r="H1048" t="s">
        <v>1293</v>
      </c>
      <c r="I1048" t="s">
        <v>1293</v>
      </c>
    </row>
    <row r="1049" spans="1:9" x14ac:dyDescent="0.2">
      <c r="A1049">
        <v>77</v>
      </c>
      <c r="B1049">
        <v>5</v>
      </c>
      <c r="C1049" t="s">
        <v>10</v>
      </c>
      <c r="D1049">
        <v>0</v>
      </c>
      <c r="E1049">
        <v>0.93640584859531395</v>
      </c>
      <c r="F1049">
        <v>1</v>
      </c>
      <c r="G1049" s="1" t="s">
        <v>1294</v>
      </c>
      <c r="H1049" t="s">
        <v>1294</v>
      </c>
      <c r="I1049" t="s">
        <v>1294</v>
      </c>
    </row>
    <row r="1050" spans="1:9" x14ac:dyDescent="0.2">
      <c r="A1050">
        <v>36</v>
      </c>
      <c r="B1050">
        <v>14</v>
      </c>
      <c r="C1050" t="s">
        <v>8</v>
      </c>
      <c r="D1050">
        <v>1</v>
      </c>
      <c r="E1050">
        <v>0.94004401308484398</v>
      </c>
      <c r="F1050">
        <v>1</v>
      </c>
      <c r="G1050" s="1" t="s">
        <v>1295</v>
      </c>
      <c r="H1050" t="s">
        <v>1295</v>
      </c>
      <c r="I1050" t="s">
        <v>1295</v>
      </c>
    </row>
    <row r="1051" spans="1:9" x14ac:dyDescent="0.2">
      <c r="A1051">
        <v>25</v>
      </c>
      <c r="B1051">
        <v>4</v>
      </c>
      <c r="C1051" t="s">
        <v>10</v>
      </c>
      <c r="D1051">
        <v>0</v>
      </c>
      <c r="E1051">
        <v>0.70915698574390296</v>
      </c>
      <c r="F1051">
        <v>1</v>
      </c>
      <c r="G1051" s="1" t="s">
        <v>1296</v>
      </c>
      <c r="H1051" t="s">
        <v>1296</v>
      </c>
      <c r="I1051" t="s">
        <v>1296</v>
      </c>
    </row>
    <row r="1052" spans="1:9" x14ac:dyDescent="0.2">
      <c r="A1052">
        <v>89</v>
      </c>
      <c r="B1052">
        <v>0</v>
      </c>
      <c r="C1052" t="s">
        <v>8</v>
      </c>
      <c r="D1052">
        <v>2</v>
      </c>
      <c r="E1052">
        <v>0.87283783324528497</v>
      </c>
      <c r="F1052">
        <v>3</v>
      </c>
      <c r="G1052" s="1" t="s">
        <v>1297</v>
      </c>
      <c r="H1052" t="s">
        <v>1298</v>
      </c>
      <c r="I1052" t="s">
        <v>1297</v>
      </c>
    </row>
    <row r="1053" spans="1:9" x14ac:dyDescent="0.2">
      <c r="A1053">
        <v>86</v>
      </c>
      <c r="B1053">
        <v>9</v>
      </c>
      <c r="C1053" t="s">
        <v>8</v>
      </c>
      <c r="D1053">
        <v>1</v>
      </c>
      <c r="E1053">
        <v>0.87251022213604301</v>
      </c>
      <c r="F1053">
        <v>3</v>
      </c>
      <c r="G1053" s="1" t="s">
        <v>1299</v>
      </c>
      <c r="H1053" t="s">
        <v>1300</v>
      </c>
      <c r="I1053" t="s">
        <v>1299</v>
      </c>
    </row>
    <row r="1054" spans="1:9" x14ac:dyDescent="0.2">
      <c r="A1054">
        <v>36</v>
      </c>
      <c r="B1054">
        <v>14</v>
      </c>
      <c r="C1054" t="s">
        <v>16</v>
      </c>
      <c r="D1054">
        <v>2</v>
      </c>
      <c r="E1054">
        <v>0.93637312622740898</v>
      </c>
      <c r="F1054">
        <v>1</v>
      </c>
      <c r="G1054" s="1" t="s">
        <v>1301</v>
      </c>
      <c r="H1054" t="s">
        <v>1301</v>
      </c>
      <c r="I1054" t="s">
        <v>1301</v>
      </c>
    </row>
    <row r="1055" spans="1:9" x14ac:dyDescent="0.2">
      <c r="A1055">
        <v>87</v>
      </c>
      <c r="B1055">
        <v>8</v>
      </c>
      <c r="C1055" t="s">
        <v>10</v>
      </c>
      <c r="D1055">
        <v>0</v>
      </c>
      <c r="E1055">
        <v>0.82825949089601603</v>
      </c>
      <c r="F1055">
        <v>1</v>
      </c>
      <c r="G1055" s="1" t="s">
        <v>1302</v>
      </c>
      <c r="H1055" t="s">
        <v>1302</v>
      </c>
      <c r="I1055" t="s">
        <v>1302</v>
      </c>
    </row>
    <row r="1056" spans="1:9" x14ac:dyDescent="0.2">
      <c r="A1056">
        <v>77</v>
      </c>
      <c r="B1056">
        <v>8</v>
      </c>
      <c r="C1056" t="s">
        <v>8</v>
      </c>
      <c r="D1056">
        <v>0</v>
      </c>
      <c r="E1056">
        <v>0.54081531893461898</v>
      </c>
      <c r="F1056">
        <v>1</v>
      </c>
      <c r="G1056" s="1" t="s">
        <v>1303</v>
      </c>
      <c r="H1056" t="s">
        <v>1303</v>
      </c>
      <c r="I1056" t="s">
        <v>1303</v>
      </c>
    </row>
    <row r="1057" spans="1:9" x14ac:dyDescent="0.2">
      <c r="A1057">
        <v>35</v>
      </c>
      <c r="B1057">
        <v>3</v>
      </c>
      <c r="C1057" t="s">
        <v>10</v>
      </c>
      <c r="D1057">
        <v>0</v>
      </c>
      <c r="E1057">
        <v>0.99273176002316199</v>
      </c>
      <c r="F1057">
        <v>1</v>
      </c>
      <c r="G1057" s="1" t="s">
        <v>1304</v>
      </c>
      <c r="H1057" t="s">
        <v>1304</v>
      </c>
      <c r="I1057" t="s">
        <v>1304</v>
      </c>
    </row>
    <row r="1058" spans="1:9" x14ac:dyDescent="0.2">
      <c r="A1058">
        <v>66</v>
      </c>
      <c r="B1058">
        <v>1</v>
      </c>
      <c r="C1058" t="s">
        <v>16</v>
      </c>
      <c r="D1058">
        <v>0</v>
      </c>
      <c r="E1058">
        <v>0.94690343469847005</v>
      </c>
      <c r="F1058">
        <v>1</v>
      </c>
      <c r="G1058" s="1" t="s">
        <v>1305</v>
      </c>
      <c r="H1058" t="s">
        <v>1305</v>
      </c>
      <c r="I1058" t="s">
        <v>1305</v>
      </c>
    </row>
    <row r="1059" spans="1:9" x14ac:dyDescent="0.2">
      <c r="A1059">
        <v>83</v>
      </c>
      <c r="B1059">
        <v>8</v>
      </c>
      <c r="C1059" t="s">
        <v>8</v>
      </c>
      <c r="D1059">
        <v>1</v>
      </c>
      <c r="E1059">
        <v>0.69131437502801396</v>
      </c>
      <c r="F1059">
        <v>3</v>
      </c>
      <c r="G1059" s="1" t="s">
        <v>1306</v>
      </c>
      <c r="H1059" t="s">
        <v>1307</v>
      </c>
      <c r="I1059" t="s">
        <v>1306</v>
      </c>
    </row>
    <row r="1060" spans="1:9" x14ac:dyDescent="0.2">
      <c r="A1060">
        <v>75</v>
      </c>
      <c r="B1060">
        <v>13</v>
      </c>
      <c r="C1060" t="s">
        <v>10</v>
      </c>
      <c r="D1060">
        <v>1</v>
      </c>
      <c r="E1060">
        <v>0.63725204160436999</v>
      </c>
      <c r="F1060">
        <v>1</v>
      </c>
      <c r="G1060" s="1" t="s">
        <v>1308</v>
      </c>
      <c r="H1060" t="s">
        <v>1308</v>
      </c>
      <c r="I1060" t="s">
        <v>1308</v>
      </c>
    </row>
    <row r="1061" spans="1:9" x14ac:dyDescent="0.2">
      <c r="A1061">
        <v>78</v>
      </c>
      <c r="B1061">
        <v>11</v>
      </c>
      <c r="C1061" t="s">
        <v>10</v>
      </c>
      <c r="D1061">
        <v>0</v>
      </c>
      <c r="E1061">
        <v>0.70572628709487595</v>
      </c>
      <c r="F1061">
        <v>1</v>
      </c>
      <c r="G1061" s="1" t="s">
        <v>1309</v>
      </c>
      <c r="H1061" t="s">
        <v>1309</v>
      </c>
      <c r="I1061" t="s">
        <v>1309</v>
      </c>
    </row>
    <row r="1062" spans="1:9" x14ac:dyDescent="0.2">
      <c r="A1062">
        <v>60</v>
      </c>
      <c r="B1062">
        <v>6</v>
      </c>
      <c r="C1062" t="s">
        <v>16</v>
      </c>
      <c r="D1062">
        <v>0</v>
      </c>
      <c r="E1062">
        <v>0.96703707240521897</v>
      </c>
      <c r="F1062">
        <v>1</v>
      </c>
      <c r="G1062" s="1" t="s">
        <v>1310</v>
      </c>
      <c r="H1062" t="s">
        <v>1310</v>
      </c>
      <c r="I1062" t="s">
        <v>1310</v>
      </c>
    </row>
    <row r="1063" spans="1:9" x14ac:dyDescent="0.2">
      <c r="A1063">
        <v>67</v>
      </c>
      <c r="B1063">
        <v>10</v>
      </c>
      <c r="C1063" t="s">
        <v>8</v>
      </c>
      <c r="D1063">
        <v>1</v>
      </c>
      <c r="E1063">
        <v>0.905383233097382</v>
      </c>
      <c r="F1063">
        <v>3</v>
      </c>
      <c r="G1063" s="1" t="s">
        <v>1311</v>
      </c>
      <c r="H1063" t="s">
        <v>1312</v>
      </c>
      <c r="I1063" t="s">
        <v>1311</v>
      </c>
    </row>
    <row r="1064" spans="1:9" x14ac:dyDescent="0.2">
      <c r="A1064">
        <v>74</v>
      </c>
      <c r="B1064">
        <v>4</v>
      </c>
      <c r="C1064" t="s">
        <v>16</v>
      </c>
      <c r="D1064">
        <v>1</v>
      </c>
      <c r="E1064">
        <v>0.92647195956669703</v>
      </c>
      <c r="F1064">
        <v>2</v>
      </c>
      <c r="G1064" s="1" t="s">
        <v>1313</v>
      </c>
      <c r="H1064" t="s">
        <v>1314</v>
      </c>
      <c r="I1064" t="s">
        <v>1313</v>
      </c>
    </row>
    <row r="1065" spans="1:9" x14ac:dyDescent="0.2">
      <c r="A1065">
        <v>33</v>
      </c>
      <c r="B1065">
        <v>1</v>
      </c>
      <c r="C1065" t="s">
        <v>10</v>
      </c>
      <c r="D1065">
        <v>2</v>
      </c>
      <c r="E1065">
        <v>0.78859587013721499</v>
      </c>
      <c r="F1065">
        <v>2</v>
      </c>
      <c r="G1065" s="1" t="s">
        <v>1315</v>
      </c>
      <c r="H1065" t="s">
        <v>1316</v>
      </c>
      <c r="I1065" t="s">
        <v>1315</v>
      </c>
    </row>
    <row r="1066" spans="1:9" x14ac:dyDescent="0.2">
      <c r="A1066">
        <v>35</v>
      </c>
      <c r="B1066">
        <v>2</v>
      </c>
      <c r="C1066" t="s">
        <v>10</v>
      </c>
      <c r="D1066">
        <v>1</v>
      </c>
      <c r="E1066">
        <v>0.83792318508494601</v>
      </c>
      <c r="F1066">
        <v>2</v>
      </c>
      <c r="G1066" s="1" t="s">
        <v>1317</v>
      </c>
      <c r="H1066" t="s">
        <v>1318</v>
      </c>
      <c r="I1066" t="s">
        <v>1317</v>
      </c>
    </row>
    <row r="1067" spans="1:9" x14ac:dyDescent="0.2">
      <c r="A1067">
        <v>19</v>
      </c>
      <c r="B1067">
        <v>11</v>
      </c>
      <c r="C1067" t="s">
        <v>10</v>
      </c>
      <c r="D1067">
        <v>1</v>
      </c>
      <c r="E1067">
        <v>0.79101375315804001</v>
      </c>
      <c r="F1067">
        <v>1</v>
      </c>
      <c r="G1067" s="1" t="s">
        <v>1319</v>
      </c>
      <c r="H1067" t="s">
        <v>1319</v>
      </c>
      <c r="I1067" t="s">
        <v>1319</v>
      </c>
    </row>
    <row r="1068" spans="1:9" x14ac:dyDescent="0.2">
      <c r="A1068">
        <v>72</v>
      </c>
      <c r="B1068">
        <v>13</v>
      </c>
      <c r="C1068" t="s">
        <v>16</v>
      </c>
      <c r="D1068">
        <v>2</v>
      </c>
      <c r="E1068">
        <v>0.79745735053438704</v>
      </c>
      <c r="F1068">
        <v>2</v>
      </c>
      <c r="G1068" s="1" t="s">
        <v>1320</v>
      </c>
      <c r="H1068" t="s">
        <v>1321</v>
      </c>
      <c r="I1068" t="s">
        <v>1320</v>
      </c>
    </row>
    <row r="1069" spans="1:9" x14ac:dyDescent="0.2">
      <c r="A1069">
        <v>78</v>
      </c>
      <c r="B1069">
        <v>14</v>
      </c>
      <c r="C1069" t="s">
        <v>10</v>
      </c>
      <c r="D1069">
        <v>0</v>
      </c>
      <c r="E1069">
        <v>0.93750226811971504</v>
      </c>
      <c r="F1069">
        <v>1</v>
      </c>
      <c r="G1069" s="1" t="s">
        <v>1322</v>
      </c>
      <c r="H1069" t="s">
        <v>1322</v>
      </c>
      <c r="I1069" t="s">
        <v>1322</v>
      </c>
    </row>
    <row r="1070" spans="1:9" x14ac:dyDescent="0.2">
      <c r="A1070">
        <v>41</v>
      </c>
      <c r="B1070">
        <v>10</v>
      </c>
      <c r="C1070" t="s">
        <v>8</v>
      </c>
      <c r="D1070">
        <v>0</v>
      </c>
      <c r="E1070">
        <v>0.51304346241522603</v>
      </c>
      <c r="F1070">
        <v>1</v>
      </c>
      <c r="G1070" s="1" t="s">
        <v>1323</v>
      </c>
      <c r="H1070" t="s">
        <v>1323</v>
      </c>
      <c r="I1070" t="s">
        <v>1323</v>
      </c>
    </row>
    <row r="1071" spans="1:9" x14ac:dyDescent="0.2">
      <c r="A1071">
        <v>64</v>
      </c>
      <c r="B1071">
        <v>12</v>
      </c>
      <c r="C1071" t="s">
        <v>8</v>
      </c>
      <c r="D1071">
        <v>0</v>
      </c>
      <c r="E1071">
        <v>0.97145200590603098</v>
      </c>
      <c r="F1071">
        <v>1</v>
      </c>
      <c r="G1071" s="1" t="s">
        <v>1324</v>
      </c>
      <c r="H1071" t="s">
        <v>1324</v>
      </c>
      <c r="I1071" t="s">
        <v>1324</v>
      </c>
    </row>
    <row r="1072" spans="1:9" x14ac:dyDescent="0.2">
      <c r="A1072">
        <v>40</v>
      </c>
      <c r="B1072">
        <v>7</v>
      </c>
      <c r="C1072" t="s">
        <v>8</v>
      </c>
      <c r="D1072">
        <v>1</v>
      </c>
      <c r="E1072">
        <v>0.73544713784940496</v>
      </c>
      <c r="F1072">
        <v>1</v>
      </c>
      <c r="G1072" s="1" t="s">
        <v>1325</v>
      </c>
      <c r="H1072" t="s">
        <v>1325</v>
      </c>
      <c r="I1072" t="s">
        <v>1325</v>
      </c>
    </row>
    <row r="1073" spans="1:9" x14ac:dyDescent="0.2">
      <c r="A1073">
        <v>60</v>
      </c>
      <c r="B1073">
        <v>12</v>
      </c>
      <c r="C1073" t="s">
        <v>8</v>
      </c>
      <c r="D1073">
        <v>0</v>
      </c>
      <c r="E1073">
        <v>0.94291808060370397</v>
      </c>
      <c r="F1073">
        <v>2</v>
      </c>
      <c r="G1073" s="1" t="s">
        <v>1326</v>
      </c>
      <c r="H1073" t="s">
        <v>1327</v>
      </c>
      <c r="I1073" t="s">
        <v>1326</v>
      </c>
    </row>
    <row r="1074" spans="1:9" x14ac:dyDescent="0.2">
      <c r="A1074">
        <v>73</v>
      </c>
      <c r="B1074">
        <v>7</v>
      </c>
      <c r="C1074" t="s">
        <v>16</v>
      </c>
      <c r="D1074">
        <v>0</v>
      </c>
      <c r="E1074">
        <v>0.96764550532680005</v>
      </c>
      <c r="F1074">
        <v>1</v>
      </c>
      <c r="G1074" s="1" t="s">
        <v>1328</v>
      </c>
      <c r="H1074" t="s">
        <v>1328</v>
      </c>
      <c r="I1074" t="s">
        <v>1328</v>
      </c>
    </row>
    <row r="1075" spans="1:9" x14ac:dyDescent="0.2">
      <c r="A1075">
        <v>58</v>
      </c>
      <c r="B1075">
        <v>11</v>
      </c>
      <c r="C1075" t="s">
        <v>8</v>
      </c>
      <c r="D1075">
        <v>0</v>
      </c>
      <c r="E1075">
        <v>0.98935474141035196</v>
      </c>
      <c r="F1075">
        <v>2</v>
      </c>
      <c r="G1075" s="1" t="s">
        <v>1329</v>
      </c>
      <c r="H1075" t="s">
        <v>1330</v>
      </c>
      <c r="I1075" t="s">
        <v>1329</v>
      </c>
    </row>
    <row r="1076" spans="1:9" x14ac:dyDescent="0.2">
      <c r="A1076">
        <v>45</v>
      </c>
      <c r="B1076">
        <v>1</v>
      </c>
      <c r="C1076" t="s">
        <v>8</v>
      </c>
      <c r="D1076">
        <v>0</v>
      </c>
      <c r="E1076">
        <v>0.83763763750903297</v>
      </c>
      <c r="F1076">
        <v>1</v>
      </c>
      <c r="G1076" s="1" t="s">
        <v>1331</v>
      </c>
      <c r="H1076" t="s">
        <v>1331</v>
      </c>
      <c r="I1076" t="s">
        <v>1331</v>
      </c>
    </row>
    <row r="1077" spans="1:9" x14ac:dyDescent="0.2">
      <c r="A1077">
        <v>83</v>
      </c>
      <c r="B1077">
        <v>5</v>
      </c>
      <c r="C1077" t="s">
        <v>8</v>
      </c>
      <c r="D1077">
        <v>0</v>
      </c>
      <c r="E1077">
        <v>0.58663146418985002</v>
      </c>
      <c r="F1077">
        <v>1</v>
      </c>
      <c r="G1077" s="1" t="s">
        <v>1332</v>
      </c>
      <c r="H1077" t="s">
        <v>1332</v>
      </c>
      <c r="I1077" t="s">
        <v>1332</v>
      </c>
    </row>
    <row r="1078" spans="1:9" x14ac:dyDescent="0.2">
      <c r="A1078">
        <v>88</v>
      </c>
      <c r="B1078">
        <v>4</v>
      </c>
      <c r="C1078" t="s">
        <v>8</v>
      </c>
      <c r="D1078">
        <v>1</v>
      </c>
      <c r="E1078">
        <v>0.53187736112158701</v>
      </c>
      <c r="F1078">
        <v>1</v>
      </c>
      <c r="G1078" s="1" t="s">
        <v>1333</v>
      </c>
      <c r="H1078" t="s">
        <v>1333</v>
      </c>
      <c r="I1078" t="s">
        <v>1333</v>
      </c>
    </row>
    <row r="1079" spans="1:9" x14ac:dyDescent="0.2">
      <c r="A1079">
        <v>73</v>
      </c>
      <c r="B1079">
        <v>5</v>
      </c>
      <c r="C1079" t="s">
        <v>10</v>
      </c>
      <c r="D1079">
        <v>1</v>
      </c>
      <c r="E1079">
        <v>0.96172474906779803</v>
      </c>
      <c r="F1079">
        <v>3</v>
      </c>
      <c r="G1079" s="1" t="s">
        <v>1334</v>
      </c>
      <c r="H1079" t="s">
        <v>1335</v>
      </c>
      <c r="I1079" t="s">
        <v>1334</v>
      </c>
    </row>
    <row r="1080" spans="1:9" x14ac:dyDescent="0.2">
      <c r="A1080">
        <v>19</v>
      </c>
      <c r="B1080">
        <v>5</v>
      </c>
      <c r="C1080" t="s">
        <v>8</v>
      </c>
      <c r="D1080">
        <v>0</v>
      </c>
      <c r="E1080">
        <v>0.56832000566646501</v>
      </c>
      <c r="F1080">
        <v>2</v>
      </c>
      <c r="G1080" s="1" t="s">
        <v>1336</v>
      </c>
      <c r="H1080" t="s">
        <v>1337</v>
      </c>
      <c r="I1080" t="s">
        <v>1336</v>
      </c>
    </row>
    <row r="1081" spans="1:9" x14ac:dyDescent="0.2">
      <c r="A1081">
        <v>56</v>
      </c>
      <c r="B1081">
        <v>12</v>
      </c>
      <c r="C1081" t="s">
        <v>16</v>
      </c>
      <c r="D1081">
        <v>0</v>
      </c>
      <c r="E1081">
        <v>0.74811806005891401</v>
      </c>
      <c r="F1081">
        <v>1</v>
      </c>
      <c r="G1081" s="1" t="s">
        <v>1338</v>
      </c>
      <c r="H1081" t="s">
        <v>1338</v>
      </c>
      <c r="I1081" t="s">
        <v>1338</v>
      </c>
    </row>
    <row r="1082" spans="1:9" x14ac:dyDescent="0.2">
      <c r="A1082">
        <v>46</v>
      </c>
      <c r="B1082">
        <v>13</v>
      </c>
      <c r="C1082" t="s">
        <v>8</v>
      </c>
      <c r="D1082">
        <v>0</v>
      </c>
      <c r="E1082">
        <v>0.89641289389692203</v>
      </c>
      <c r="F1082">
        <v>2</v>
      </c>
      <c r="G1082" s="1" t="s">
        <v>1339</v>
      </c>
      <c r="H1082" t="s">
        <v>1340</v>
      </c>
      <c r="I1082" t="s">
        <v>1339</v>
      </c>
    </row>
    <row r="1083" spans="1:9" x14ac:dyDescent="0.2">
      <c r="A1083">
        <v>72</v>
      </c>
      <c r="B1083">
        <v>14</v>
      </c>
      <c r="C1083" t="s">
        <v>10</v>
      </c>
      <c r="D1083">
        <v>1</v>
      </c>
      <c r="E1083">
        <v>0.81308572774287302</v>
      </c>
      <c r="F1083">
        <v>1</v>
      </c>
      <c r="G1083" s="1" t="s">
        <v>1341</v>
      </c>
      <c r="H1083" t="s">
        <v>1341</v>
      </c>
      <c r="I1083" t="s">
        <v>1341</v>
      </c>
    </row>
    <row r="1084" spans="1:9" x14ac:dyDescent="0.2">
      <c r="A1084">
        <v>49</v>
      </c>
      <c r="B1084">
        <v>1</v>
      </c>
      <c r="C1084" t="s">
        <v>10</v>
      </c>
      <c r="D1084">
        <v>1</v>
      </c>
      <c r="E1084">
        <v>0.71431251382455196</v>
      </c>
      <c r="F1084">
        <v>1</v>
      </c>
      <c r="G1084" s="1" t="s">
        <v>1342</v>
      </c>
      <c r="H1084" t="s">
        <v>1342</v>
      </c>
      <c r="I1084" t="s">
        <v>1342</v>
      </c>
    </row>
    <row r="1085" spans="1:9" x14ac:dyDescent="0.2">
      <c r="A1085">
        <v>62</v>
      </c>
      <c r="B1085">
        <v>7</v>
      </c>
      <c r="C1085" t="s">
        <v>8</v>
      </c>
      <c r="D1085">
        <v>0</v>
      </c>
      <c r="E1085">
        <v>0.83706753863953098</v>
      </c>
      <c r="F1085">
        <v>1</v>
      </c>
      <c r="G1085" s="1" t="s">
        <v>1343</v>
      </c>
      <c r="H1085" t="s">
        <v>1343</v>
      </c>
      <c r="I1085" t="s">
        <v>1343</v>
      </c>
    </row>
    <row r="1086" spans="1:9" x14ac:dyDescent="0.2">
      <c r="A1086">
        <v>48</v>
      </c>
      <c r="B1086">
        <v>4</v>
      </c>
      <c r="C1086" t="s">
        <v>16</v>
      </c>
      <c r="D1086">
        <v>0</v>
      </c>
      <c r="E1086">
        <v>0.90564397792331897</v>
      </c>
      <c r="F1086">
        <v>1</v>
      </c>
      <c r="G1086" s="1" t="s">
        <v>1344</v>
      </c>
      <c r="H1086" t="s">
        <v>1344</v>
      </c>
      <c r="I1086" t="s">
        <v>1344</v>
      </c>
    </row>
    <row r="1087" spans="1:9" x14ac:dyDescent="0.2">
      <c r="A1087">
        <v>90</v>
      </c>
      <c r="B1087">
        <v>9</v>
      </c>
      <c r="C1087" t="s">
        <v>8</v>
      </c>
      <c r="D1087">
        <v>0</v>
      </c>
      <c r="E1087">
        <v>0.91811574238818106</v>
      </c>
      <c r="F1087">
        <v>2</v>
      </c>
      <c r="G1087" s="1" t="s">
        <v>1345</v>
      </c>
      <c r="H1087" t="s">
        <v>1346</v>
      </c>
      <c r="I1087" t="s">
        <v>1345</v>
      </c>
    </row>
    <row r="1088" spans="1:9" x14ac:dyDescent="0.2">
      <c r="A1088">
        <v>78</v>
      </c>
      <c r="B1088">
        <v>6</v>
      </c>
      <c r="C1088" t="s">
        <v>16</v>
      </c>
      <c r="D1088">
        <v>0</v>
      </c>
      <c r="E1088">
        <v>0.544346934533678</v>
      </c>
      <c r="F1088">
        <v>1</v>
      </c>
      <c r="G1088" s="1" t="s">
        <v>1347</v>
      </c>
      <c r="H1088" t="s">
        <v>1347</v>
      </c>
      <c r="I1088" t="s">
        <v>1347</v>
      </c>
    </row>
    <row r="1089" spans="1:9" x14ac:dyDescent="0.2">
      <c r="A1089">
        <v>87</v>
      </c>
      <c r="B1089">
        <v>4</v>
      </c>
      <c r="C1089" t="s">
        <v>8</v>
      </c>
      <c r="D1089">
        <v>0</v>
      </c>
      <c r="E1089">
        <v>0.90572862036060497</v>
      </c>
      <c r="F1089">
        <v>2</v>
      </c>
      <c r="G1089" s="1" t="s">
        <v>1348</v>
      </c>
      <c r="H1089" t="s">
        <v>1349</v>
      </c>
      <c r="I1089" t="s">
        <v>1348</v>
      </c>
    </row>
    <row r="1090" spans="1:9" x14ac:dyDescent="0.2">
      <c r="A1090">
        <v>81</v>
      </c>
      <c r="B1090">
        <v>6</v>
      </c>
      <c r="C1090" t="s">
        <v>8</v>
      </c>
      <c r="D1090">
        <v>1</v>
      </c>
      <c r="E1090">
        <v>0.83150116819888398</v>
      </c>
      <c r="F1090">
        <v>1</v>
      </c>
      <c r="G1090" s="1" t="s">
        <v>1350</v>
      </c>
      <c r="H1090" t="s">
        <v>1350</v>
      </c>
      <c r="I1090" t="s">
        <v>1350</v>
      </c>
    </row>
    <row r="1091" spans="1:9" x14ac:dyDescent="0.2">
      <c r="A1091">
        <v>77</v>
      </c>
      <c r="B1091">
        <v>8</v>
      </c>
      <c r="C1091" t="s">
        <v>8</v>
      </c>
      <c r="D1091">
        <v>1</v>
      </c>
      <c r="E1091">
        <v>0.93989961722399995</v>
      </c>
      <c r="F1091">
        <v>1</v>
      </c>
      <c r="G1091" s="1" t="s">
        <v>1351</v>
      </c>
      <c r="H1091" t="s">
        <v>1351</v>
      </c>
      <c r="I1091" t="s">
        <v>1351</v>
      </c>
    </row>
    <row r="1092" spans="1:9" x14ac:dyDescent="0.2">
      <c r="A1092">
        <v>59</v>
      </c>
      <c r="B1092">
        <v>6</v>
      </c>
      <c r="C1092" t="s">
        <v>10</v>
      </c>
      <c r="D1092">
        <v>0</v>
      </c>
      <c r="E1092">
        <v>0.80133201053831704</v>
      </c>
      <c r="F1092">
        <v>1</v>
      </c>
      <c r="G1092" s="1" t="s">
        <v>1352</v>
      </c>
      <c r="H1092" t="s">
        <v>1352</v>
      </c>
      <c r="I1092" t="s">
        <v>1352</v>
      </c>
    </row>
    <row r="1093" spans="1:9" x14ac:dyDescent="0.2">
      <c r="A1093">
        <v>43</v>
      </c>
      <c r="B1093">
        <v>3</v>
      </c>
      <c r="C1093" t="s">
        <v>10</v>
      </c>
      <c r="D1093">
        <v>0</v>
      </c>
      <c r="E1093">
        <v>0.60938592650927603</v>
      </c>
      <c r="F1093">
        <v>1</v>
      </c>
      <c r="G1093" s="1" t="s">
        <v>1353</v>
      </c>
      <c r="H1093" t="s">
        <v>1353</v>
      </c>
      <c r="I1093" t="s">
        <v>1353</v>
      </c>
    </row>
    <row r="1094" spans="1:9" x14ac:dyDescent="0.2">
      <c r="A1094">
        <v>77</v>
      </c>
      <c r="B1094">
        <v>10</v>
      </c>
      <c r="C1094" t="s">
        <v>16</v>
      </c>
      <c r="D1094">
        <v>0</v>
      </c>
      <c r="E1094">
        <v>0.73463143594562996</v>
      </c>
      <c r="F1094">
        <v>1</v>
      </c>
      <c r="G1094" s="1" t="s">
        <v>1354</v>
      </c>
      <c r="H1094" t="s">
        <v>1354</v>
      </c>
      <c r="I1094" t="s">
        <v>1354</v>
      </c>
    </row>
    <row r="1095" spans="1:9" x14ac:dyDescent="0.2">
      <c r="A1095">
        <v>57</v>
      </c>
      <c r="B1095">
        <v>3</v>
      </c>
      <c r="C1095" t="s">
        <v>16</v>
      </c>
      <c r="D1095">
        <v>1</v>
      </c>
      <c r="E1095">
        <v>0.670278143836185</v>
      </c>
      <c r="F1095">
        <v>1</v>
      </c>
      <c r="G1095" s="1" t="s">
        <v>1355</v>
      </c>
      <c r="H1095" t="s">
        <v>1355</v>
      </c>
      <c r="I1095" t="s">
        <v>1355</v>
      </c>
    </row>
    <row r="1096" spans="1:9" x14ac:dyDescent="0.2">
      <c r="A1096">
        <v>63</v>
      </c>
      <c r="B1096">
        <v>9</v>
      </c>
      <c r="C1096" t="s">
        <v>16</v>
      </c>
      <c r="D1096">
        <v>0</v>
      </c>
      <c r="E1096">
        <v>0.75359077181201395</v>
      </c>
      <c r="F1096">
        <v>1</v>
      </c>
      <c r="G1096" s="1" t="s">
        <v>1356</v>
      </c>
      <c r="H1096" t="s">
        <v>1356</v>
      </c>
      <c r="I1096" t="s">
        <v>1356</v>
      </c>
    </row>
    <row r="1097" spans="1:9" x14ac:dyDescent="0.2">
      <c r="A1097">
        <v>84</v>
      </c>
      <c r="B1097">
        <v>5</v>
      </c>
      <c r="C1097" t="s">
        <v>16</v>
      </c>
      <c r="D1097">
        <v>0</v>
      </c>
      <c r="E1097">
        <v>0.67586700420361001</v>
      </c>
      <c r="F1097">
        <v>2</v>
      </c>
      <c r="G1097" s="1" t="s">
        <v>1357</v>
      </c>
      <c r="H1097" t="s">
        <v>1358</v>
      </c>
      <c r="I1097" t="s">
        <v>1357</v>
      </c>
    </row>
    <row r="1098" spans="1:9" x14ac:dyDescent="0.2">
      <c r="A1098">
        <v>61</v>
      </c>
      <c r="B1098">
        <v>2</v>
      </c>
      <c r="C1098" t="s">
        <v>16</v>
      </c>
      <c r="D1098">
        <v>0</v>
      </c>
      <c r="E1098">
        <v>0.64176800625864405</v>
      </c>
      <c r="F1098">
        <v>1</v>
      </c>
      <c r="G1098" s="1" t="s">
        <v>1359</v>
      </c>
      <c r="H1098" t="s">
        <v>1359</v>
      </c>
      <c r="I1098" t="s">
        <v>1359</v>
      </c>
    </row>
    <row r="1099" spans="1:9" x14ac:dyDescent="0.2">
      <c r="A1099">
        <v>53</v>
      </c>
      <c r="B1099">
        <v>4</v>
      </c>
      <c r="C1099" t="s">
        <v>8</v>
      </c>
      <c r="D1099">
        <v>0</v>
      </c>
      <c r="E1099">
        <v>0.77570830401964497</v>
      </c>
      <c r="F1099">
        <v>1</v>
      </c>
      <c r="G1099" s="1" t="s">
        <v>1360</v>
      </c>
      <c r="H1099" t="s">
        <v>1360</v>
      </c>
      <c r="I1099" t="s">
        <v>1360</v>
      </c>
    </row>
    <row r="1100" spans="1:9" x14ac:dyDescent="0.2">
      <c r="A1100">
        <v>66</v>
      </c>
      <c r="B1100">
        <v>4</v>
      </c>
      <c r="C1100" t="s">
        <v>8</v>
      </c>
      <c r="D1100">
        <v>2</v>
      </c>
      <c r="E1100">
        <v>0.99665662460029103</v>
      </c>
      <c r="F1100">
        <v>2</v>
      </c>
      <c r="G1100" s="1" t="s">
        <v>1361</v>
      </c>
      <c r="H1100" t="s">
        <v>1362</v>
      </c>
      <c r="I1100" t="s">
        <v>1361</v>
      </c>
    </row>
    <row r="1101" spans="1:9" x14ac:dyDescent="0.2">
      <c r="A1101">
        <v>83</v>
      </c>
      <c r="B1101">
        <v>14</v>
      </c>
      <c r="C1101" t="s">
        <v>10</v>
      </c>
      <c r="D1101">
        <v>0</v>
      </c>
      <c r="E1101">
        <v>0.55700554675422598</v>
      </c>
      <c r="F1101">
        <v>2</v>
      </c>
      <c r="G1101" s="1" t="s">
        <v>1363</v>
      </c>
      <c r="H1101" t="s">
        <v>1364</v>
      </c>
      <c r="I1101" t="s">
        <v>1363</v>
      </c>
    </row>
    <row r="1102" spans="1:9" x14ac:dyDescent="0.2">
      <c r="A1102">
        <v>40</v>
      </c>
      <c r="B1102">
        <v>7</v>
      </c>
      <c r="C1102" t="s">
        <v>8</v>
      </c>
      <c r="D1102">
        <v>1</v>
      </c>
      <c r="E1102">
        <v>0.60860166605562005</v>
      </c>
      <c r="F1102">
        <v>1</v>
      </c>
      <c r="G1102" s="1" t="s">
        <v>1365</v>
      </c>
      <c r="H1102" t="s">
        <v>1365</v>
      </c>
      <c r="I1102" t="s">
        <v>1365</v>
      </c>
    </row>
    <row r="1103" spans="1:9" x14ac:dyDescent="0.2">
      <c r="A1103">
        <v>66</v>
      </c>
      <c r="B1103">
        <v>13</v>
      </c>
      <c r="C1103" t="s">
        <v>8</v>
      </c>
      <c r="D1103">
        <v>2</v>
      </c>
      <c r="E1103">
        <v>0.91353501845151197</v>
      </c>
      <c r="F1103">
        <v>1</v>
      </c>
      <c r="G1103" s="1" t="s">
        <v>1366</v>
      </c>
      <c r="H1103" t="s">
        <v>1366</v>
      </c>
      <c r="I1103" t="s">
        <v>1366</v>
      </c>
    </row>
    <row r="1104" spans="1:9" x14ac:dyDescent="0.2">
      <c r="A1104">
        <v>80</v>
      </c>
      <c r="B1104">
        <v>14</v>
      </c>
      <c r="C1104" t="s">
        <v>8</v>
      </c>
      <c r="D1104">
        <v>0</v>
      </c>
      <c r="E1104">
        <v>0.63086336187552705</v>
      </c>
      <c r="F1104">
        <v>2</v>
      </c>
      <c r="G1104" s="1" t="s">
        <v>1367</v>
      </c>
      <c r="H1104" t="s">
        <v>1368</v>
      </c>
      <c r="I1104" t="s">
        <v>1367</v>
      </c>
    </row>
    <row r="1105" spans="1:9" x14ac:dyDescent="0.2">
      <c r="A1105">
        <v>49</v>
      </c>
      <c r="B1105">
        <v>6</v>
      </c>
      <c r="C1105" t="s">
        <v>8</v>
      </c>
      <c r="D1105">
        <v>0</v>
      </c>
      <c r="E1105">
        <v>0.94084697996731803</v>
      </c>
      <c r="F1105">
        <v>1</v>
      </c>
      <c r="G1105" s="1" t="s">
        <v>1369</v>
      </c>
      <c r="H1105" t="s">
        <v>1369</v>
      </c>
      <c r="I1105" t="s">
        <v>1369</v>
      </c>
    </row>
    <row r="1106" spans="1:9" x14ac:dyDescent="0.2">
      <c r="A1106">
        <v>80</v>
      </c>
      <c r="B1106">
        <v>7</v>
      </c>
      <c r="C1106" t="s">
        <v>8</v>
      </c>
      <c r="D1106">
        <v>0</v>
      </c>
      <c r="E1106">
        <v>0.96490335662383597</v>
      </c>
      <c r="F1106">
        <v>1</v>
      </c>
      <c r="G1106" s="1" t="s">
        <v>1370</v>
      </c>
      <c r="H1106" t="s">
        <v>1370</v>
      </c>
      <c r="I1106" t="s">
        <v>1370</v>
      </c>
    </row>
    <row r="1107" spans="1:9" x14ac:dyDescent="0.2">
      <c r="A1107">
        <v>77</v>
      </c>
      <c r="B1107">
        <v>14</v>
      </c>
      <c r="C1107" t="s">
        <v>10</v>
      </c>
      <c r="D1107">
        <v>0</v>
      </c>
      <c r="E1107">
        <v>0.87476906797383003</v>
      </c>
      <c r="F1107">
        <v>1</v>
      </c>
      <c r="G1107" s="1" t="s">
        <v>1371</v>
      </c>
      <c r="H1107" t="s">
        <v>1371</v>
      </c>
      <c r="I1107" t="s">
        <v>1371</v>
      </c>
    </row>
    <row r="1108" spans="1:9" x14ac:dyDescent="0.2">
      <c r="A1108">
        <v>31</v>
      </c>
      <c r="B1108">
        <v>8</v>
      </c>
      <c r="C1108" t="s">
        <v>10</v>
      </c>
      <c r="D1108">
        <v>0</v>
      </c>
      <c r="E1108">
        <v>0.52987619803752795</v>
      </c>
      <c r="F1108">
        <v>1</v>
      </c>
      <c r="G1108" s="1" t="s">
        <v>1372</v>
      </c>
      <c r="H1108" t="s">
        <v>1372</v>
      </c>
      <c r="I1108" t="s">
        <v>1372</v>
      </c>
    </row>
    <row r="1109" spans="1:9" x14ac:dyDescent="0.2">
      <c r="A1109">
        <v>34</v>
      </c>
      <c r="B1109">
        <v>5</v>
      </c>
      <c r="C1109" t="s">
        <v>8</v>
      </c>
      <c r="D1109">
        <v>0</v>
      </c>
      <c r="E1109">
        <v>0.92098927346523896</v>
      </c>
      <c r="F1109">
        <v>1</v>
      </c>
      <c r="G1109" s="1" t="s">
        <v>1373</v>
      </c>
      <c r="H1109" t="s">
        <v>1373</v>
      </c>
      <c r="I1109" t="s">
        <v>1373</v>
      </c>
    </row>
    <row r="1110" spans="1:9" x14ac:dyDescent="0.2">
      <c r="A1110">
        <v>66</v>
      </c>
      <c r="B1110">
        <v>11</v>
      </c>
      <c r="C1110" t="s">
        <v>16</v>
      </c>
      <c r="D1110">
        <v>1</v>
      </c>
      <c r="E1110">
        <v>0.72400687157642096</v>
      </c>
      <c r="F1110">
        <v>1</v>
      </c>
      <c r="G1110" s="1" t="s">
        <v>1374</v>
      </c>
      <c r="H1110" t="s">
        <v>1374</v>
      </c>
      <c r="I1110" t="s">
        <v>1374</v>
      </c>
    </row>
    <row r="1111" spans="1:9" x14ac:dyDescent="0.2">
      <c r="A1111">
        <v>85</v>
      </c>
      <c r="B1111">
        <v>9</v>
      </c>
      <c r="C1111" t="s">
        <v>16</v>
      </c>
      <c r="D1111">
        <v>0</v>
      </c>
      <c r="E1111">
        <v>0.82027888414450001</v>
      </c>
      <c r="F1111">
        <v>2</v>
      </c>
      <c r="G1111" s="1" t="s">
        <v>1375</v>
      </c>
      <c r="H1111" t="s">
        <v>1376</v>
      </c>
      <c r="I1111" t="s">
        <v>1375</v>
      </c>
    </row>
    <row r="1112" spans="1:9" x14ac:dyDescent="0.2">
      <c r="A1112">
        <v>20</v>
      </c>
      <c r="B1112">
        <v>9</v>
      </c>
      <c r="C1112" t="s">
        <v>10</v>
      </c>
      <c r="D1112">
        <v>0</v>
      </c>
      <c r="E1112">
        <v>0.64493874844629295</v>
      </c>
      <c r="F1112">
        <v>1</v>
      </c>
      <c r="G1112" s="1" t="s">
        <v>1377</v>
      </c>
      <c r="H1112" t="s">
        <v>1377</v>
      </c>
      <c r="I1112" t="s">
        <v>1377</v>
      </c>
    </row>
    <row r="1113" spans="1:9" x14ac:dyDescent="0.2">
      <c r="A1113">
        <v>32</v>
      </c>
      <c r="B1113">
        <v>13</v>
      </c>
      <c r="C1113" t="s">
        <v>16</v>
      </c>
      <c r="D1113">
        <v>0</v>
      </c>
      <c r="E1113">
        <v>0.57557538407854703</v>
      </c>
      <c r="F1113">
        <v>1</v>
      </c>
      <c r="G1113" s="1" t="s">
        <v>1378</v>
      </c>
      <c r="H1113" t="s">
        <v>1378</v>
      </c>
      <c r="I1113" t="s">
        <v>1378</v>
      </c>
    </row>
    <row r="1114" spans="1:9" x14ac:dyDescent="0.2">
      <c r="A1114">
        <v>78</v>
      </c>
      <c r="B1114">
        <v>3</v>
      </c>
      <c r="C1114" t="s">
        <v>8</v>
      </c>
      <c r="D1114">
        <v>0</v>
      </c>
      <c r="E1114">
        <v>0.70911454793531403</v>
      </c>
      <c r="F1114">
        <v>1</v>
      </c>
      <c r="G1114" s="1" t="s">
        <v>1379</v>
      </c>
      <c r="H1114" t="s">
        <v>1379</v>
      </c>
      <c r="I1114" t="s">
        <v>1379</v>
      </c>
    </row>
    <row r="1115" spans="1:9" x14ac:dyDescent="0.2">
      <c r="A1115">
        <v>84</v>
      </c>
      <c r="B1115">
        <v>4</v>
      </c>
      <c r="C1115" t="s">
        <v>8</v>
      </c>
      <c r="D1115">
        <v>1</v>
      </c>
      <c r="E1115">
        <v>0.90820193279068895</v>
      </c>
      <c r="F1115">
        <v>2</v>
      </c>
      <c r="G1115" s="1" t="s">
        <v>1380</v>
      </c>
      <c r="H1115" t="s">
        <v>1381</v>
      </c>
      <c r="I1115" t="s">
        <v>1380</v>
      </c>
    </row>
    <row r="1116" spans="1:9" x14ac:dyDescent="0.2">
      <c r="A1116">
        <v>55</v>
      </c>
      <c r="B1116">
        <v>4</v>
      </c>
      <c r="C1116" t="s">
        <v>10</v>
      </c>
      <c r="D1116">
        <v>1</v>
      </c>
      <c r="E1116">
        <v>0.93351094529498402</v>
      </c>
      <c r="F1116">
        <v>1</v>
      </c>
      <c r="G1116" s="1" t="s">
        <v>1382</v>
      </c>
      <c r="H1116" t="s">
        <v>1382</v>
      </c>
      <c r="I1116" t="s">
        <v>1382</v>
      </c>
    </row>
    <row r="1117" spans="1:9" x14ac:dyDescent="0.2">
      <c r="A1117">
        <v>33</v>
      </c>
      <c r="B1117">
        <v>11</v>
      </c>
      <c r="C1117" t="s">
        <v>8</v>
      </c>
      <c r="D1117">
        <v>0</v>
      </c>
      <c r="E1117">
        <v>0.80453844519797701</v>
      </c>
      <c r="F1117">
        <v>2</v>
      </c>
      <c r="G1117" s="1" t="s">
        <v>1383</v>
      </c>
      <c r="H1117" t="s">
        <v>1384</v>
      </c>
      <c r="I1117" t="s">
        <v>1383</v>
      </c>
    </row>
    <row r="1118" spans="1:9" x14ac:dyDescent="0.2">
      <c r="A1118">
        <v>80</v>
      </c>
      <c r="B1118">
        <v>4</v>
      </c>
      <c r="C1118" t="s">
        <v>8</v>
      </c>
      <c r="D1118">
        <v>0</v>
      </c>
      <c r="E1118">
        <v>0.75835395499598202</v>
      </c>
      <c r="F1118">
        <v>1</v>
      </c>
      <c r="G1118" s="1" t="s">
        <v>1385</v>
      </c>
      <c r="H1118" t="s">
        <v>1385</v>
      </c>
      <c r="I1118" t="s">
        <v>1385</v>
      </c>
    </row>
    <row r="1119" spans="1:9" x14ac:dyDescent="0.2">
      <c r="A1119">
        <v>79</v>
      </c>
      <c r="B1119">
        <v>8</v>
      </c>
      <c r="C1119" t="s">
        <v>8</v>
      </c>
      <c r="D1119">
        <v>0</v>
      </c>
      <c r="E1119">
        <v>0.58537253679241996</v>
      </c>
      <c r="F1119">
        <v>1</v>
      </c>
      <c r="G1119" s="1" t="s">
        <v>1386</v>
      </c>
      <c r="H1119" t="s">
        <v>1386</v>
      </c>
      <c r="I1119" t="s">
        <v>1386</v>
      </c>
    </row>
    <row r="1120" spans="1:9" x14ac:dyDescent="0.2">
      <c r="A1120">
        <v>62</v>
      </c>
      <c r="B1120">
        <v>11</v>
      </c>
      <c r="C1120" t="s">
        <v>16</v>
      </c>
      <c r="D1120">
        <v>1</v>
      </c>
      <c r="E1120">
        <v>0.68703832849860202</v>
      </c>
      <c r="F1120">
        <v>2</v>
      </c>
      <c r="G1120" s="1" t="s">
        <v>1387</v>
      </c>
      <c r="H1120" t="s">
        <v>1388</v>
      </c>
      <c r="I1120" t="s">
        <v>1387</v>
      </c>
    </row>
    <row r="1121" spans="1:9" x14ac:dyDescent="0.2">
      <c r="A1121">
        <v>60</v>
      </c>
      <c r="B1121">
        <v>15</v>
      </c>
      <c r="C1121" t="s">
        <v>8</v>
      </c>
      <c r="D1121">
        <v>1</v>
      </c>
      <c r="E1121">
        <v>0.75976665085181605</v>
      </c>
      <c r="F1121">
        <v>2</v>
      </c>
      <c r="G1121" s="1" t="s">
        <v>1389</v>
      </c>
      <c r="H1121" t="s">
        <v>1390</v>
      </c>
      <c r="I1121" t="s">
        <v>1389</v>
      </c>
    </row>
    <row r="1122" spans="1:9" x14ac:dyDescent="0.2">
      <c r="A1122">
        <v>49</v>
      </c>
      <c r="B1122">
        <v>5</v>
      </c>
      <c r="C1122" t="s">
        <v>16</v>
      </c>
      <c r="D1122">
        <v>0</v>
      </c>
      <c r="E1122">
        <v>0.88418709521647498</v>
      </c>
      <c r="F1122">
        <v>2</v>
      </c>
      <c r="G1122" s="1" t="s">
        <v>1391</v>
      </c>
      <c r="H1122" t="s">
        <v>1392</v>
      </c>
      <c r="I1122" t="s">
        <v>1391</v>
      </c>
    </row>
    <row r="1123" spans="1:9" x14ac:dyDescent="0.2">
      <c r="A1123">
        <v>84</v>
      </c>
      <c r="B1123">
        <v>12</v>
      </c>
      <c r="C1123" t="s">
        <v>10</v>
      </c>
      <c r="D1123">
        <v>0</v>
      </c>
      <c r="E1123">
        <v>0.65925504185725003</v>
      </c>
      <c r="F1123">
        <v>1</v>
      </c>
      <c r="G1123" s="1" t="s">
        <v>1393</v>
      </c>
      <c r="H1123" t="s">
        <v>1393</v>
      </c>
      <c r="I1123" t="s">
        <v>1393</v>
      </c>
    </row>
    <row r="1124" spans="1:9" x14ac:dyDescent="0.2">
      <c r="A1124">
        <v>62</v>
      </c>
      <c r="B1124">
        <v>8</v>
      </c>
      <c r="C1124" t="s">
        <v>8</v>
      </c>
      <c r="D1124">
        <v>0</v>
      </c>
      <c r="E1124">
        <v>0.97856587241403803</v>
      </c>
      <c r="F1124">
        <v>2</v>
      </c>
      <c r="G1124" s="1" t="s">
        <v>1394</v>
      </c>
      <c r="H1124" t="s">
        <v>1395</v>
      </c>
      <c r="I1124" t="s">
        <v>1394</v>
      </c>
    </row>
    <row r="1125" spans="1:9" x14ac:dyDescent="0.2">
      <c r="A1125">
        <v>41</v>
      </c>
      <c r="B1125">
        <v>13</v>
      </c>
      <c r="C1125" t="s">
        <v>8</v>
      </c>
      <c r="D1125">
        <v>0</v>
      </c>
      <c r="E1125">
        <v>0.709942066227086</v>
      </c>
      <c r="F1125">
        <v>1</v>
      </c>
      <c r="G1125" s="1" t="s">
        <v>1396</v>
      </c>
      <c r="H1125" t="s">
        <v>1396</v>
      </c>
      <c r="I1125" t="s">
        <v>1396</v>
      </c>
    </row>
    <row r="1126" spans="1:9" x14ac:dyDescent="0.2">
      <c r="A1126">
        <v>84</v>
      </c>
      <c r="B1126">
        <v>2</v>
      </c>
      <c r="C1126" t="s">
        <v>10</v>
      </c>
      <c r="D1126">
        <v>0</v>
      </c>
      <c r="E1126">
        <v>0.68430156121030405</v>
      </c>
      <c r="F1126">
        <v>1</v>
      </c>
      <c r="G1126" s="1" t="s">
        <v>1397</v>
      </c>
      <c r="H1126" t="s">
        <v>1397</v>
      </c>
      <c r="I1126" t="s">
        <v>1397</v>
      </c>
    </row>
    <row r="1127" spans="1:9" x14ac:dyDescent="0.2">
      <c r="A1127">
        <v>64</v>
      </c>
      <c r="B1127">
        <v>9</v>
      </c>
      <c r="C1127" t="s">
        <v>16</v>
      </c>
      <c r="D1127">
        <v>0</v>
      </c>
      <c r="E1127">
        <v>0.87943097308743701</v>
      </c>
      <c r="F1127">
        <v>2</v>
      </c>
      <c r="G1127" s="1" t="s">
        <v>1398</v>
      </c>
      <c r="H1127" t="s">
        <v>1399</v>
      </c>
      <c r="I1127" t="s">
        <v>1398</v>
      </c>
    </row>
    <row r="1128" spans="1:9" x14ac:dyDescent="0.2">
      <c r="A1128">
        <v>53</v>
      </c>
      <c r="B1128">
        <v>13</v>
      </c>
      <c r="C1128" t="s">
        <v>16</v>
      </c>
      <c r="D1128">
        <v>0</v>
      </c>
      <c r="E1128">
        <v>0.95498356351163205</v>
      </c>
      <c r="F1128">
        <v>1</v>
      </c>
      <c r="G1128" s="1" t="s">
        <v>1400</v>
      </c>
      <c r="H1128" t="s">
        <v>1400</v>
      </c>
      <c r="I1128" t="s">
        <v>1400</v>
      </c>
    </row>
    <row r="1129" spans="1:9" x14ac:dyDescent="0.2">
      <c r="A1129">
        <v>83</v>
      </c>
      <c r="B1129">
        <v>14</v>
      </c>
      <c r="C1129" t="s">
        <v>8</v>
      </c>
      <c r="D1129">
        <v>0</v>
      </c>
      <c r="E1129">
        <v>0.68771928793284998</v>
      </c>
      <c r="F1129">
        <v>1</v>
      </c>
      <c r="G1129" s="1" t="s">
        <v>1401</v>
      </c>
      <c r="H1129" t="s">
        <v>1401</v>
      </c>
      <c r="I1129" t="s">
        <v>1401</v>
      </c>
    </row>
    <row r="1130" spans="1:9" x14ac:dyDescent="0.2">
      <c r="A1130">
        <v>87</v>
      </c>
      <c r="B1130">
        <v>5</v>
      </c>
      <c r="C1130" t="s">
        <v>10</v>
      </c>
      <c r="D1130">
        <v>0</v>
      </c>
      <c r="E1130">
        <v>0.57309556531254202</v>
      </c>
      <c r="F1130">
        <v>1</v>
      </c>
      <c r="G1130" s="1" t="s">
        <v>1402</v>
      </c>
      <c r="H1130" t="s">
        <v>1402</v>
      </c>
      <c r="I1130" t="s">
        <v>1402</v>
      </c>
    </row>
    <row r="1131" spans="1:9" x14ac:dyDescent="0.2">
      <c r="A1131">
        <v>18</v>
      </c>
      <c r="B1131">
        <v>3</v>
      </c>
      <c r="C1131" t="s">
        <v>10</v>
      </c>
      <c r="D1131">
        <v>1</v>
      </c>
      <c r="E1131">
        <v>0.61919013038277604</v>
      </c>
      <c r="F1131">
        <v>1</v>
      </c>
      <c r="G1131" s="1" t="s">
        <v>1403</v>
      </c>
      <c r="H1131" t="s">
        <v>1403</v>
      </c>
      <c r="I1131" t="s">
        <v>1403</v>
      </c>
    </row>
    <row r="1132" spans="1:9" x14ac:dyDescent="0.2">
      <c r="A1132">
        <v>24</v>
      </c>
      <c r="B1132">
        <v>7</v>
      </c>
      <c r="C1132" t="s">
        <v>8</v>
      </c>
      <c r="D1132">
        <v>0</v>
      </c>
      <c r="E1132">
        <v>0.97462703683413598</v>
      </c>
      <c r="F1132">
        <v>1</v>
      </c>
      <c r="G1132" s="1" t="s">
        <v>1404</v>
      </c>
      <c r="H1132" t="s">
        <v>1404</v>
      </c>
      <c r="I1132" t="s">
        <v>1404</v>
      </c>
    </row>
    <row r="1133" spans="1:9" x14ac:dyDescent="0.2">
      <c r="A1133">
        <v>76</v>
      </c>
      <c r="B1133">
        <v>12</v>
      </c>
      <c r="C1133" t="s">
        <v>16</v>
      </c>
      <c r="D1133">
        <v>0</v>
      </c>
      <c r="E1133">
        <v>0.54577306413557403</v>
      </c>
      <c r="F1133">
        <v>1</v>
      </c>
      <c r="G1133" s="1" t="s">
        <v>1405</v>
      </c>
      <c r="H1133" t="s">
        <v>1405</v>
      </c>
      <c r="I1133" t="s">
        <v>1405</v>
      </c>
    </row>
    <row r="1134" spans="1:9" x14ac:dyDescent="0.2">
      <c r="A1134">
        <v>37</v>
      </c>
      <c r="B1134">
        <v>5</v>
      </c>
      <c r="C1134" t="s">
        <v>8</v>
      </c>
      <c r="D1134">
        <v>2</v>
      </c>
      <c r="E1134">
        <v>0.81165638077072799</v>
      </c>
      <c r="F1134">
        <v>2</v>
      </c>
      <c r="G1134" s="1" t="s">
        <v>1406</v>
      </c>
      <c r="H1134" t="s">
        <v>1407</v>
      </c>
      <c r="I1134" t="s">
        <v>1406</v>
      </c>
    </row>
    <row r="1135" spans="1:9" x14ac:dyDescent="0.2">
      <c r="A1135">
        <v>26</v>
      </c>
      <c r="B1135">
        <v>11</v>
      </c>
      <c r="C1135" t="s">
        <v>16</v>
      </c>
      <c r="D1135">
        <v>1</v>
      </c>
      <c r="E1135">
        <v>0.63123828312382102</v>
      </c>
      <c r="F1135">
        <v>1</v>
      </c>
      <c r="G1135" s="1" t="s">
        <v>1408</v>
      </c>
      <c r="H1135" t="s">
        <v>1408</v>
      </c>
      <c r="I1135" t="s">
        <v>1408</v>
      </c>
    </row>
    <row r="1136" spans="1:9" x14ac:dyDescent="0.2">
      <c r="A1136">
        <v>31</v>
      </c>
      <c r="B1136">
        <v>8</v>
      </c>
      <c r="C1136" t="s">
        <v>16</v>
      </c>
      <c r="D1136">
        <v>1</v>
      </c>
      <c r="E1136">
        <v>0.68417898821644496</v>
      </c>
      <c r="F1136">
        <v>1</v>
      </c>
      <c r="G1136" s="1" t="s">
        <v>1409</v>
      </c>
      <c r="H1136" t="s">
        <v>1409</v>
      </c>
      <c r="I1136" t="s">
        <v>1409</v>
      </c>
    </row>
    <row r="1137" spans="1:9" x14ac:dyDescent="0.2">
      <c r="A1137">
        <v>87</v>
      </c>
      <c r="B1137">
        <v>11</v>
      </c>
      <c r="C1137" t="s">
        <v>8</v>
      </c>
      <c r="D1137">
        <v>0</v>
      </c>
      <c r="E1137">
        <v>0.70153981947805699</v>
      </c>
      <c r="F1137">
        <v>1</v>
      </c>
      <c r="G1137" s="1" t="s">
        <v>1410</v>
      </c>
      <c r="H1137" t="s">
        <v>1410</v>
      </c>
      <c r="I1137" t="s">
        <v>1410</v>
      </c>
    </row>
    <row r="1138" spans="1:9" x14ac:dyDescent="0.2">
      <c r="A1138">
        <v>40</v>
      </c>
      <c r="B1138">
        <v>8</v>
      </c>
      <c r="C1138" t="s">
        <v>10</v>
      </c>
      <c r="D1138">
        <v>1</v>
      </c>
      <c r="E1138">
        <v>0.59365064906887699</v>
      </c>
      <c r="F1138">
        <v>1</v>
      </c>
      <c r="G1138" s="1" t="s">
        <v>1411</v>
      </c>
      <c r="H1138" t="s">
        <v>1411</v>
      </c>
      <c r="I1138" t="s">
        <v>1411</v>
      </c>
    </row>
    <row r="1139" spans="1:9" x14ac:dyDescent="0.2">
      <c r="A1139">
        <v>57</v>
      </c>
      <c r="B1139">
        <v>8</v>
      </c>
      <c r="C1139" t="s">
        <v>8</v>
      </c>
      <c r="D1139">
        <v>0</v>
      </c>
      <c r="E1139">
        <v>0.54900431435089603</v>
      </c>
      <c r="F1139">
        <v>1</v>
      </c>
      <c r="G1139" s="1" t="s">
        <v>1412</v>
      </c>
      <c r="H1139" t="s">
        <v>1412</v>
      </c>
      <c r="I1139" t="s">
        <v>1412</v>
      </c>
    </row>
    <row r="1140" spans="1:9" x14ac:dyDescent="0.2">
      <c r="A1140">
        <v>34</v>
      </c>
      <c r="B1140">
        <v>8</v>
      </c>
      <c r="C1140" t="s">
        <v>10</v>
      </c>
      <c r="D1140">
        <v>0</v>
      </c>
      <c r="E1140">
        <v>0.72929177503101505</v>
      </c>
      <c r="F1140">
        <v>1</v>
      </c>
      <c r="G1140" s="1" t="s">
        <v>1413</v>
      </c>
      <c r="H1140" t="s">
        <v>1413</v>
      </c>
      <c r="I1140" t="s">
        <v>1413</v>
      </c>
    </row>
    <row r="1141" spans="1:9" x14ac:dyDescent="0.2">
      <c r="A1141">
        <v>88</v>
      </c>
      <c r="B1141">
        <v>0</v>
      </c>
      <c r="C1141" t="s">
        <v>8</v>
      </c>
      <c r="D1141">
        <v>2</v>
      </c>
      <c r="E1141">
        <v>0.85736293473746605</v>
      </c>
      <c r="F1141">
        <v>1</v>
      </c>
      <c r="G1141" s="1" t="s">
        <v>1414</v>
      </c>
      <c r="H1141" t="s">
        <v>1414</v>
      </c>
      <c r="I1141" t="s">
        <v>1414</v>
      </c>
    </row>
    <row r="1142" spans="1:9" x14ac:dyDescent="0.2">
      <c r="A1142">
        <v>36</v>
      </c>
      <c r="B1142">
        <v>14</v>
      </c>
      <c r="C1142" t="s">
        <v>8</v>
      </c>
      <c r="D1142">
        <v>1</v>
      </c>
      <c r="E1142">
        <v>0.82856722141150396</v>
      </c>
      <c r="F1142">
        <v>1</v>
      </c>
      <c r="G1142" s="1" t="s">
        <v>1415</v>
      </c>
      <c r="H1142" t="s">
        <v>1415</v>
      </c>
      <c r="I1142" t="s">
        <v>1415</v>
      </c>
    </row>
    <row r="1143" spans="1:9" x14ac:dyDescent="0.2">
      <c r="A1143">
        <v>84</v>
      </c>
      <c r="B1143">
        <v>14</v>
      </c>
      <c r="C1143" t="s">
        <v>8</v>
      </c>
      <c r="D1143">
        <v>1</v>
      </c>
      <c r="E1143">
        <v>0.57162133476231203</v>
      </c>
      <c r="F1143">
        <v>1</v>
      </c>
      <c r="G1143" s="1" t="s">
        <v>1416</v>
      </c>
      <c r="H1143" t="s">
        <v>1416</v>
      </c>
      <c r="I1143" t="s">
        <v>1416</v>
      </c>
    </row>
    <row r="1144" spans="1:9" x14ac:dyDescent="0.2">
      <c r="A1144">
        <v>79</v>
      </c>
      <c r="B1144">
        <v>7</v>
      </c>
      <c r="C1144" t="s">
        <v>8</v>
      </c>
      <c r="D1144">
        <v>1</v>
      </c>
      <c r="E1144">
        <v>0.65193675784394101</v>
      </c>
      <c r="F1144">
        <v>3</v>
      </c>
      <c r="G1144" s="1" t="s">
        <v>1417</v>
      </c>
      <c r="H1144" t="s">
        <v>1418</v>
      </c>
      <c r="I1144" t="s">
        <v>1417</v>
      </c>
    </row>
    <row r="1145" spans="1:9" x14ac:dyDescent="0.2">
      <c r="A1145">
        <v>39</v>
      </c>
      <c r="B1145">
        <v>9</v>
      </c>
      <c r="C1145" t="s">
        <v>10</v>
      </c>
      <c r="D1145">
        <v>0</v>
      </c>
      <c r="E1145">
        <v>0.90387799695599802</v>
      </c>
      <c r="F1145">
        <v>1</v>
      </c>
      <c r="G1145" s="1" t="s">
        <v>1419</v>
      </c>
      <c r="H1145" t="s">
        <v>1419</v>
      </c>
      <c r="I1145" t="s">
        <v>1419</v>
      </c>
    </row>
    <row r="1146" spans="1:9" x14ac:dyDescent="0.2">
      <c r="A1146">
        <v>28</v>
      </c>
      <c r="B1146">
        <v>11</v>
      </c>
      <c r="C1146" t="s">
        <v>16</v>
      </c>
      <c r="D1146">
        <v>0</v>
      </c>
      <c r="E1146">
        <v>0.63002751034218796</v>
      </c>
      <c r="F1146">
        <v>1</v>
      </c>
      <c r="G1146" s="1" t="s">
        <v>1420</v>
      </c>
      <c r="H1146" t="s">
        <v>1420</v>
      </c>
      <c r="I1146" t="s">
        <v>1420</v>
      </c>
    </row>
    <row r="1147" spans="1:9" x14ac:dyDescent="0.2">
      <c r="A1147">
        <v>90</v>
      </c>
      <c r="B1147">
        <v>8</v>
      </c>
      <c r="C1147" t="s">
        <v>10</v>
      </c>
      <c r="D1147">
        <v>0</v>
      </c>
      <c r="E1147">
        <v>0.89657703426200897</v>
      </c>
      <c r="F1147">
        <v>1</v>
      </c>
      <c r="G1147" s="1" t="s">
        <v>1421</v>
      </c>
      <c r="H1147" t="s">
        <v>1421</v>
      </c>
      <c r="I1147" t="s">
        <v>1421</v>
      </c>
    </row>
    <row r="1148" spans="1:9" x14ac:dyDescent="0.2">
      <c r="A1148">
        <v>31</v>
      </c>
      <c r="B1148">
        <v>1</v>
      </c>
      <c r="C1148" t="s">
        <v>8</v>
      </c>
      <c r="D1148">
        <v>2</v>
      </c>
      <c r="E1148">
        <v>0.62937931483611498</v>
      </c>
      <c r="F1148">
        <v>1</v>
      </c>
      <c r="G1148" s="1" t="s">
        <v>1422</v>
      </c>
      <c r="H1148" t="s">
        <v>1422</v>
      </c>
      <c r="I1148" t="s">
        <v>1422</v>
      </c>
    </row>
    <row r="1149" spans="1:9" x14ac:dyDescent="0.2">
      <c r="A1149">
        <v>65</v>
      </c>
      <c r="B1149">
        <v>12</v>
      </c>
      <c r="C1149" t="s">
        <v>8</v>
      </c>
      <c r="D1149">
        <v>0</v>
      </c>
      <c r="E1149">
        <v>0.86971386603545398</v>
      </c>
      <c r="F1149">
        <v>2</v>
      </c>
      <c r="G1149" s="1" t="s">
        <v>1423</v>
      </c>
      <c r="H1149" t="s">
        <v>1424</v>
      </c>
      <c r="I1149" t="s">
        <v>1423</v>
      </c>
    </row>
    <row r="1150" spans="1:9" x14ac:dyDescent="0.2">
      <c r="A1150">
        <v>36</v>
      </c>
      <c r="B1150">
        <v>5</v>
      </c>
      <c r="C1150" t="s">
        <v>8</v>
      </c>
      <c r="D1150">
        <v>1</v>
      </c>
      <c r="E1150">
        <v>0.74614242371171702</v>
      </c>
      <c r="F1150">
        <v>1</v>
      </c>
      <c r="G1150" s="1" t="s">
        <v>1425</v>
      </c>
      <c r="H1150" t="s">
        <v>1425</v>
      </c>
      <c r="I1150" t="s">
        <v>1425</v>
      </c>
    </row>
    <row r="1151" spans="1:9" x14ac:dyDescent="0.2">
      <c r="A1151">
        <v>57</v>
      </c>
      <c r="B1151">
        <v>14</v>
      </c>
      <c r="C1151" t="s">
        <v>8</v>
      </c>
      <c r="D1151">
        <v>0</v>
      </c>
      <c r="E1151">
        <v>0.87052667501848202</v>
      </c>
      <c r="F1151">
        <v>1</v>
      </c>
      <c r="G1151" s="1" t="s">
        <v>1426</v>
      </c>
      <c r="H1151" t="s">
        <v>1426</v>
      </c>
      <c r="I1151" t="s">
        <v>1426</v>
      </c>
    </row>
    <row r="1152" spans="1:9" x14ac:dyDescent="0.2">
      <c r="A1152">
        <v>61</v>
      </c>
      <c r="B1152">
        <v>2</v>
      </c>
      <c r="C1152" t="s">
        <v>8</v>
      </c>
      <c r="D1152">
        <v>1</v>
      </c>
      <c r="E1152">
        <v>0.58309492538683105</v>
      </c>
      <c r="F1152">
        <v>1</v>
      </c>
      <c r="G1152" s="1" t="s">
        <v>1427</v>
      </c>
      <c r="H1152" t="s">
        <v>1427</v>
      </c>
      <c r="I1152" t="s">
        <v>1427</v>
      </c>
    </row>
    <row r="1153" spans="1:9" x14ac:dyDescent="0.2">
      <c r="A1153">
        <v>56</v>
      </c>
      <c r="B1153">
        <v>14</v>
      </c>
      <c r="C1153" t="s">
        <v>8</v>
      </c>
      <c r="D1153">
        <v>0</v>
      </c>
      <c r="E1153">
        <v>0.96116729592904404</v>
      </c>
      <c r="F1153">
        <v>1</v>
      </c>
      <c r="G1153" s="1" t="s">
        <v>1428</v>
      </c>
      <c r="H1153" t="s">
        <v>1428</v>
      </c>
      <c r="I1153" t="s">
        <v>1428</v>
      </c>
    </row>
    <row r="1154" spans="1:9" x14ac:dyDescent="0.2">
      <c r="A1154">
        <v>24</v>
      </c>
      <c r="B1154">
        <v>14</v>
      </c>
      <c r="C1154" t="s">
        <v>8</v>
      </c>
      <c r="D1154">
        <v>2</v>
      </c>
      <c r="E1154">
        <v>0.73227028467226796</v>
      </c>
      <c r="F1154">
        <v>2</v>
      </c>
      <c r="G1154" s="1" t="s">
        <v>1429</v>
      </c>
      <c r="H1154" t="s">
        <v>1430</v>
      </c>
      <c r="I1154" t="s">
        <v>1429</v>
      </c>
    </row>
    <row r="1155" spans="1:9" x14ac:dyDescent="0.2">
      <c r="A1155">
        <v>44</v>
      </c>
      <c r="B1155">
        <v>6</v>
      </c>
      <c r="C1155" t="s">
        <v>8</v>
      </c>
      <c r="D1155">
        <v>0</v>
      </c>
      <c r="E1155">
        <v>0.827608364052139</v>
      </c>
      <c r="F1155">
        <v>1</v>
      </c>
      <c r="G1155" s="1" t="s">
        <v>1431</v>
      </c>
      <c r="H1155" t="s">
        <v>1431</v>
      </c>
      <c r="I1155" t="s">
        <v>1431</v>
      </c>
    </row>
    <row r="1156" spans="1:9" x14ac:dyDescent="0.2">
      <c r="A1156">
        <v>45</v>
      </c>
      <c r="B1156">
        <v>13</v>
      </c>
      <c r="C1156" t="s">
        <v>10</v>
      </c>
      <c r="D1156">
        <v>0</v>
      </c>
      <c r="E1156">
        <v>0.85438956366851904</v>
      </c>
      <c r="F1156">
        <v>2</v>
      </c>
      <c r="G1156" s="1" t="s">
        <v>1432</v>
      </c>
      <c r="H1156" t="s">
        <v>1433</v>
      </c>
      <c r="I1156" t="s">
        <v>1432</v>
      </c>
    </row>
    <row r="1157" spans="1:9" x14ac:dyDescent="0.2">
      <c r="A1157">
        <v>30</v>
      </c>
      <c r="B1157">
        <v>7</v>
      </c>
      <c r="C1157" t="s">
        <v>10</v>
      </c>
      <c r="D1157">
        <v>0</v>
      </c>
      <c r="E1157">
        <v>0.54837735835462798</v>
      </c>
      <c r="F1157">
        <v>1</v>
      </c>
      <c r="G1157" s="1" t="s">
        <v>1434</v>
      </c>
      <c r="H1157" t="s">
        <v>1434</v>
      </c>
      <c r="I1157" t="s">
        <v>1434</v>
      </c>
    </row>
    <row r="1158" spans="1:9" x14ac:dyDescent="0.2">
      <c r="A1158">
        <v>86</v>
      </c>
      <c r="B1158">
        <v>7</v>
      </c>
      <c r="C1158" t="s">
        <v>8</v>
      </c>
      <c r="D1158">
        <v>1</v>
      </c>
      <c r="E1158">
        <v>0.65098224685061701</v>
      </c>
      <c r="F1158">
        <v>2</v>
      </c>
      <c r="G1158" s="1" t="s">
        <v>1435</v>
      </c>
      <c r="H1158" t="s">
        <v>1436</v>
      </c>
      <c r="I1158" t="s">
        <v>1435</v>
      </c>
    </row>
    <row r="1159" spans="1:9" x14ac:dyDescent="0.2">
      <c r="A1159">
        <v>23</v>
      </c>
      <c r="B1159">
        <v>8</v>
      </c>
      <c r="C1159" t="s">
        <v>16</v>
      </c>
      <c r="D1159">
        <v>1</v>
      </c>
      <c r="E1159">
        <v>0.85004574328195304</v>
      </c>
      <c r="F1159">
        <v>2</v>
      </c>
      <c r="G1159" s="1" t="s">
        <v>1437</v>
      </c>
      <c r="H1159" t="s">
        <v>1438</v>
      </c>
      <c r="I1159" t="s">
        <v>1437</v>
      </c>
    </row>
    <row r="1160" spans="1:9" x14ac:dyDescent="0.2">
      <c r="A1160">
        <v>31</v>
      </c>
      <c r="B1160">
        <v>3</v>
      </c>
      <c r="C1160" t="s">
        <v>8</v>
      </c>
      <c r="D1160">
        <v>1</v>
      </c>
      <c r="E1160">
        <v>0.65778904524631798</v>
      </c>
      <c r="F1160">
        <v>1</v>
      </c>
      <c r="G1160" s="1" t="s">
        <v>1439</v>
      </c>
      <c r="H1160" t="s">
        <v>1439</v>
      </c>
      <c r="I1160" t="s">
        <v>1439</v>
      </c>
    </row>
    <row r="1161" spans="1:9" x14ac:dyDescent="0.2">
      <c r="A1161">
        <v>66</v>
      </c>
      <c r="B1161">
        <v>12</v>
      </c>
      <c r="C1161" t="s">
        <v>8</v>
      </c>
      <c r="D1161">
        <v>1</v>
      </c>
      <c r="E1161">
        <v>0.66811132151633501</v>
      </c>
      <c r="F1161">
        <v>1</v>
      </c>
      <c r="G1161" s="1" t="s">
        <v>1440</v>
      </c>
      <c r="H1161" t="s">
        <v>1440</v>
      </c>
      <c r="I1161" t="s">
        <v>1440</v>
      </c>
    </row>
    <row r="1162" spans="1:9" x14ac:dyDescent="0.2">
      <c r="A1162">
        <v>77</v>
      </c>
      <c r="B1162">
        <v>6</v>
      </c>
      <c r="C1162" t="s">
        <v>8</v>
      </c>
      <c r="D1162">
        <v>0</v>
      </c>
      <c r="E1162">
        <v>0.71548561565577995</v>
      </c>
      <c r="F1162">
        <v>1</v>
      </c>
      <c r="G1162" s="1" t="s">
        <v>1441</v>
      </c>
      <c r="H1162" t="s">
        <v>1441</v>
      </c>
      <c r="I1162" t="s">
        <v>1441</v>
      </c>
    </row>
    <row r="1163" spans="1:9" x14ac:dyDescent="0.2">
      <c r="A1163">
        <v>47</v>
      </c>
      <c r="B1163">
        <v>7</v>
      </c>
      <c r="C1163" t="s">
        <v>8</v>
      </c>
      <c r="D1163">
        <v>1</v>
      </c>
      <c r="E1163">
        <v>0.98388365376740705</v>
      </c>
      <c r="F1163">
        <v>2</v>
      </c>
      <c r="G1163" s="1" t="s">
        <v>1442</v>
      </c>
      <c r="H1163" t="s">
        <v>1443</v>
      </c>
      <c r="I1163" t="s">
        <v>1442</v>
      </c>
    </row>
    <row r="1164" spans="1:9" x14ac:dyDescent="0.2">
      <c r="A1164">
        <v>75</v>
      </c>
      <c r="B1164">
        <v>11</v>
      </c>
      <c r="C1164" t="s">
        <v>16</v>
      </c>
      <c r="D1164">
        <v>0</v>
      </c>
      <c r="E1164">
        <v>0.86363007244654</v>
      </c>
      <c r="F1164">
        <v>2</v>
      </c>
      <c r="G1164" s="1" t="s">
        <v>1444</v>
      </c>
      <c r="H1164" t="s">
        <v>1445</v>
      </c>
      <c r="I1164" t="s">
        <v>1444</v>
      </c>
    </row>
    <row r="1165" spans="1:9" x14ac:dyDescent="0.2">
      <c r="A1165">
        <v>63</v>
      </c>
      <c r="B1165">
        <v>8</v>
      </c>
      <c r="C1165" t="s">
        <v>8</v>
      </c>
      <c r="D1165">
        <v>0</v>
      </c>
      <c r="E1165">
        <v>0.82066292199306201</v>
      </c>
      <c r="F1165">
        <v>1</v>
      </c>
      <c r="G1165" s="1" t="s">
        <v>1446</v>
      </c>
      <c r="H1165" t="s">
        <v>1446</v>
      </c>
      <c r="I1165" t="s">
        <v>1446</v>
      </c>
    </row>
    <row r="1166" spans="1:9" x14ac:dyDescent="0.2">
      <c r="A1166">
        <v>47</v>
      </c>
      <c r="B1166">
        <v>4</v>
      </c>
      <c r="C1166" t="s">
        <v>8</v>
      </c>
      <c r="D1166">
        <v>1</v>
      </c>
      <c r="E1166">
        <v>0.86708912043832198</v>
      </c>
      <c r="F1166">
        <v>1</v>
      </c>
      <c r="G1166" s="1" t="s">
        <v>1447</v>
      </c>
      <c r="H1166" t="s">
        <v>1447</v>
      </c>
      <c r="I1166" t="s">
        <v>1447</v>
      </c>
    </row>
    <row r="1167" spans="1:9" x14ac:dyDescent="0.2">
      <c r="A1167">
        <v>38</v>
      </c>
      <c r="B1167">
        <v>5</v>
      </c>
      <c r="C1167" t="s">
        <v>10</v>
      </c>
      <c r="D1167">
        <v>0</v>
      </c>
      <c r="E1167">
        <v>0.653454201063141</v>
      </c>
      <c r="F1167">
        <v>1</v>
      </c>
      <c r="G1167" s="1" t="s">
        <v>1448</v>
      </c>
      <c r="H1167" t="s">
        <v>1448</v>
      </c>
      <c r="I1167" t="s">
        <v>1448</v>
      </c>
    </row>
    <row r="1168" spans="1:9" x14ac:dyDescent="0.2">
      <c r="A1168">
        <v>82</v>
      </c>
      <c r="B1168">
        <v>12</v>
      </c>
      <c r="C1168" t="s">
        <v>16</v>
      </c>
      <c r="D1168">
        <v>0</v>
      </c>
      <c r="E1168">
        <v>0.52587914105970401</v>
      </c>
      <c r="F1168">
        <v>1</v>
      </c>
      <c r="G1168" s="1" t="s">
        <v>1449</v>
      </c>
      <c r="H1168" t="s">
        <v>1449</v>
      </c>
      <c r="I1168" t="s">
        <v>1449</v>
      </c>
    </row>
    <row r="1169" spans="1:9" x14ac:dyDescent="0.2">
      <c r="A1169">
        <v>26</v>
      </c>
      <c r="B1169">
        <v>3</v>
      </c>
      <c r="C1169" t="s">
        <v>8</v>
      </c>
      <c r="D1169">
        <v>0</v>
      </c>
      <c r="E1169">
        <v>0.86961394746322196</v>
      </c>
      <c r="F1169">
        <v>2</v>
      </c>
      <c r="G1169" s="1" t="s">
        <v>1450</v>
      </c>
      <c r="H1169" t="s">
        <v>1451</v>
      </c>
      <c r="I1169" t="s">
        <v>1450</v>
      </c>
    </row>
    <row r="1170" spans="1:9" x14ac:dyDescent="0.2">
      <c r="A1170">
        <v>75</v>
      </c>
      <c r="B1170">
        <v>3</v>
      </c>
      <c r="C1170" t="s">
        <v>16</v>
      </c>
      <c r="D1170">
        <v>1</v>
      </c>
      <c r="E1170">
        <v>0.88625617686193403</v>
      </c>
      <c r="F1170">
        <v>2</v>
      </c>
      <c r="G1170" s="1" t="s">
        <v>1452</v>
      </c>
      <c r="H1170" t="s">
        <v>1453</v>
      </c>
      <c r="I1170" t="s">
        <v>1452</v>
      </c>
    </row>
    <row r="1171" spans="1:9" x14ac:dyDescent="0.2">
      <c r="A1171">
        <v>76</v>
      </c>
      <c r="B1171">
        <v>9</v>
      </c>
      <c r="C1171" t="s">
        <v>8</v>
      </c>
      <c r="D1171">
        <v>1</v>
      </c>
      <c r="E1171">
        <v>0.96543445764109503</v>
      </c>
      <c r="F1171">
        <v>1</v>
      </c>
      <c r="G1171" s="1" t="s">
        <v>1454</v>
      </c>
      <c r="H1171" t="s">
        <v>1454</v>
      </c>
      <c r="I1171" t="s">
        <v>1454</v>
      </c>
    </row>
    <row r="1172" spans="1:9" x14ac:dyDescent="0.2">
      <c r="A1172">
        <v>50</v>
      </c>
      <c r="B1172">
        <v>11</v>
      </c>
      <c r="C1172" t="s">
        <v>16</v>
      </c>
      <c r="D1172">
        <v>2</v>
      </c>
      <c r="E1172">
        <v>0.52974320028442901</v>
      </c>
      <c r="F1172">
        <v>1</v>
      </c>
      <c r="G1172" s="1" t="s">
        <v>1455</v>
      </c>
      <c r="H1172" t="s">
        <v>1455</v>
      </c>
      <c r="I1172" t="s">
        <v>1455</v>
      </c>
    </row>
    <row r="1173" spans="1:9" x14ac:dyDescent="0.2">
      <c r="A1173">
        <v>67</v>
      </c>
      <c r="B1173">
        <v>10</v>
      </c>
      <c r="C1173" t="s">
        <v>16</v>
      </c>
      <c r="D1173">
        <v>0</v>
      </c>
      <c r="E1173">
        <v>0.94579655805136997</v>
      </c>
      <c r="F1173">
        <v>1</v>
      </c>
      <c r="G1173" s="1" t="s">
        <v>1456</v>
      </c>
      <c r="H1173" t="s">
        <v>1456</v>
      </c>
      <c r="I1173" t="s">
        <v>1456</v>
      </c>
    </row>
    <row r="1174" spans="1:9" x14ac:dyDescent="0.2">
      <c r="A1174">
        <v>85</v>
      </c>
      <c r="B1174">
        <v>9</v>
      </c>
      <c r="C1174" t="s">
        <v>8</v>
      </c>
      <c r="D1174">
        <v>2</v>
      </c>
      <c r="E1174">
        <v>0.90600851119961601</v>
      </c>
      <c r="F1174">
        <v>1</v>
      </c>
      <c r="G1174" s="1" t="s">
        <v>1457</v>
      </c>
      <c r="H1174" t="s">
        <v>1457</v>
      </c>
      <c r="I1174" t="s">
        <v>1457</v>
      </c>
    </row>
    <row r="1175" spans="1:9" x14ac:dyDescent="0.2">
      <c r="A1175">
        <v>22</v>
      </c>
      <c r="B1175">
        <v>13</v>
      </c>
      <c r="C1175" t="s">
        <v>16</v>
      </c>
      <c r="D1175">
        <v>0</v>
      </c>
      <c r="E1175">
        <v>0.59175623336341199</v>
      </c>
      <c r="F1175">
        <v>1</v>
      </c>
      <c r="G1175" s="1" t="s">
        <v>1458</v>
      </c>
      <c r="H1175" t="s">
        <v>1458</v>
      </c>
      <c r="I1175" t="s">
        <v>1458</v>
      </c>
    </row>
    <row r="1176" spans="1:9" x14ac:dyDescent="0.2">
      <c r="A1176">
        <v>69</v>
      </c>
      <c r="B1176">
        <v>11</v>
      </c>
      <c r="C1176" t="s">
        <v>10</v>
      </c>
      <c r="D1176">
        <v>0</v>
      </c>
      <c r="E1176">
        <v>0.70734751829877496</v>
      </c>
      <c r="F1176">
        <v>1</v>
      </c>
      <c r="G1176" s="1" t="s">
        <v>1459</v>
      </c>
      <c r="H1176" t="s">
        <v>1459</v>
      </c>
      <c r="I1176" t="s">
        <v>1459</v>
      </c>
    </row>
    <row r="1177" spans="1:9" x14ac:dyDescent="0.2">
      <c r="A1177">
        <v>32</v>
      </c>
      <c r="B1177">
        <v>9</v>
      </c>
      <c r="C1177" t="s">
        <v>16</v>
      </c>
      <c r="D1177">
        <v>0</v>
      </c>
      <c r="E1177">
        <v>0.80717108631506596</v>
      </c>
      <c r="F1177">
        <v>2</v>
      </c>
      <c r="G1177" s="1" t="s">
        <v>1460</v>
      </c>
      <c r="H1177" t="s">
        <v>1461</v>
      </c>
      <c r="I1177" t="s">
        <v>1460</v>
      </c>
    </row>
    <row r="1178" spans="1:9" x14ac:dyDescent="0.2">
      <c r="A1178">
        <v>59</v>
      </c>
      <c r="B1178">
        <v>4</v>
      </c>
      <c r="C1178" t="s">
        <v>10</v>
      </c>
      <c r="D1178">
        <v>0</v>
      </c>
      <c r="E1178">
        <v>0.53786032763309799</v>
      </c>
      <c r="F1178">
        <v>1</v>
      </c>
      <c r="G1178" s="1" t="s">
        <v>1462</v>
      </c>
      <c r="H1178" t="s">
        <v>1462</v>
      </c>
      <c r="I1178" t="s">
        <v>1462</v>
      </c>
    </row>
    <row r="1179" spans="1:9" x14ac:dyDescent="0.2">
      <c r="A1179">
        <v>22</v>
      </c>
      <c r="B1179">
        <v>15</v>
      </c>
      <c r="C1179" t="s">
        <v>8</v>
      </c>
      <c r="D1179">
        <v>0</v>
      </c>
      <c r="E1179">
        <v>0.64429524226579804</v>
      </c>
      <c r="F1179">
        <v>1</v>
      </c>
      <c r="G1179" s="1" t="s">
        <v>1463</v>
      </c>
      <c r="H1179" t="s">
        <v>1463</v>
      </c>
      <c r="I1179" t="s">
        <v>1463</v>
      </c>
    </row>
    <row r="1180" spans="1:9" x14ac:dyDescent="0.2">
      <c r="A1180">
        <v>49</v>
      </c>
      <c r="B1180">
        <v>9</v>
      </c>
      <c r="C1180" t="s">
        <v>8</v>
      </c>
      <c r="D1180">
        <v>0</v>
      </c>
      <c r="E1180">
        <v>0.68046534154564098</v>
      </c>
      <c r="F1180">
        <v>1</v>
      </c>
      <c r="G1180" s="1" t="s">
        <v>1464</v>
      </c>
      <c r="H1180" t="s">
        <v>1464</v>
      </c>
      <c r="I1180" t="s">
        <v>1464</v>
      </c>
    </row>
    <row r="1181" spans="1:9" x14ac:dyDescent="0.2">
      <c r="A1181">
        <v>51</v>
      </c>
      <c r="B1181">
        <v>1</v>
      </c>
      <c r="C1181" t="s">
        <v>16</v>
      </c>
      <c r="D1181">
        <v>0</v>
      </c>
      <c r="E1181">
        <v>0.89806265837978605</v>
      </c>
      <c r="F1181">
        <v>1</v>
      </c>
      <c r="G1181" s="1" t="s">
        <v>1465</v>
      </c>
      <c r="H1181" t="s">
        <v>1465</v>
      </c>
      <c r="I1181" t="s">
        <v>1465</v>
      </c>
    </row>
    <row r="1182" spans="1:9" x14ac:dyDescent="0.2">
      <c r="A1182">
        <v>89</v>
      </c>
      <c r="B1182">
        <v>14</v>
      </c>
      <c r="C1182" t="s">
        <v>8</v>
      </c>
      <c r="D1182">
        <v>0</v>
      </c>
      <c r="E1182">
        <v>0.82963139610365</v>
      </c>
      <c r="F1182">
        <v>1</v>
      </c>
      <c r="G1182" s="1" t="s">
        <v>1466</v>
      </c>
      <c r="H1182" t="s">
        <v>1466</v>
      </c>
      <c r="I1182" t="s">
        <v>1466</v>
      </c>
    </row>
    <row r="1183" spans="1:9" x14ac:dyDescent="0.2">
      <c r="A1183">
        <v>67</v>
      </c>
      <c r="B1183">
        <v>13</v>
      </c>
      <c r="C1183" t="s">
        <v>8</v>
      </c>
      <c r="D1183">
        <v>0</v>
      </c>
      <c r="E1183">
        <v>0.92697420052718404</v>
      </c>
      <c r="F1183">
        <v>1</v>
      </c>
      <c r="G1183" s="1" t="s">
        <v>1467</v>
      </c>
      <c r="H1183" t="s">
        <v>1467</v>
      </c>
      <c r="I1183" t="s">
        <v>1467</v>
      </c>
    </row>
    <row r="1184" spans="1:9" x14ac:dyDescent="0.2">
      <c r="A1184">
        <v>75</v>
      </c>
      <c r="B1184">
        <v>9</v>
      </c>
      <c r="C1184" t="s">
        <v>16</v>
      </c>
      <c r="D1184">
        <v>0</v>
      </c>
      <c r="E1184">
        <v>0.72188464039936695</v>
      </c>
      <c r="F1184">
        <v>1</v>
      </c>
      <c r="G1184" s="1" t="s">
        <v>1468</v>
      </c>
      <c r="H1184" t="s">
        <v>1468</v>
      </c>
      <c r="I1184" t="s">
        <v>1468</v>
      </c>
    </row>
    <row r="1185" spans="1:9" x14ac:dyDescent="0.2">
      <c r="A1185">
        <v>79</v>
      </c>
      <c r="B1185">
        <v>13</v>
      </c>
      <c r="C1185" t="s">
        <v>16</v>
      </c>
      <c r="D1185">
        <v>0</v>
      </c>
      <c r="E1185">
        <v>0.67135272931773204</v>
      </c>
      <c r="F1185">
        <v>1</v>
      </c>
      <c r="G1185" s="1" t="s">
        <v>1469</v>
      </c>
      <c r="H1185" t="s">
        <v>1469</v>
      </c>
      <c r="I1185" t="s">
        <v>1469</v>
      </c>
    </row>
    <row r="1186" spans="1:9" x14ac:dyDescent="0.2">
      <c r="A1186">
        <v>27</v>
      </c>
      <c r="B1186">
        <v>9</v>
      </c>
      <c r="C1186" t="s">
        <v>8</v>
      </c>
      <c r="D1186">
        <v>0</v>
      </c>
      <c r="E1186">
        <v>0.95802335196640298</v>
      </c>
      <c r="F1186">
        <v>1</v>
      </c>
      <c r="G1186" s="1" t="s">
        <v>1470</v>
      </c>
      <c r="H1186" t="s">
        <v>1470</v>
      </c>
      <c r="I1186" t="s">
        <v>1470</v>
      </c>
    </row>
    <row r="1187" spans="1:9" x14ac:dyDescent="0.2">
      <c r="A1187">
        <v>88</v>
      </c>
      <c r="B1187">
        <v>3</v>
      </c>
      <c r="C1187" t="s">
        <v>16</v>
      </c>
      <c r="D1187">
        <v>0</v>
      </c>
      <c r="E1187">
        <v>0.77537576260510799</v>
      </c>
      <c r="F1187">
        <v>1</v>
      </c>
      <c r="G1187" s="1" t="s">
        <v>1471</v>
      </c>
      <c r="H1187" t="s">
        <v>1471</v>
      </c>
      <c r="I1187" t="s">
        <v>1471</v>
      </c>
    </row>
    <row r="1188" spans="1:9" x14ac:dyDescent="0.2">
      <c r="A1188">
        <v>67</v>
      </c>
      <c r="B1188">
        <v>1</v>
      </c>
      <c r="C1188" t="s">
        <v>10</v>
      </c>
      <c r="D1188">
        <v>1</v>
      </c>
      <c r="E1188">
        <v>0.93644397379830502</v>
      </c>
      <c r="F1188">
        <v>1</v>
      </c>
      <c r="G1188" s="1" t="s">
        <v>1472</v>
      </c>
      <c r="H1188" t="s">
        <v>1472</v>
      </c>
      <c r="I1188" t="s">
        <v>1472</v>
      </c>
    </row>
    <row r="1189" spans="1:9" x14ac:dyDescent="0.2">
      <c r="A1189">
        <v>77</v>
      </c>
      <c r="B1189">
        <v>8</v>
      </c>
      <c r="C1189" t="s">
        <v>10</v>
      </c>
      <c r="D1189">
        <v>1</v>
      </c>
      <c r="E1189">
        <v>0.750390516361222</v>
      </c>
      <c r="F1189">
        <v>2</v>
      </c>
      <c r="G1189" s="1" t="s">
        <v>1473</v>
      </c>
      <c r="H1189" t="s">
        <v>1474</v>
      </c>
      <c r="I1189" t="s">
        <v>1473</v>
      </c>
    </row>
    <row r="1190" spans="1:9" x14ac:dyDescent="0.2">
      <c r="A1190">
        <v>61</v>
      </c>
      <c r="B1190">
        <v>14</v>
      </c>
      <c r="C1190" t="s">
        <v>8</v>
      </c>
      <c r="D1190">
        <v>0</v>
      </c>
      <c r="E1190">
        <v>0.88145298545714501</v>
      </c>
      <c r="F1190">
        <v>1</v>
      </c>
      <c r="G1190" s="1" t="s">
        <v>1475</v>
      </c>
      <c r="H1190" t="s">
        <v>1475</v>
      </c>
      <c r="I1190" t="s">
        <v>1475</v>
      </c>
    </row>
    <row r="1191" spans="1:9" x14ac:dyDescent="0.2">
      <c r="A1191">
        <v>62</v>
      </c>
      <c r="B1191">
        <v>11</v>
      </c>
      <c r="C1191" t="s">
        <v>16</v>
      </c>
      <c r="D1191">
        <v>0</v>
      </c>
      <c r="E1191">
        <v>0.89401520544197399</v>
      </c>
      <c r="F1191">
        <v>1</v>
      </c>
      <c r="G1191" s="1" t="s">
        <v>1476</v>
      </c>
      <c r="H1191" t="s">
        <v>1476</v>
      </c>
      <c r="I1191" t="s">
        <v>1476</v>
      </c>
    </row>
    <row r="1192" spans="1:9" x14ac:dyDescent="0.2">
      <c r="A1192">
        <v>88</v>
      </c>
      <c r="B1192">
        <v>12</v>
      </c>
      <c r="C1192" t="s">
        <v>8</v>
      </c>
      <c r="D1192">
        <v>1</v>
      </c>
      <c r="E1192">
        <v>0.52461687906179599</v>
      </c>
      <c r="F1192">
        <v>1</v>
      </c>
      <c r="G1192" s="1" t="s">
        <v>1477</v>
      </c>
      <c r="H1192" t="s">
        <v>1477</v>
      </c>
      <c r="I1192" t="s">
        <v>1477</v>
      </c>
    </row>
    <row r="1193" spans="1:9" x14ac:dyDescent="0.2">
      <c r="A1193">
        <v>90</v>
      </c>
      <c r="B1193">
        <v>0</v>
      </c>
      <c r="C1193" t="s">
        <v>16</v>
      </c>
      <c r="D1193">
        <v>0</v>
      </c>
      <c r="E1193">
        <v>0.93429559795185901</v>
      </c>
      <c r="F1193">
        <v>1</v>
      </c>
      <c r="G1193" s="1" t="s">
        <v>1478</v>
      </c>
      <c r="H1193" t="s">
        <v>1478</v>
      </c>
      <c r="I1193" t="s">
        <v>1478</v>
      </c>
    </row>
    <row r="1194" spans="1:9" x14ac:dyDescent="0.2">
      <c r="A1194">
        <v>79</v>
      </c>
      <c r="B1194">
        <v>7</v>
      </c>
      <c r="C1194" t="s">
        <v>16</v>
      </c>
      <c r="D1194">
        <v>0</v>
      </c>
      <c r="E1194">
        <v>0.82010885758791097</v>
      </c>
      <c r="F1194">
        <v>2</v>
      </c>
      <c r="G1194" s="1" t="s">
        <v>1479</v>
      </c>
      <c r="H1194" t="s">
        <v>1480</v>
      </c>
      <c r="I1194" t="s">
        <v>1479</v>
      </c>
    </row>
    <row r="1195" spans="1:9" x14ac:dyDescent="0.2">
      <c r="A1195">
        <v>73</v>
      </c>
      <c r="B1195">
        <v>12</v>
      </c>
      <c r="C1195" t="s">
        <v>16</v>
      </c>
      <c r="D1195">
        <v>1</v>
      </c>
      <c r="E1195">
        <v>0.97588424861896805</v>
      </c>
      <c r="F1195">
        <v>1</v>
      </c>
      <c r="G1195" s="1" t="s">
        <v>1481</v>
      </c>
      <c r="H1195" t="s">
        <v>1481</v>
      </c>
      <c r="I1195" t="s">
        <v>1481</v>
      </c>
    </row>
    <row r="1196" spans="1:9" x14ac:dyDescent="0.2">
      <c r="A1196">
        <v>56</v>
      </c>
      <c r="B1196">
        <v>15</v>
      </c>
      <c r="C1196" t="s">
        <v>8</v>
      </c>
      <c r="D1196">
        <v>0</v>
      </c>
      <c r="E1196">
        <v>0.82367678650189202</v>
      </c>
      <c r="F1196">
        <v>1</v>
      </c>
      <c r="G1196" s="1" t="s">
        <v>1482</v>
      </c>
      <c r="H1196" t="s">
        <v>1482</v>
      </c>
      <c r="I1196" t="s">
        <v>1482</v>
      </c>
    </row>
    <row r="1197" spans="1:9" x14ac:dyDescent="0.2">
      <c r="A1197">
        <v>71</v>
      </c>
      <c r="B1197">
        <v>11</v>
      </c>
      <c r="C1197" t="s">
        <v>8</v>
      </c>
      <c r="D1197">
        <v>1</v>
      </c>
      <c r="E1197">
        <v>0.77549240109510698</v>
      </c>
      <c r="F1197">
        <v>1</v>
      </c>
      <c r="G1197" s="1" t="s">
        <v>1483</v>
      </c>
      <c r="H1197" t="s">
        <v>1483</v>
      </c>
      <c r="I1197" t="s">
        <v>1483</v>
      </c>
    </row>
    <row r="1198" spans="1:9" x14ac:dyDescent="0.2">
      <c r="A1198">
        <v>54</v>
      </c>
      <c r="B1198">
        <v>4</v>
      </c>
      <c r="C1198" t="s">
        <v>8</v>
      </c>
      <c r="D1198">
        <v>1</v>
      </c>
      <c r="E1198">
        <v>0.83245853078551602</v>
      </c>
      <c r="F1198">
        <v>1</v>
      </c>
      <c r="G1198" s="1" t="s">
        <v>1484</v>
      </c>
      <c r="H1198" t="s">
        <v>1484</v>
      </c>
      <c r="I1198" t="s">
        <v>1484</v>
      </c>
    </row>
    <row r="1199" spans="1:9" x14ac:dyDescent="0.2">
      <c r="A1199">
        <v>28</v>
      </c>
      <c r="B1199">
        <v>14</v>
      </c>
      <c r="C1199" t="s">
        <v>16</v>
      </c>
      <c r="D1199">
        <v>1</v>
      </c>
      <c r="E1199">
        <v>0.50799395819194604</v>
      </c>
      <c r="F1199">
        <v>1</v>
      </c>
      <c r="G1199" s="1" t="s">
        <v>1485</v>
      </c>
      <c r="H1199" t="s">
        <v>1485</v>
      </c>
      <c r="I1199" t="s">
        <v>1485</v>
      </c>
    </row>
    <row r="1200" spans="1:9" x14ac:dyDescent="0.2">
      <c r="A1200">
        <v>58</v>
      </c>
      <c r="B1200">
        <v>1</v>
      </c>
      <c r="C1200" t="s">
        <v>8</v>
      </c>
      <c r="D1200">
        <v>0</v>
      </c>
      <c r="E1200">
        <v>0.84292031638324305</v>
      </c>
      <c r="F1200">
        <v>1</v>
      </c>
      <c r="G1200" s="1" t="s">
        <v>1486</v>
      </c>
      <c r="H1200" t="s">
        <v>1486</v>
      </c>
      <c r="I1200" t="s">
        <v>1486</v>
      </c>
    </row>
    <row r="1201" spans="1:9" x14ac:dyDescent="0.2">
      <c r="A1201">
        <v>29</v>
      </c>
      <c r="B1201">
        <v>12</v>
      </c>
      <c r="C1201" t="s">
        <v>8</v>
      </c>
      <c r="D1201">
        <v>0</v>
      </c>
      <c r="E1201">
        <v>0.91519718186464205</v>
      </c>
      <c r="F1201">
        <v>1</v>
      </c>
      <c r="G1201" s="1" t="s">
        <v>1487</v>
      </c>
      <c r="H1201" t="s">
        <v>1487</v>
      </c>
      <c r="I1201" t="s">
        <v>1487</v>
      </c>
    </row>
    <row r="1202" spans="1:9" x14ac:dyDescent="0.2">
      <c r="A1202">
        <v>58</v>
      </c>
      <c r="B1202">
        <v>9</v>
      </c>
      <c r="C1202" t="s">
        <v>8</v>
      </c>
      <c r="D1202">
        <v>0</v>
      </c>
      <c r="E1202">
        <v>0.69000136235263199</v>
      </c>
      <c r="F1202">
        <v>1</v>
      </c>
      <c r="G1202" s="1" t="s">
        <v>1488</v>
      </c>
      <c r="H1202" t="s">
        <v>1488</v>
      </c>
      <c r="I1202" t="s">
        <v>1488</v>
      </c>
    </row>
    <row r="1203" spans="1:9" x14ac:dyDescent="0.2">
      <c r="A1203">
        <v>36</v>
      </c>
      <c r="B1203">
        <v>12</v>
      </c>
      <c r="C1203" t="s">
        <v>8</v>
      </c>
      <c r="D1203">
        <v>0</v>
      </c>
      <c r="E1203">
        <v>0.56876808474771701</v>
      </c>
      <c r="F1203">
        <v>1</v>
      </c>
      <c r="G1203" s="1" t="s">
        <v>1489</v>
      </c>
      <c r="H1203" t="s">
        <v>1489</v>
      </c>
      <c r="I1203" t="s">
        <v>1489</v>
      </c>
    </row>
    <row r="1204" spans="1:9" x14ac:dyDescent="0.2">
      <c r="A1204">
        <v>52</v>
      </c>
      <c r="B1204">
        <v>10</v>
      </c>
      <c r="C1204" t="s">
        <v>16</v>
      </c>
      <c r="D1204">
        <v>1</v>
      </c>
      <c r="E1204">
        <v>0.96850869350600999</v>
      </c>
      <c r="F1204">
        <v>1</v>
      </c>
      <c r="G1204" s="1" t="s">
        <v>1490</v>
      </c>
      <c r="H1204" t="s">
        <v>1490</v>
      </c>
      <c r="I1204" t="s">
        <v>1490</v>
      </c>
    </row>
    <row r="1205" spans="1:9" x14ac:dyDescent="0.2">
      <c r="A1205">
        <v>86</v>
      </c>
      <c r="B1205">
        <v>8</v>
      </c>
      <c r="C1205" t="s">
        <v>8</v>
      </c>
      <c r="D1205">
        <v>2</v>
      </c>
      <c r="E1205">
        <v>0.745795220253058</v>
      </c>
      <c r="F1205">
        <v>2</v>
      </c>
      <c r="G1205" s="1" t="s">
        <v>1491</v>
      </c>
      <c r="H1205" t="s">
        <v>1492</v>
      </c>
      <c r="I1205" t="s">
        <v>1491</v>
      </c>
    </row>
    <row r="1206" spans="1:9" x14ac:dyDescent="0.2">
      <c r="A1206">
        <v>63</v>
      </c>
      <c r="B1206">
        <v>14</v>
      </c>
      <c r="C1206" t="s">
        <v>10</v>
      </c>
      <c r="D1206">
        <v>0</v>
      </c>
      <c r="E1206">
        <v>0.94430208776611801</v>
      </c>
      <c r="F1206">
        <v>2</v>
      </c>
      <c r="G1206" s="1" t="s">
        <v>1493</v>
      </c>
      <c r="H1206" t="s">
        <v>1494</v>
      </c>
      <c r="I1206" t="s">
        <v>1493</v>
      </c>
    </row>
    <row r="1207" spans="1:9" x14ac:dyDescent="0.2">
      <c r="A1207">
        <v>63</v>
      </c>
      <c r="B1207">
        <v>12</v>
      </c>
      <c r="C1207" t="s">
        <v>8</v>
      </c>
      <c r="D1207">
        <v>0</v>
      </c>
      <c r="E1207">
        <v>0.68802133074495897</v>
      </c>
      <c r="F1207">
        <v>1</v>
      </c>
      <c r="G1207" s="1" t="s">
        <v>1495</v>
      </c>
      <c r="H1207" t="s">
        <v>1495</v>
      </c>
      <c r="I1207" t="s">
        <v>1495</v>
      </c>
    </row>
    <row r="1208" spans="1:9" x14ac:dyDescent="0.2">
      <c r="A1208">
        <v>24</v>
      </c>
      <c r="B1208">
        <v>8</v>
      </c>
      <c r="C1208" t="s">
        <v>16</v>
      </c>
      <c r="D1208">
        <v>0</v>
      </c>
      <c r="E1208">
        <v>0.88723058660980303</v>
      </c>
      <c r="F1208">
        <v>2</v>
      </c>
      <c r="G1208" s="1" t="s">
        <v>1496</v>
      </c>
      <c r="H1208" t="s">
        <v>1497</v>
      </c>
      <c r="I1208" t="s">
        <v>1496</v>
      </c>
    </row>
    <row r="1209" spans="1:9" x14ac:dyDescent="0.2">
      <c r="A1209">
        <v>66</v>
      </c>
      <c r="B1209">
        <v>8</v>
      </c>
      <c r="C1209" t="s">
        <v>16</v>
      </c>
      <c r="D1209">
        <v>0</v>
      </c>
      <c r="E1209">
        <v>0.98530477017629903</v>
      </c>
      <c r="F1209">
        <v>1</v>
      </c>
      <c r="G1209" s="1" t="s">
        <v>1498</v>
      </c>
      <c r="H1209" t="s">
        <v>1498</v>
      </c>
      <c r="I1209" t="s">
        <v>1498</v>
      </c>
    </row>
    <row r="1210" spans="1:9" x14ac:dyDescent="0.2">
      <c r="A1210">
        <v>32</v>
      </c>
      <c r="B1210">
        <v>13</v>
      </c>
      <c r="C1210" t="s">
        <v>16</v>
      </c>
      <c r="D1210">
        <v>1</v>
      </c>
      <c r="E1210">
        <v>0.601917764986865</v>
      </c>
      <c r="F1210">
        <v>1</v>
      </c>
      <c r="G1210" s="1" t="s">
        <v>1499</v>
      </c>
      <c r="H1210" t="s">
        <v>1499</v>
      </c>
      <c r="I1210" t="s">
        <v>1499</v>
      </c>
    </row>
    <row r="1211" spans="1:9" x14ac:dyDescent="0.2">
      <c r="A1211">
        <v>67</v>
      </c>
      <c r="B1211">
        <v>4</v>
      </c>
      <c r="C1211" t="s">
        <v>8</v>
      </c>
      <c r="D1211">
        <v>0</v>
      </c>
      <c r="E1211">
        <v>0.96704818203579601</v>
      </c>
      <c r="F1211">
        <v>1</v>
      </c>
      <c r="G1211" s="1" t="s">
        <v>1500</v>
      </c>
      <c r="H1211" t="s">
        <v>1500</v>
      </c>
      <c r="I1211" t="s">
        <v>1500</v>
      </c>
    </row>
    <row r="1212" spans="1:9" x14ac:dyDescent="0.2">
      <c r="A1212">
        <v>66</v>
      </c>
      <c r="B1212">
        <v>11</v>
      </c>
      <c r="C1212" t="s">
        <v>16</v>
      </c>
      <c r="D1212">
        <v>0</v>
      </c>
      <c r="E1212">
        <v>0.90845079347491298</v>
      </c>
      <c r="F1212">
        <v>1</v>
      </c>
      <c r="G1212" s="1" t="s">
        <v>1501</v>
      </c>
      <c r="H1212" t="s">
        <v>1501</v>
      </c>
      <c r="I1212" t="s">
        <v>1501</v>
      </c>
    </row>
    <row r="1213" spans="1:9" x14ac:dyDescent="0.2">
      <c r="A1213">
        <v>48</v>
      </c>
      <c r="B1213">
        <v>15</v>
      </c>
      <c r="C1213" t="s">
        <v>16</v>
      </c>
      <c r="D1213">
        <v>1</v>
      </c>
      <c r="E1213">
        <v>0.56963757739868004</v>
      </c>
      <c r="F1213">
        <v>1</v>
      </c>
      <c r="G1213" s="1" t="s">
        <v>1502</v>
      </c>
      <c r="H1213" t="s">
        <v>1502</v>
      </c>
      <c r="I1213" t="s">
        <v>1502</v>
      </c>
    </row>
    <row r="1214" spans="1:9" x14ac:dyDescent="0.2">
      <c r="A1214">
        <v>87</v>
      </c>
      <c r="B1214">
        <v>12</v>
      </c>
      <c r="C1214" t="s">
        <v>16</v>
      </c>
      <c r="D1214">
        <v>0</v>
      </c>
      <c r="E1214">
        <v>0.94101003371179104</v>
      </c>
      <c r="F1214">
        <v>1</v>
      </c>
      <c r="G1214" s="1" t="s">
        <v>1503</v>
      </c>
      <c r="H1214" t="s">
        <v>1503</v>
      </c>
      <c r="I1214" t="s">
        <v>1503</v>
      </c>
    </row>
    <row r="1215" spans="1:9" x14ac:dyDescent="0.2">
      <c r="A1215">
        <v>63</v>
      </c>
      <c r="B1215">
        <v>2</v>
      </c>
      <c r="C1215" t="s">
        <v>8</v>
      </c>
      <c r="D1215">
        <v>0</v>
      </c>
      <c r="E1215">
        <v>0.95888915564864896</v>
      </c>
      <c r="F1215">
        <v>1</v>
      </c>
      <c r="G1215" s="1" t="s">
        <v>1504</v>
      </c>
      <c r="H1215" t="s">
        <v>1504</v>
      </c>
      <c r="I1215" t="s">
        <v>1504</v>
      </c>
    </row>
    <row r="1216" spans="1:9" x14ac:dyDescent="0.2">
      <c r="A1216">
        <v>78</v>
      </c>
      <c r="B1216">
        <v>13</v>
      </c>
      <c r="C1216" t="s">
        <v>8</v>
      </c>
      <c r="D1216">
        <v>0</v>
      </c>
      <c r="E1216">
        <v>0.68500239693094001</v>
      </c>
      <c r="F1216">
        <v>1</v>
      </c>
      <c r="G1216" s="1" t="s">
        <v>1505</v>
      </c>
      <c r="H1216" t="s">
        <v>1505</v>
      </c>
      <c r="I1216" t="s">
        <v>1505</v>
      </c>
    </row>
    <row r="1217" spans="1:9" x14ac:dyDescent="0.2">
      <c r="A1217">
        <v>24</v>
      </c>
      <c r="B1217">
        <v>11</v>
      </c>
      <c r="C1217" t="s">
        <v>8</v>
      </c>
      <c r="D1217">
        <v>0</v>
      </c>
      <c r="E1217">
        <v>0.66009089292492695</v>
      </c>
      <c r="F1217">
        <v>1</v>
      </c>
      <c r="G1217" s="1" t="s">
        <v>1506</v>
      </c>
      <c r="H1217" t="s">
        <v>1506</v>
      </c>
      <c r="I1217" t="s">
        <v>1506</v>
      </c>
    </row>
    <row r="1218" spans="1:9" x14ac:dyDescent="0.2">
      <c r="A1218">
        <v>74</v>
      </c>
      <c r="B1218">
        <v>2</v>
      </c>
      <c r="C1218" t="s">
        <v>8</v>
      </c>
      <c r="D1218">
        <v>0</v>
      </c>
      <c r="E1218">
        <v>0.91088323213625699</v>
      </c>
      <c r="F1218">
        <v>1</v>
      </c>
      <c r="G1218" s="1" t="s">
        <v>1507</v>
      </c>
      <c r="H1218" t="s">
        <v>1507</v>
      </c>
      <c r="I1218" t="s">
        <v>1507</v>
      </c>
    </row>
    <row r="1219" spans="1:9" x14ac:dyDescent="0.2">
      <c r="A1219">
        <v>87</v>
      </c>
      <c r="B1219">
        <v>1</v>
      </c>
      <c r="C1219" t="s">
        <v>10</v>
      </c>
      <c r="D1219">
        <v>0</v>
      </c>
      <c r="E1219">
        <v>0.90940842695999902</v>
      </c>
      <c r="F1219">
        <v>3</v>
      </c>
      <c r="G1219" s="1" t="s">
        <v>1508</v>
      </c>
      <c r="H1219" t="s">
        <v>1509</v>
      </c>
      <c r="I1219" t="s">
        <v>1508</v>
      </c>
    </row>
    <row r="1220" spans="1:9" x14ac:dyDescent="0.2">
      <c r="A1220">
        <v>63</v>
      </c>
      <c r="B1220">
        <v>2</v>
      </c>
      <c r="C1220" t="s">
        <v>8</v>
      </c>
      <c r="D1220">
        <v>0</v>
      </c>
      <c r="E1220">
        <v>0.99509968853090003</v>
      </c>
      <c r="F1220">
        <v>1</v>
      </c>
      <c r="G1220" s="1" t="s">
        <v>1510</v>
      </c>
      <c r="H1220" t="s">
        <v>1510</v>
      </c>
      <c r="I1220" t="s">
        <v>1510</v>
      </c>
    </row>
    <row r="1221" spans="1:9" x14ac:dyDescent="0.2">
      <c r="A1221">
        <v>49</v>
      </c>
      <c r="B1221">
        <v>1</v>
      </c>
      <c r="C1221" t="s">
        <v>8</v>
      </c>
      <c r="D1221">
        <v>1</v>
      </c>
      <c r="E1221">
        <v>0.90566625364590403</v>
      </c>
      <c r="F1221">
        <v>1</v>
      </c>
      <c r="G1221" s="1" t="s">
        <v>1511</v>
      </c>
      <c r="H1221" t="s">
        <v>1511</v>
      </c>
      <c r="I1221" t="s">
        <v>1511</v>
      </c>
    </row>
    <row r="1222" spans="1:9" x14ac:dyDescent="0.2">
      <c r="A1222">
        <v>66</v>
      </c>
      <c r="B1222">
        <v>7</v>
      </c>
      <c r="C1222" t="s">
        <v>16</v>
      </c>
      <c r="D1222">
        <v>0</v>
      </c>
      <c r="E1222">
        <v>0.62007977638859302</v>
      </c>
      <c r="F1222">
        <v>1</v>
      </c>
      <c r="G1222" s="1" t="s">
        <v>1512</v>
      </c>
      <c r="H1222" t="s">
        <v>1512</v>
      </c>
      <c r="I1222" t="s">
        <v>1512</v>
      </c>
    </row>
    <row r="1223" spans="1:9" x14ac:dyDescent="0.2">
      <c r="A1223">
        <v>81</v>
      </c>
      <c r="B1223">
        <v>8</v>
      </c>
      <c r="C1223" t="s">
        <v>8</v>
      </c>
      <c r="D1223">
        <v>0</v>
      </c>
      <c r="E1223">
        <v>0.96011107612866897</v>
      </c>
      <c r="F1223">
        <v>2</v>
      </c>
      <c r="G1223" s="1" t="s">
        <v>1513</v>
      </c>
      <c r="H1223" t="s">
        <v>1514</v>
      </c>
      <c r="I1223" t="s">
        <v>1513</v>
      </c>
    </row>
    <row r="1224" spans="1:9" x14ac:dyDescent="0.2">
      <c r="A1224">
        <v>28</v>
      </c>
      <c r="B1224">
        <v>9</v>
      </c>
      <c r="C1224" t="s">
        <v>8</v>
      </c>
      <c r="D1224">
        <v>2</v>
      </c>
      <c r="E1224">
        <v>0.51004268985707302</v>
      </c>
      <c r="F1224">
        <v>1</v>
      </c>
      <c r="G1224" s="1" t="s">
        <v>1515</v>
      </c>
      <c r="H1224" t="s">
        <v>1515</v>
      </c>
      <c r="I1224" t="s">
        <v>1515</v>
      </c>
    </row>
    <row r="1225" spans="1:9" x14ac:dyDescent="0.2">
      <c r="A1225">
        <v>84</v>
      </c>
      <c r="B1225">
        <v>4</v>
      </c>
      <c r="C1225" t="s">
        <v>10</v>
      </c>
      <c r="D1225">
        <v>0</v>
      </c>
      <c r="E1225">
        <v>0.51301605615299195</v>
      </c>
      <c r="F1225">
        <v>1</v>
      </c>
      <c r="G1225" s="1" t="s">
        <v>1516</v>
      </c>
      <c r="H1225" t="s">
        <v>1516</v>
      </c>
      <c r="I1225" t="s">
        <v>1516</v>
      </c>
    </row>
    <row r="1226" spans="1:9" x14ac:dyDescent="0.2">
      <c r="A1226">
        <v>84</v>
      </c>
      <c r="B1226">
        <v>7</v>
      </c>
      <c r="C1226" t="s">
        <v>10</v>
      </c>
      <c r="D1226">
        <v>0</v>
      </c>
      <c r="E1226">
        <v>0.92860522796399902</v>
      </c>
      <c r="F1226">
        <v>3</v>
      </c>
      <c r="G1226" s="1" t="s">
        <v>1517</v>
      </c>
      <c r="H1226" t="s">
        <v>1518</v>
      </c>
      <c r="I1226" t="s">
        <v>1517</v>
      </c>
    </row>
    <row r="1227" spans="1:9" x14ac:dyDescent="0.2">
      <c r="A1227">
        <v>27</v>
      </c>
      <c r="B1227">
        <v>14</v>
      </c>
      <c r="C1227" t="s">
        <v>8</v>
      </c>
      <c r="D1227">
        <v>0</v>
      </c>
      <c r="E1227">
        <v>0.91087570798117701</v>
      </c>
      <c r="F1227">
        <v>1</v>
      </c>
      <c r="G1227" s="1" t="s">
        <v>1519</v>
      </c>
      <c r="H1227" t="s">
        <v>1519</v>
      </c>
      <c r="I1227" t="s">
        <v>1519</v>
      </c>
    </row>
    <row r="1228" spans="1:9" x14ac:dyDescent="0.2">
      <c r="A1228">
        <v>67</v>
      </c>
      <c r="B1228">
        <v>7</v>
      </c>
      <c r="C1228" t="s">
        <v>10</v>
      </c>
      <c r="D1228">
        <v>0</v>
      </c>
      <c r="E1228">
        <v>0.95123962324578304</v>
      </c>
      <c r="F1228">
        <v>1</v>
      </c>
      <c r="G1228" s="1" t="s">
        <v>1520</v>
      </c>
      <c r="H1228" t="s">
        <v>1520</v>
      </c>
      <c r="I1228" t="s">
        <v>1520</v>
      </c>
    </row>
    <row r="1229" spans="1:9" x14ac:dyDescent="0.2">
      <c r="A1229">
        <v>82</v>
      </c>
      <c r="B1229">
        <v>15</v>
      </c>
      <c r="C1229" t="s">
        <v>10</v>
      </c>
      <c r="D1229">
        <v>0</v>
      </c>
      <c r="E1229">
        <v>0.824450458516367</v>
      </c>
      <c r="F1229">
        <v>2</v>
      </c>
      <c r="G1229" s="1" t="s">
        <v>1521</v>
      </c>
      <c r="H1229" t="s">
        <v>1522</v>
      </c>
      <c r="I1229" t="s">
        <v>1521</v>
      </c>
    </row>
    <row r="1230" spans="1:9" x14ac:dyDescent="0.2">
      <c r="A1230">
        <v>77</v>
      </c>
      <c r="B1230">
        <v>8</v>
      </c>
      <c r="C1230" t="s">
        <v>8</v>
      </c>
      <c r="D1230">
        <v>0</v>
      </c>
      <c r="E1230">
        <v>0.95557323272805705</v>
      </c>
      <c r="F1230">
        <v>3</v>
      </c>
      <c r="G1230" s="1" t="s">
        <v>1523</v>
      </c>
      <c r="H1230" t="s">
        <v>1524</v>
      </c>
      <c r="I1230" t="s">
        <v>1523</v>
      </c>
    </row>
    <row r="1231" spans="1:9" x14ac:dyDescent="0.2">
      <c r="A1231">
        <v>64</v>
      </c>
      <c r="B1231">
        <v>8</v>
      </c>
      <c r="C1231" t="s">
        <v>8</v>
      </c>
      <c r="D1231">
        <v>0</v>
      </c>
      <c r="E1231">
        <v>0.87789330841042101</v>
      </c>
      <c r="F1231">
        <v>3</v>
      </c>
      <c r="G1231" s="1" t="s">
        <v>1525</v>
      </c>
      <c r="H1231" t="s">
        <v>1526</v>
      </c>
      <c r="I1231" t="s">
        <v>1525</v>
      </c>
    </row>
    <row r="1232" spans="1:9" x14ac:dyDescent="0.2">
      <c r="A1232">
        <v>75</v>
      </c>
      <c r="B1232">
        <v>8</v>
      </c>
      <c r="C1232" t="s">
        <v>10</v>
      </c>
      <c r="D1232">
        <v>0</v>
      </c>
      <c r="E1232">
        <v>0.73132178070955001</v>
      </c>
      <c r="F1232">
        <v>1</v>
      </c>
      <c r="G1232" s="1" t="s">
        <v>1527</v>
      </c>
      <c r="H1232" t="s">
        <v>1527</v>
      </c>
      <c r="I1232" t="s">
        <v>1527</v>
      </c>
    </row>
    <row r="1233" spans="1:9" x14ac:dyDescent="0.2">
      <c r="A1233">
        <v>18</v>
      </c>
      <c r="B1233">
        <v>8</v>
      </c>
      <c r="C1233" t="s">
        <v>10</v>
      </c>
      <c r="D1233">
        <v>0</v>
      </c>
      <c r="E1233">
        <v>0.849292827188037</v>
      </c>
      <c r="F1233">
        <v>1</v>
      </c>
      <c r="G1233" s="1" t="s">
        <v>1528</v>
      </c>
      <c r="H1233" t="s">
        <v>1528</v>
      </c>
      <c r="I1233" t="s">
        <v>1528</v>
      </c>
    </row>
    <row r="1234" spans="1:9" x14ac:dyDescent="0.2">
      <c r="A1234">
        <v>85</v>
      </c>
      <c r="B1234">
        <v>7</v>
      </c>
      <c r="C1234" t="s">
        <v>16</v>
      </c>
      <c r="D1234">
        <v>0</v>
      </c>
      <c r="E1234">
        <v>0.88574163988232602</v>
      </c>
      <c r="F1234">
        <v>1</v>
      </c>
      <c r="G1234" s="1" t="s">
        <v>1529</v>
      </c>
      <c r="H1234" t="s">
        <v>1529</v>
      </c>
      <c r="I1234" t="s">
        <v>1529</v>
      </c>
    </row>
    <row r="1235" spans="1:9" x14ac:dyDescent="0.2">
      <c r="A1235">
        <v>30</v>
      </c>
      <c r="B1235">
        <v>5</v>
      </c>
      <c r="C1235" t="s">
        <v>16</v>
      </c>
      <c r="D1235">
        <v>0</v>
      </c>
      <c r="E1235">
        <v>0.58652317314408697</v>
      </c>
      <c r="F1235">
        <v>1</v>
      </c>
      <c r="G1235" s="1" t="s">
        <v>1530</v>
      </c>
      <c r="H1235" t="s">
        <v>1530</v>
      </c>
      <c r="I1235" t="s">
        <v>1530</v>
      </c>
    </row>
    <row r="1236" spans="1:9" x14ac:dyDescent="0.2">
      <c r="A1236">
        <v>54</v>
      </c>
      <c r="B1236">
        <v>7</v>
      </c>
      <c r="C1236" t="s">
        <v>10</v>
      </c>
      <c r="D1236">
        <v>0</v>
      </c>
      <c r="E1236">
        <v>0.99721940734889403</v>
      </c>
      <c r="F1236">
        <v>1</v>
      </c>
      <c r="G1236" s="1" t="s">
        <v>1531</v>
      </c>
      <c r="H1236" t="s">
        <v>1531</v>
      </c>
      <c r="I1236" t="s">
        <v>1531</v>
      </c>
    </row>
    <row r="1237" spans="1:9" x14ac:dyDescent="0.2">
      <c r="A1237">
        <v>54</v>
      </c>
      <c r="B1237">
        <v>13</v>
      </c>
      <c r="C1237" t="s">
        <v>8</v>
      </c>
      <c r="D1237">
        <v>0</v>
      </c>
      <c r="E1237">
        <v>0.84950979985296704</v>
      </c>
      <c r="F1237">
        <v>1</v>
      </c>
      <c r="G1237" s="1" t="s">
        <v>1532</v>
      </c>
      <c r="H1237" t="s">
        <v>1532</v>
      </c>
      <c r="I1237" t="s">
        <v>1532</v>
      </c>
    </row>
    <row r="1238" spans="1:9" x14ac:dyDescent="0.2">
      <c r="A1238">
        <v>87</v>
      </c>
      <c r="B1238">
        <v>5</v>
      </c>
      <c r="C1238" t="s">
        <v>16</v>
      </c>
      <c r="D1238">
        <v>1</v>
      </c>
      <c r="E1238">
        <v>0.85591703781392403</v>
      </c>
      <c r="F1238">
        <v>1</v>
      </c>
      <c r="G1238" s="1" t="s">
        <v>1533</v>
      </c>
      <c r="H1238" t="s">
        <v>1533</v>
      </c>
      <c r="I1238" t="s">
        <v>1533</v>
      </c>
    </row>
    <row r="1239" spans="1:9" x14ac:dyDescent="0.2">
      <c r="A1239">
        <v>38</v>
      </c>
      <c r="B1239">
        <v>8</v>
      </c>
      <c r="C1239" t="s">
        <v>8</v>
      </c>
      <c r="D1239">
        <v>0</v>
      </c>
      <c r="E1239">
        <v>0.794004873838276</v>
      </c>
      <c r="F1239">
        <v>1</v>
      </c>
      <c r="G1239" s="1" t="s">
        <v>1534</v>
      </c>
      <c r="H1239" t="s">
        <v>1534</v>
      </c>
      <c r="I1239" t="s">
        <v>1534</v>
      </c>
    </row>
    <row r="1240" spans="1:9" x14ac:dyDescent="0.2">
      <c r="A1240">
        <v>84</v>
      </c>
      <c r="B1240">
        <v>10</v>
      </c>
      <c r="C1240" t="s">
        <v>16</v>
      </c>
      <c r="D1240">
        <v>1</v>
      </c>
      <c r="E1240">
        <v>0.94556217780336704</v>
      </c>
      <c r="F1240">
        <v>1</v>
      </c>
      <c r="G1240" s="1" t="s">
        <v>1535</v>
      </c>
      <c r="H1240" t="s">
        <v>1535</v>
      </c>
      <c r="I1240" t="s">
        <v>1535</v>
      </c>
    </row>
    <row r="1241" spans="1:9" x14ac:dyDescent="0.2">
      <c r="A1241">
        <v>24</v>
      </c>
      <c r="B1241">
        <v>2</v>
      </c>
      <c r="C1241" t="s">
        <v>8</v>
      </c>
      <c r="D1241">
        <v>0</v>
      </c>
      <c r="E1241">
        <v>0.72189162136055496</v>
      </c>
      <c r="F1241">
        <v>1</v>
      </c>
      <c r="G1241" s="1" t="s">
        <v>1536</v>
      </c>
      <c r="H1241" t="s">
        <v>1536</v>
      </c>
      <c r="I1241" t="s">
        <v>1536</v>
      </c>
    </row>
    <row r="1242" spans="1:9" x14ac:dyDescent="0.2">
      <c r="A1242">
        <v>55</v>
      </c>
      <c r="B1242">
        <v>10</v>
      </c>
      <c r="C1242" t="s">
        <v>16</v>
      </c>
      <c r="D1242">
        <v>0</v>
      </c>
      <c r="E1242">
        <v>0.94990894140210003</v>
      </c>
      <c r="F1242">
        <v>1</v>
      </c>
      <c r="G1242" s="1" t="s">
        <v>1537</v>
      </c>
      <c r="H1242" t="s">
        <v>1537</v>
      </c>
      <c r="I1242" t="s">
        <v>1537</v>
      </c>
    </row>
    <row r="1243" spans="1:9" x14ac:dyDescent="0.2">
      <c r="A1243">
        <v>39</v>
      </c>
      <c r="B1243">
        <v>6</v>
      </c>
      <c r="C1243" t="s">
        <v>10</v>
      </c>
      <c r="D1243">
        <v>1</v>
      </c>
      <c r="E1243">
        <v>0.888637402676977</v>
      </c>
      <c r="F1243">
        <v>2</v>
      </c>
      <c r="G1243" s="1" t="s">
        <v>1538</v>
      </c>
      <c r="H1243" t="s">
        <v>1539</v>
      </c>
      <c r="I1243" t="s">
        <v>1538</v>
      </c>
    </row>
    <row r="1244" spans="1:9" x14ac:dyDescent="0.2">
      <c r="A1244">
        <v>86</v>
      </c>
      <c r="B1244">
        <v>10</v>
      </c>
      <c r="C1244" t="s">
        <v>8</v>
      </c>
      <c r="D1244">
        <v>0</v>
      </c>
      <c r="E1244">
        <v>0.54806399578228604</v>
      </c>
      <c r="F1244">
        <v>1</v>
      </c>
      <c r="G1244" s="1" t="s">
        <v>1540</v>
      </c>
      <c r="H1244" t="s">
        <v>1540</v>
      </c>
      <c r="I1244" t="s">
        <v>1540</v>
      </c>
    </row>
    <row r="1245" spans="1:9" x14ac:dyDescent="0.2">
      <c r="A1245">
        <v>87</v>
      </c>
      <c r="B1245">
        <v>4</v>
      </c>
      <c r="C1245" t="s">
        <v>10</v>
      </c>
      <c r="D1245">
        <v>0</v>
      </c>
      <c r="E1245">
        <v>0.88293899584095903</v>
      </c>
      <c r="F1245">
        <v>1</v>
      </c>
      <c r="G1245" s="1" t="s">
        <v>1541</v>
      </c>
      <c r="H1245" t="s">
        <v>1541</v>
      </c>
      <c r="I1245" t="s">
        <v>1541</v>
      </c>
    </row>
    <row r="1246" spans="1:9" x14ac:dyDescent="0.2">
      <c r="A1246">
        <v>30</v>
      </c>
      <c r="B1246">
        <v>7</v>
      </c>
      <c r="C1246" t="s">
        <v>10</v>
      </c>
      <c r="D1246">
        <v>2</v>
      </c>
      <c r="E1246">
        <v>0.828561020200141</v>
      </c>
      <c r="F1246">
        <v>1</v>
      </c>
      <c r="G1246" s="1" t="s">
        <v>1542</v>
      </c>
      <c r="H1246" t="s">
        <v>1542</v>
      </c>
      <c r="I1246" t="s">
        <v>1542</v>
      </c>
    </row>
    <row r="1247" spans="1:9" x14ac:dyDescent="0.2">
      <c r="A1247">
        <v>20</v>
      </c>
      <c r="B1247">
        <v>15</v>
      </c>
      <c r="C1247" t="s">
        <v>16</v>
      </c>
      <c r="D1247">
        <v>1</v>
      </c>
      <c r="E1247">
        <v>0.58963155373930898</v>
      </c>
      <c r="F1247">
        <v>1</v>
      </c>
      <c r="G1247" s="1" t="s">
        <v>1543</v>
      </c>
      <c r="H1247" t="s">
        <v>1543</v>
      </c>
      <c r="I1247" t="s">
        <v>1543</v>
      </c>
    </row>
    <row r="1248" spans="1:9" x14ac:dyDescent="0.2">
      <c r="A1248">
        <v>86</v>
      </c>
      <c r="B1248">
        <v>7</v>
      </c>
      <c r="C1248" t="s">
        <v>10</v>
      </c>
      <c r="D1248">
        <v>1</v>
      </c>
      <c r="E1248">
        <v>0.97799324197694704</v>
      </c>
      <c r="F1248">
        <v>1</v>
      </c>
      <c r="G1248" s="1" t="s">
        <v>1544</v>
      </c>
      <c r="H1248" t="s">
        <v>1544</v>
      </c>
      <c r="I1248" t="s">
        <v>1544</v>
      </c>
    </row>
    <row r="1249" spans="1:9" x14ac:dyDescent="0.2">
      <c r="A1249">
        <v>73</v>
      </c>
      <c r="B1249">
        <v>14</v>
      </c>
      <c r="C1249" t="s">
        <v>8</v>
      </c>
      <c r="D1249">
        <v>0</v>
      </c>
      <c r="E1249">
        <v>0.559919867897406</v>
      </c>
      <c r="F1249">
        <v>1</v>
      </c>
      <c r="G1249" s="1" t="s">
        <v>1545</v>
      </c>
      <c r="H1249" t="s">
        <v>1545</v>
      </c>
      <c r="I1249" t="s">
        <v>1545</v>
      </c>
    </row>
    <row r="1250" spans="1:9" x14ac:dyDescent="0.2">
      <c r="A1250">
        <v>68</v>
      </c>
      <c r="B1250">
        <v>10</v>
      </c>
      <c r="C1250" t="s">
        <v>8</v>
      </c>
      <c r="D1250">
        <v>0</v>
      </c>
      <c r="E1250">
        <v>0.96340488002169899</v>
      </c>
      <c r="F1250">
        <v>3</v>
      </c>
      <c r="G1250" s="1" t="s">
        <v>1546</v>
      </c>
      <c r="H1250" t="s">
        <v>1547</v>
      </c>
      <c r="I1250" t="s">
        <v>1546</v>
      </c>
    </row>
    <row r="1251" spans="1:9" x14ac:dyDescent="0.2">
      <c r="A1251">
        <v>83</v>
      </c>
      <c r="B1251">
        <v>4</v>
      </c>
      <c r="C1251" t="s">
        <v>8</v>
      </c>
      <c r="D1251">
        <v>0</v>
      </c>
      <c r="E1251">
        <v>0.81836130050942302</v>
      </c>
      <c r="F1251">
        <v>2</v>
      </c>
      <c r="G1251" s="1" t="s">
        <v>1548</v>
      </c>
      <c r="H1251" t="s">
        <v>1549</v>
      </c>
      <c r="I1251" t="s">
        <v>1548</v>
      </c>
    </row>
    <row r="1252" spans="1:9" x14ac:dyDescent="0.2">
      <c r="A1252">
        <v>25</v>
      </c>
      <c r="B1252">
        <v>4</v>
      </c>
      <c r="C1252" t="s">
        <v>10</v>
      </c>
      <c r="D1252">
        <v>1</v>
      </c>
      <c r="E1252">
        <v>0.877123287995346</v>
      </c>
      <c r="F1252">
        <v>1</v>
      </c>
      <c r="G1252" s="1" t="s">
        <v>1550</v>
      </c>
      <c r="H1252" t="s">
        <v>1550</v>
      </c>
      <c r="I1252" t="s">
        <v>1550</v>
      </c>
    </row>
    <row r="1253" spans="1:9" x14ac:dyDescent="0.2">
      <c r="A1253">
        <v>19</v>
      </c>
      <c r="B1253">
        <v>10</v>
      </c>
      <c r="C1253" t="s">
        <v>16</v>
      </c>
      <c r="D1253">
        <v>1</v>
      </c>
      <c r="E1253">
        <v>0.50639723858330399</v>
      </c>
      <c r="F1253">
        <v>1</v>
      </c>
      <c r="G1253" s="1" t="s">
        <v>1551</v>
      </c>
      <c r="H1253" t="s">
        <v>1551</v>
      </c>
      <c r="I1253" t="s">
        <v>1551</v>
      </c>
    </row>
    <row r="1254" spans="1:9" x14ac:dyDescent="0.2">
      <c r="A1254">
        <v>81</v>
      </c>
      <c r="B1254">
        <v>11</v>
      </c>
      <c r="C1254" t="s">
        <v>16</v>
      </c>
      <c r="D1254">
        <v>0</v>
      </c>
      <c r="E1254">
        <v>0.882965675788</v>
      </c>
      <c r="F1254">
        <v>2</v>
      </c>
      <c r="G1254" s="1" t="s">
        <v>1552</v>
      </c>
      <c r="H1254" t="s">
        <v>1553</v>
      </c>
      <c r="I1254" t="s">
        <v>1552</v>
      </c>
    </row>
    <row r="1255" spans="1:9" x14ac:dyDescent="0.2">
      <c r="A1255">
        <v>49</v>
      </c>
      <c r="B1255">
        <v>11</v>
      </c>
      <c r="C1255" t="s">
        <v>8</v>
      </c>
      <c r="D1255">
        <v>0</v>
      </c>
      <c r="E1255">
        <v>0.61028147954493805</v>
      </c>
      <c r="F1255">
        <v>1</v>
      </c>
      <c r="G1255" s="1" t="s">
        <v>1554</v>
      </c>
      <c r="H1255" t="s">
        <v>1554</v>
      </c>
      <c r="I1255" t="s">
        <v>1554</v>
      </c>
    </row>
    <row r="1256" spans="1:9" x14ac:dyDescent="0.2">
      <c r="A1256">
        <v>50</v>
      </c>
      <c r="B1256">
        <v>10</v>
      </c>
      <c r="C1256" t="s">
        <v>16</v>
      </c>
      <c r="D1256">
        <v>0</v>
      </c>
      <c r="E1256">
        <v>0.72037052363157295</v>
      </c>
      <c r="F1256">
        <v>3</v>
      </c>
      <c r="G1256" s="1" t="s">
        <v>1555</v>
      </c>
      <c r="H1256" t="s">
        <v>1556</v>
      </c>
      <c r="I1256" t="s">
        <v>1555</v>
      </c>
    </row>
    <row r="1257" spans="1:9" x14ac:dyDescent="0.2">
      <c r="A1257">
        <v>51</v>
      </c>
      <c r="B1257">
        <v>6</v>
      </c>
      <c r="C1257" t="s">
        <v>16</v>
      </c>
      <c r="D1257">
        <v>0</v>
      </c>
      <c r="E1257">
        <v>0.97223501349799302</v>
      </c>
      <c r="F1257">
        <v>3</v>
      </c>
      <c r="G1257" s="1" t="s">
        <v>1557</v>
      </c>
      <c r="H1257" t="s">
        <v>1558</v>
      </c>
      <c r="I1257" t="s">
        <v>1557</v>
      </c>
    </row>
    <row r="1258" spans="1:9" x14ac:dyDescent="0.2">
      <c r="A1258">
        <v>46</v>
      </c>
      <c r="B1258">
        <v>6</v>
      </c>
      <c r="C1258" t="s">
        <v>16</v>
      </c>
      <c r="D1258">
        <v>2</v>
      </c>
      <c r="E1258">
        <v>0.63996456575114302</v>
      </c>
      <c r="F1258">
        <v>1</v>
      </c>
      <c r="G1258" s="1" t="s">
        <v>1559</v>
      </c>
      <c r="H1258" t="s">
        <v>1559</v>
      </c>
      <c r="I1258" t="s">
        <v>1559</v>
      </c>
    </row>
    <row r="1259" spans="1:9" x14ac:dyDescent="0.2">
      <c r="A1259">
        <v>86</v>
      </c>
      <c r="B1259">
        <v>2</v>
      </c>
      <c r="C1259" t="s">
        <v>8</v>
      </c>
      <c r="D1259">
        <v>0</v>
      </c>
      <c r="E1259">
        <v>0.90695428929757305</v>
      </c>
      <c r="F1259">
        <v>1</v>
      </c>
      <c r="G1259" s="1" t="s">
        <v>1560</v>
      </c>
      <c r="H1259" t="s">
        <v>1560</v>
      </c>
      <c r="I1259" t="s">
        <v>1560</v>
      </c>
    </row>
    <row r="1260" spans="1:9" x14ac:dyDescent="0.2">
      <c r="A1260">
        <v>45</v>
      </c>
      <c r="B1260">
        <v>15</v>
      </c>
      <c r="C1260" t="s">
        <v>8</v>
      </c>
      <c r="D1260">
        <v>1</v>
      </c>
      <c r="E1260">
        <v>0.86294457572512295</v>
      </c>
      <c r="F1260">
        <v>1</v>
      </c>
      <c r="G1260" s="1" t="s">
        <v>1561</v>
      </c>
      <c r="H1260" t="s">
        <v>1561</v>
      </c>
      <c r="I1260" t="s">
        <v>1561</v>
      </c>
    </row>
    <row r="1261" spans="1:9" x14ac:dyDescent="0.2">
      <c r="A1261">
        <v>68</v>
      </c>
      <c r="B1261">
        <v>6</v>
      </c>
      <c r="C1261" t="s">
        <v>10</v>
      </c>
      <c r="D1261">
        <v>0</v>
      </c>
      <c r="E1261">
        <v>0.952948465244845</v>
      </c>
      <c r="F1261">
        <v>2</v>
      </c>
      <c r="G1261" s="1" t="s">
        <v>1562</v>
      </c>
      <c r="H1261" t="s">
        <v>1563</v>
      </c>
      <c r="I1261" t="s">
        <v>1562</v>
      </c>
    </row>
    <row r="1262" spans="1:9" x14ac:dyDescent="0.2">
      <c r="A1262">
        <v>57</v>
      </c>
      <c r="B1262">
        <v>12</v>
      </c>
      <c r="C1262" t="s">
        <v>10</v>
      </c>
      <c r="D1262">
        <v>1</v>
      </c>
      <c r="E1262">
        <v>0.984261610428803</v>
      </c>
      <c r="F1262">
        <v>2</v>
      </c>
      <c r="G1262" s="1" t="s">
        <v>1564</v>
      </c>
      <c r="H1262" t="s">
        <v>1565</v>
      </c>
      <c r="I1262" t="s">
        <v>1564</v>
      </c>
    </row>
    <row r="1263" spans="1:9" x14ac:dyDescent="0.2">
      <c r="A1263">
        <v>29</v>
      </c>
      <c r="B1263">
        <v>6</v>
      </c>
      <c r="C1263" t="s">
        <v>10</v>
      </c>
      <c r="D1263">
        <v>1</v>
      </c>
      <c r="E1263">
        <v>0.60640485340263695</v>
      </c>
      <c r="F1263">
        <v>1</v>
      </c>
      <c r="G1263" s="1" t="s">
        <v>1566</v>
      </c>
      <c r="H1263" t="s">
        <v>1566</v>
      </c>
      <c r="I1263" t="s">
        <v>1566</v>
      </c>
    </row>
    <row r="1264" spans="1:9" x14ac:dyDescent="0.2">
      <c r="A1264">
        <v>36</v>
      </c>
      <c r="B1264">
        <v>13</v>
      </c>
      <c r="C1264" t="s">
        <v>10</v>
      </c>
      <c r="D1264">
        <v>0</v>
      </c>
      <c r="E1264">
        <v>0.96747040271293405</v>
      </c>
      <c r="F1264">
        <v>1</v>
      </c>
      <c r="G1264" s="1" t="s">
        <v>1567</v>
      </c>
      <c r="H1264" t="s">
        <v>1567</v>
      </c>
      <c r="I1264" t="s">
        <v>1567</v>
      </c>
    </row>
    <row r="1265" spans="1:9" x14ac:dyDescent="0.2">
      <c r="A1265">
        <v>84</v>
      </c>
      <c r="B1265">
        <v>15</v>
      </c>
      <c r="C1265" t="s">
        <v>8</v>
      </c>
      <c r="D1265">
        <v>0</v>
      </c>
      <c r="E1265">
        <v>0.89177279046270996</v>
      </c>
      <c r="F1265">
        <v>1</v>
      </c>
      <c r="G1265" s="1" t="s">
        <v>1568</v>
      </c>
      <c r="H1265" t="s">
        <v>1568</v>
      </c>
      <c r="I1265" t="s">
        <v>1568</v>
      </c>
    </row>
    <row r="1266" spans="1:9" x14ac:dyDescent="0.2">
      <c r="A1266">
        <v>44</v>
      </c>
      <c r="B1266">
        <v>8</v>
      </c>
      <c r="C1266" t="s">
        <v>8</v>
      </c>
      <c r="D1266">
        <v>1</v>
      </c>
      <c r="E1266">
        <v>0.72864496160764203</v>
      </c>
      <c r="F1266">
        <v>1</v>
      </c>
      <c r="G1266" s="1" t="s">
        <v>1569</v>
      </c>
      <c r="H1266" t="s">
        <v>1569</v>
      </c>
      <c r="I1266" t="s">
        <v>1569</v>
      </c>
    </row>
    <row r="1267" spans="1:9" x14ac:dyDescent="0.2">
      <c r="A1267">
        <v>79</v>
      </c>
      <c r="B1267">
        <v>3</v>
      </c>
      <c r="C1267" t="s">
        <v>16</v>
      </c>
      <c r="D1267">
        <v>0</v>
      </c>
      <c r="E1267">
        <v>0.90708024136256404</v>
      </c>
      <c r="F1267">
        <v>2</v>
      </c>
      <c r="G1267" s="1" t="s">
        <v>1570</v>
      </c>
      <c r="H1267" t="s">
        <v>1571</v>
      </c>
      <c r="I1267" t="s">
        <v>1570</v>
      </c>
    </row>
    <row r="1268" spans="1:9" x14ac:dyDescent="0.2">
      <c r="A1268">
        <v>71</v>
      </c>
      <c r="B1268">
        <v>10</v>
      </c>
      <c r="C1268" t="s">
        <v>16</v>
      </c>
      <c r="D1268">
        <v>1</v>
      </c>
      <c r="E1268">
        <v>0.89486246055457697</v>
      </c>
      <c r="F1268">
        <v>1</v>
      </c>
      <c r="G1268" s="1" t="s">
        <v>1572</v>
      </c>
      <c r="H1268" t="s">
        <v>1572</v>
      </c>
      <c r="I1268" t="s">
        <v>1572</v>
      </c>
    </row>
    <row r="1269" spans="1:9" x14ac:dyDescent="0.2">
      <c r="A1269">
        <v>58</v>
      </c>
      <c r="B1269">
        <v>10</v>
      </c>
      <c r="C1269" t="s">
        <v>8</v>
      </c>
      <c r="D1269">
        <v>1</v>
      </c>
      <c r="E1269">
        <v>0.66091505892109104</v>
      </c>
      <c r="F1269">
        <v>1</v>
      </c>
      <c r="G1269" s="1" t="s">
        <v>1573</v>
      </c>
      <c r="H1269" t="s">
        <v>1573</v>
      </c>
      <c r="I1269" t="s">
        <v>1573</v>
      </c>
    </row>
    <row r="1270" spans="1:9" x14ac:dyDescent="0.2">
      <c r="A1270">
        <v>82</v>
      </c>
      <c r="B1270">
        <v>4</v>
      </c>
      <c r="C1270" t="s">
        <v>8</v>
      </c>
      <c r="D1270">
        <v>2</v>
      </c>
      <c r="E1270">
        <v>0.77886024606414095</v>
      </c>
      <c r="F1270">
        <v>1</v>
      </c>
      <c r="G1270" s="1" t="s">
        <v>1574</v>
      </c>
      <c r="H1270" t="s">
        <v>1574</v>
      </c>
      <c r="I1270" t="s">
        <v>1574</v>
      </c>
    </row>
    <row r="1271" spans="1:9" x14ac:dyDescent="0.2">
      <c r="A1271">
        <v>29</v>
      </c>
      <c r="B1271">
        <v>8</v>
      </c>
      <c r="C1271" t="s">
        <v>16</v>
      </c>
      <c r="D1271">
        <v>1</v>
      </c>
      <c r="E1271">
        <v>0.67213492176961198</v>
      </c>
      <c r="F1271">
        <v>2</v>
      </c>
      <c r="G1271" s="1" t="s">
        <v>1575</v>
      </c>
      <c r="H1271" t="s">
        <v>1576</v>
      </c>
      <c r="I1271" t="s">
        <v>1575</v>
      </c>
    </row>
    <row r="1272" spans="1:9" x14ac:dyDescent="0.2">
      <c r="A1272">
        <v>80</v>
      </c>
      <c r="B1272">
        <v>14</v>
      </c>
      <c r="C1272" t="s">
        <v>8</v>
      </c>
      <c r="D1272">
        <v>1</v>
      </c>
      <c r="E1272">
        <v>0.53294620034284901</v>
      </c>
      <c r="F1272">
        <v>2</v>
      </c>
      <c r="G1272" s="1" t="s">
        <v>1577</v>
      </c>
      <c r="H1272" t="s">
        <v>1578</v>
      </c>
      <c r="I1272" t="s">
        <v>1577</v>
      </c>
    </row>
    <row r="1273" spans="1:9" x14ac:dyDescent="0.2">
      <c r="A1273">
        <v>69</v>
      </c>
      <c r="B1273">
        <v>0</v>
      </c>
      <c r="C1273" t="s">
        <v>8</v>
      </c>
      <c r="D1273">
        <v>0</v>
      </c>
      <c r="E1273">
        <v>0.84718898776918605</v>
      </c>
      <c r="F1273">
        <v>2</v>
      </c>
      <c r="G1273" s="1" t="s">
        <v>1579</v>
      </c>
      <c r="H1273" t="s">
        <v>1580</v>
      </c>
      <c r="I1273" t="s">
        <v>1579</v>
      </c>
    </row>
    <row r="1274" spans="1:9" x14ac:dyDescent="0.2">
      <c r="A1274">
        <v>49</v>
      </c>
      <c r="B1274">
        <v>9</v>
      </c>
      <c r="C1274" t="s">
        <v>8</v>
      </c>
      <c r="D1274">
        <v>0</v>
      </c>
      <c r="E1274">
        <v>0.65723480680026103</v>
      </c>
      <c r="F1274">
        <v>1</v>
      </c>
      <c r="G1274" s="1" t="s">
        <v>1581</v>
      </c>
      <c r="H1274" t="s">
        <v>1581</v>
      </c>
      <c r="I1274" t="s">
        <v>1581</v>
      </c>
    </row>
    <row r="1275" spans="1:9" x14ac:dyDescent="0.2">
      <c r="A1275">
        <v>84</v>
      </c>
      <c r="B1275">
        <v>7</v>
      </c>
      <c r="C1275" t="s">
        <v>8</v>
      </c>
      <c r="D1275">
        <v>0</v>
      </c>
      <c r="E1275">
        <v>0.59309511340688903</v>
      </c>
      <c r="F1275">
        <v>1</v>
      </c>
      <c r="G1275" s="1" t="s">
        <v>1582</v>
      </c>
      <c r="H1275" t="s">
        <v>1582</v>
      </c>
      <c r="I1275" t="s">
        <v>1582</v>
      </c>
    </row>
    <row r="1276" spans="1:9" x14ac:dyDescent="0.2">
      <c r="A1276">
        <v>83</v>
      </c>
      <c r="B1276">
        <v>10</v>
      </c>
      <c r="C1276" t="s">
        <v>8</v>
      </c>
      <c r="D1276">
        <v>0</v>
      </c>
      <c r="E1276">
        <v>0.78938522259704802</v>
      </c>
      <c r="F1276">
        <v>2</v>
      </c>
      <c r="G1276" s="1" t="s">
        <v>1583</v>
      </c>
      <c r="H1276" t="s">
        <v>1584</v>
      </c>
      <c r="I1276" t="s">
        <v>1583</v>
      </c>
    </row>
    <row r="1277" spans="1:9" x14ac:dyDescent="0.2">
      <c r="A1277">
        <v>34</v>
      </c>
      <c r="B1277">
        <v>11</v>
      </c>
      <c r="C1277" t="s">
        <v>8</v>
      </c>
      <c r="D1277">
        <v>1</v>
      </c>
      <c r="E1277">
        <v>0.85001389065291699</v>
      </c>
      <c r="F1277">
        <v>1</v>
      </c>
      <c r="G1277" s="1" t="s">
        <v>1585</v>
      </c>
      <c r="H1277" t="s">
        <v>1585</v>
      </c>
      <c r="I1277" t="s">
        <v>1585</v>
      </c>
    </row>
    <row r="1278" spans="1:9" x14ac:dyDescent="0.2">
      <c r="A1278">
        <v>73</v>
      </c>
      <c r="B1278">
        <v>1</v>
      </c>
      <c r="C1278" t="s">
        <v>8</v>
      </c>
      <c r="D1278">
        <v>1</v>
      </c>
      <c r="E1278">
        <v>0.98192361858673405</v>
      </c>
      <c r="F1278">
        <v>1</v>
      </c>
      <c r="G1278" s="1" t="s">
        <v>1586</v>
      </c>
      <c r="H1278" t="s">
        <v>1586</v>
      </c>
      <c r="I1278" t="s">
        <v>1586</v>
      </c>
    </row>
    <row r="1279" spans="1:9" x14ac:dyDescent="0.2">
      <c r="A1279">
        <v>48</v>
      </c>
      <c r="B1279">
        <v>9</v>
      </c>
      <c r="C1279" t="s">
        <v>8</v>
      </c>
      <c r="D1279">
        <v>0</v>
      </c>
      <c r="E1279">
        <v>0.86085823795292504</v>
      </c>
      <c r="F1279">
        <v>1</v>
      </c>
      <c r="G1279" s="1" t="s">
        <v>1587</v>
      </c>
      <c r="H1279" t="s">
        <v>1587</v>
      </c>
      <c r="I1279" t="s">
        <v>1587</v>
      </c>
    </row>
    <row r="1280" spans="1:9" x14ac:dyDescent="0.2">
      <c r="A1280">
        <v>81</v>
      </c>
      <c r="B1280">
        <v>11</v>
      </c>
      <c r="C1280" t="s">
        <v>8</v>
      </c>
      <c r="D1280">
        <v>2</v>
      </c>
      <c r="E1280">
        <v>0.72552234621252898</v>
      </c>
      <c r="F1280">
        <v>1</v>
      </c>
      <c r="G1280" s="1" t="s">
        <v>1588</v>
      </c>
      <c r="H1280" t="s">
        <v>1588</v>
      </c>
      <c r="I1280" t="s">
        <v>1588</v>
      </c>
    </row>
    <row r="1281" spans="1:9" x14ac:dyDescent="0.2">
      <c r="A1281">
        <v>70</v>
      </c>
      <c r="B1281">
        <v>15</v>
      </c>
      <c r="C1281" t="s">
        <v>8</v>
      </c>
      <c r="D1281">
        <v>2</v>
      </c>
      <c r="E1281">
        <v>0.96422269160393603</v>
      </c>
      <c r="F1281">
        <v>4</v>
      </c>
      <c r="G1281" s="1" t="s">
        <v>1589</v>
      </c>
      <c r="H1281" t="s">
        <v>1590</v>
      </c>
      <c r="I1281" t="s">
        <v>1589</v>
      </c>
    </row>
    <row r="1282" spans="1:9" x14ac:dyDescent="0.2">
      <c r="A1282">
        <v>78</v>
      </c>
      <c r="B1282">
        <v>4</v>
      </c>
      <c r="C1282" t="s">
        <v>16</v>
      </c>
      <c r="D1282">
        <v>1</v>
      </c>
      <c r="E1282">
        <v>0.98641320155002199</v>
      </c>
      <c r="F1282">
        <v>1</v>
      </c>
      <c r="G1282" s="1" t="s">
        <v>1591</v>
      </c>
      <c r="H1282" t="s">
        <v>1591</v>
      </c>
      <c r="I1282" t="s">
        <v>1591</v>
      </c>
    </row>
    <row r="1283" spans="1:9" x14ac:dyDescent="0.2">
      <c r="A1283">
        <v>82</v>
      </c>
      <c r="B1283">
        <v>2</v>
      </c>
      <c r="C1283" t="s">
        <v>16</v>
      </c>
      <c r="D1283">
        <v>0</v>
      </c>
      <c r="E1283">
        <v>0.65066239482257504</v>
      </c>
      <c r="F1283">
        <v>1</v>
      </c>
      <c r="G1283" s="1" t="s">
        <v>1592</v>
      </c>
      <c r="H1283" t="s">
        <v>1592</v>
      </c>
      <c r="I1283" t="s">
        <v>1592</v>
      </c>
    </row>
    <row r="1284" spans="1:9" x14ac:dyDescent="0.2">
      <c r="A1284">
        <v>19</v>
      </c>
      <c r="B1284">
        <v>13</v>
      </c>
      <c r="C1284" t="s">
        <v>16</v>
      </c>
      <c r="D1284">
        <v>0</v>
      </c>
      <c r="E1284">
        <v>0.562571526970714</v>
      </c>
      <c r="F1284">
        <v>1</v>
      </c>
      <c r="G1284" s="1" t="s">
        <v>1593</v>
      </c>
      <c r="H1284" t="s">
        <v>1593</v>
      </c>
      <c r="I1284" t="s">
        <v>1593</v>
      </c>
    </row>
    <row r="1285" spans="1:9" x14ac:dyDescent="0.2">
      <c r="A1285">
        <v>21</v>
      </c>
      <c r="B1285">
        <v>2</v>
      </c>
      <c r="C1285" t="s">
        <v>10</v>
      </c>
      <c r="D1285">
        <v>0</v>
      </c>
      <c r="E1285">
        <v>0.68416777579113797</v>
      </c>
      <c r="F1285">
        <v>1</v>
      </c>
      <c r="G1285" s="1" t="s">
        <v>1594</v>
      </c>
      <c r="H1285" t="s">
        <v>1594</v>
      </c>
      <c r="I1285" t="s">
        <v>1594</v>
      </c>
    </row>
    <row r="1286" spans="1:9" x14ac:dyDescent="0.2">
      <c r="A1286">
        <v>77</v>
      </c>
      <c r="B1286">
        <v>4</v>
      </c>
      <c r="C1286" t="s">
        <v>16</v>
      </c>
      <c r="D1286">
        <v>0</v>
      </c>
      <c r="E1286">
        <v>0.76479837903752901</v>
      </c>
      <c r="F1286">
        <v>2</v>
      </c>
      <c r="G1286" s="1" t="s">
        <v>1595</v>
      </c>
      <c r="H1286" t="s">
        <v>1596</v>
      </c>
      <c r="I1286" t="s">
        <v>1595</v>
      </c>
    </row>
    <row r="1287" spans="1:9" x14ac:dyDescent="0.2">
      <c r="A1287">
        <v>30</v>
      </c>
      <c r="B1287">
        <v>9</v>
      </c>
      <c r="C1287" t="s">
        <v>10</v>
      </c>
      <c r="D1287">
        <v>1</v>
      </c>
      <c r="E1287">
        <v>0.67148744931910198</v>
      </c>
      <c r="F1287">
        <v>3</v>
      </c>
      <c r="G1287" s="1" t="s">
        <v>1597</v>
      </c>
      <c r="H1287" t="s">
        <v>1598</v>
      </c>
      <c r="I1287" t="s">
        <v>1597</v>
      </c>
    </row>
    <row r="1288" spans="1:9" x14ac:dyDescent="0.2">
      <c r="A1288">
        <v>75</v>
      </c>
      <c r="B1288">
        <v>11</v>
      </c>
      <c r="C1288" t="s">
        <v>8</v>
      </c>
      <c r="D1288">
        <v>0</v>
      </c>
      <c r="E1288">
        <v>0.97363099677022502</v>
      </c>
      <c r="F1288">
        <v>1</v>
      </c>
      <c r="G1288" s="1" t="s">
        <v>1599</v>
      </c>
      <c r="H1288" t="s">
        <v>1599</v>
      </c>
      <c r="I1288" t="s">
        <v>1599</v>
      </c>
    </row>
    <row r="1289" spans="1:9" x14ac:dyDescent="0.2">
      <c r="A1289">
        <v>82</v>
      </c>
      <c r="B1289">
        <v>2</v>
      </c>
      <c r="C1289" t="s">
        <v>8</v>
      </c>
      <c r="D1289">
        <v>1</v>
      </c>
      <c r="E1289">
        <v>0.57861357810907099</v>
      </c>
      <c r="F1289">
        <v>1</v>
      </c>
      <c r="G1289" s="1" t="s">
        <v>1600</v>
      </c>
      <c r="H1289" t="s">
        <v>1600</v>
      </c>
      <c r="I1289" t="s">
        <v>1600</v>
      </c>
    </row>
    <row r="1290" spans="1:9" x14ac:dyDescent="0.2">
      <c r="A1290">
        <v>47</v>
      </c>
      <c r="B1290">
        <v>6</v>
      </c>
      <c r="C1290" t="s">
        <v>8</v>
      </c>
      <c r="D1290">
        <v>0</v>
      </c>
      <c r="E1290">
        <v>0.93796258303336799</v>
      </c>
      <c r="F1290">
        <v>1</v>
      </c>
      <c r="G1290" s="1" t="s">
        <v>1601</v>
      </c>
      <c r="H1290" t="s">
        <v>1601</v>
      </c>
      <c r="I1290" t="s">
        <v>1601</v>
      </c>
    </row>
    <row r="1291" spans="1:9" x14ac:dyDescent="0.2">
      <c r="A1291">
        <v>66</v>
      </c>
      <c r="B1291">
        <v>7</v>
      </c>
      <c r="C1291" t="s">
        <v>8</v>
      </c>
      <c r="D1291">
        <v>1</v>
      </c>
      <c r="E1291">
        <v>0.50048247200902596</v>
      </c>
      <c r="F1291">
        <v>1</v>
      </c>
      <c r="G1291" s="1" t="s">
        <v>1602</v>
      </c>
      <c r="H1291" t="s">
        <v>1602</v>
      </c>
      <c r="I1291" t="s">
        <v>1602</v>
      </c>
    </row>
    <row r="1292" spans="1:9" x14ac:dyDescent="0.2">
      <c r="A1292">
        <v>75</v>
      </c>
      <c r="B1292">
        <v>0</v>
      </c>
      <c r="C1292" t="s">
        <v>8</v>
      </c>
      <c r="D1292">
        <v>1</v>
      </c>
      <c r="E1292">
        <v>0.95850810036063205</v>
      </c>
      <c r="F1292">
        <v>1</v>
      </c>
      <c r="G1292" s="1" t="s">
        <v>1603</v>
      </c>
      <c r="H1292" t="s">
        <v>1603</v>
      </c>
      <c r="I1292" t="s">
        <v>1603</v>
      </c>
    </row>
    <row r="1293" spans="1:9" x14ac:dyDescent="0.2">
      <c r="A1293">
        <v>37</v>
      </c>
      <c r="B1293">
        <v>14</v>
      </c>
      <c r="C1293" t="s">
        <v>8</v>
      </c>
      <c r="D1293">
        <v>2</v>
      </c>
      <c r="E1293">
        <v>0.69808870332781203</v>
      </c>
      <c r="F1293">
        <v>1</v>
      </c>
      <c r="G1293" s="1" t="s">
        <v>1604</v>
      </c>
      <c r="H1293" t="s">
        <v>1604</v>
      </c>
      <c r="I1293" t="s">
        <v>1604</v>
      </c>
    </row>
    <row r="1294" spans="1:9" x14ac:dyDescent="0.2">
      <c r="A1294">
        <v>31</v>
      </c>
      <c r="B1294">
        <v>1</v>
      </c>
      <c r="C1294" t="s">
        <v>10</v>
      </c>
      <c r="D1294">
        <v>0</v>
      </c>
      <c r="E1294">
        <v>0.99996223091147796</v>
      </c>
      <c r="F1294">
        <v>1</v>
      </c>
      <c r="G1294" s="1" t="s">
        <v>1605</v>
      </c>
      <c r="H1294" t="s">
        <v>1605</v>
      </c>
      <c r="I1294" t="s">
        <v>1605</v>
      </c>
    </row>
    <row r="1295" spans="1:9" x14ac:dyDescent="0.2">
      <c r="A1295">
        <v>37</v>
      </c>
      <c r="B1295">
        <v>8</v>
      </c>
      <c r="C1295" t="s">
        <v>16</v>
      </c>
      <c r="D1295">
        <v>1</v>
      </c>
      <c r="E1295">
        <v>0.77979176025837704</v>
      </c>
      <c r="F1295">
        <v>2</v>
      </c>
      <c r="G1295" s="1" t="s">
        <v>1606</v>
      </c>
      <c r="H1295" t="s">
        <v>1607</v>
      </c>
      <c r="I1295" t="s">
        <v>1606</v>
      </c>
    </row>
    <row r="1296" spans="1:9" x14ac:dyDescent="0.2">
      <c r="A1296">
        <v>46</v>
      </c>
      <c r="B1296">
        <v>6</v>
      </c>
      <c r="C1296" t="s">
        <v>8</v>
      </c>
      <c r="D1296">
        <v>0</v>
      </c>
      <c r="E1296">
        <v>0.57656115840654798</v>
      </c>
      <c r="F1296">
        <v>1</v>
      </c>
      <c r="G1296" s="1" t="s">
        <v>1608</v>
      </c>
      <c r="H1296" t="s">
        <v>1608</v>
      </c>
      <c r="I1296" t="s">
        <v>1608</v>
      </c>
    </row>
    <row r="1297" spans="1:9" x14ac:dyDescent="0.2">
      <c r="A1297">
        <v>47</v>
      </c>
      <c r="B1297">
        <v>4</v>
      </c>
      <c r="C1297" t="s">
        <v>10</v>
      </c>
      <c r="D1297">
        <v>0</v>
      </c>
      <c r="E1297">
        <v>0.52878398145548999</v>
      </c>
      <c r="F1297">
        <v>1</v>
      </c>
      <c r="G1297" s="1" t="s">
        <v>1609</v>
      </c>
      <c r="H1297" t="s">
        <v>1609</v>
      </c>
      <c r="I1297" t="s">
        <v>1609</v>
      </c>
    </row>
    <row r="1298" spans="1:9" x14ac:dyDescent="0.2">
      <c r="A1298">
        <v>44</v>
      </c>
      <c r="B1298">
        <v>9</v>
      </c>
      <c r="C1298" t="s">
        <v>16</v>
      </c>
      <c r="D1298">
        <v>0</v>
      </c>
      <c r="E1298">
        <v>0.79449210921302404</v>
      </c>
      <c r="F1298">
        <v>1</v>
      </c>
      <c r="G1298" s="1" t="s">
        <v>1610</v>
      </c>
      <c r="H1298" t="s">
        <v>1610</v>
      </c>
      <c r="I1298" t="s">
        <v>1610</v>
      </c>
    </row>
    <row r="1299" spans="1:9" x14ac:dyDescent="0.2">
      <c r="A1299">
        <v>68</v>
      </c>
      <c r="B1299">
        <v>2</v>
      </c>
      <c r="C1299" t="s">
        <v>8</v>
      </c>
      <c r="D1299">
        <v>0</v>
      </c>
      <c r="E1299">
        <v>0.80243360914755602</v>
      </c>
      <c r="F1299">
        <v>1</v>
      </c>
      <c r="G1299" s="1" t="s">
        <v>1611</v>
      </c>
      <c r="H1299" t="s">
        <v>1611</v>
      </c>
      <c r="I1299" t="s">
        <v>1611</v>
      </c>
    </row>
    <row r="1300" spans="1:9" x14ac:dyDescent="0.2">
      <c r="A1300">
        <v>19</v>
      </c>
      <c r="B1300">
        <v>14</v>
      </c>
      <c r="C1300" t="s">
        <v>8</v>
      </c>
      <c r="D1300">
        <v>2</v>
      </c>
      <c r="E1300">
        <v>0.544849010300823</v>
      </c>
      <c r="F1300">
        <v>1</v>
      </c>
      <c r="G1300" s="1" t="s">
        <v>1612</v>
      </c>
      <c r="H1300" t="s">
        <v>1612</v>
      </c>
      <c r="I1300" t="s">
        <v>1612</v>
      </c>
    </row>
    <row r="1301" spans="1:9" x14ac:dyDescent="0.2">
      <c r="A1301">
        <v>89</v>
      </c>
      <c r="B1301">
        <v>11</v>
      </c>
      <c r="C1301" t="s">
        <v>8</v>
      </c>
      <c r="D1301">
        <v>0</v>
      </c>
      <c r="E1301">
        <v>0.91305750852916401</v>
      </c>
      <c r="F1301">
        <v>1</v>
      </c>
      <c r="G1301" s="1" t="s">
        <v>1613</v>
      </c>
      <c r="H1301" t="s">
        <v>1613</v>
      </c>
      <c r="I1301" t="s">
        <v>1613</v>
      </c>
    </row>
    <row r="1302" spans="1:9" x14ac:dyDescent="0.2">
      <c r="A1302">
        <v>57</v>
      </c>
      <c r="B1302">
        <v>3</v>
      </c>
      <c r="C1302" t="s">
        <v>16</v>
      </c>
      <c r="D1302">
        <v>1</v>
      </c>
      <c r="E1302">
        <v>0.802527838619426</v>
      </c>
      <c r="F1302">
        <v>1</v>
      </c>
      <c r="G1302" s="1" t="s">
        <v>1614</v>
      </c>
      <c r="H1302" t="s">
        <v>1614</v>
      </c>
      <c r="I1302" t="s">
        <v>1614</v>
      </c>
    </row>
    <row r="1303" spans="1:9" x14ac:dyDescent="0.2">
      <c r="A1303">
        <v>88</v>
      </c>
      <c r="B1303">
        <v>15</v>
      </c>
      <c r="C1303" t="s">
        <v>16</v>
      </c>
      <c r="D1303">
        <v>1</v>
      </c>
      <c r="E1303">
        <v>0.91376401041634403</v>
      </c>
      <c r="F1303">
        <v>3</v>
      </c>
      <c r="G1303" s="1" t="s">
        <v>1615</v>
      </c>
      <c r="H1303" t="s">
        <v>1616</v>
      </c>
      <c r="I1303" t="s">
        <v>1615</v>
      </c>
    </row>
    <row r="1304" spans="1:9" x14ac:dyDescent="0.2">
      <c r="A1304">
        <v>54</v>
      </c>
      <c r="B1304">
        <v>13</v>
      </c>
      <c r="C1304" t="s">
        <v>8</v>
      </c>
      <c r="D1304">
        <v>0</v>
      </c>
      <c r="E1304">
        <v>0.87001046387013004</v>
      </c>
      <c r="F1304">
        <v>3</v>
      </c>
      <c r="G1304" s="1" t="s">
        <v>1617</v>
      </c>
      <c r="H1304" t="s">
        <v>1618</v>
      </c>
      <c r="I1304" t="s">
        <v>1617</v>
      </c>
    </row>
    <row r="1305" spans="1:9" x14ac:dyDescent="0.2">
      <c r="A1305">
        <v>84</v>
      </c>
      <c r="B1305">
        <v>3</v>
      </c>
      <c r="C1305" t="s">
        <v>8</v>
      </c>
      <c r="D1305">
        <v>3</v>
      </c>
      <c r="E1305">
        <v>0.79257064498961005</v>
      </c>
      <c r="F1305">
        <v>1</v>
      </c>
      <c r="G1305" s="1" t="s">
        <v>1619</v>
      </c>
      <c r="H1305" t="s">
        <v>1619</v>
      </c>
      <c r="I1305" t="s">
        <v>1619</v>
      </c>
    </row>
    <row r="1306" spans="1:9" x14ac:dyDescent="0.2">
      <c r="A1306">
        <v>20</v>
      </c>
      <c r="B1306">
        <v>3</v>
      </c>
      <c r="C1306" t="s">
        <v>8</v>
      </c>
      <c r="D1306">
        <v>0</v>
      </c>
      <c r="E1306">
        <v>0.76997886050958197</v>
      </c>
      <c r="F1306">
        <v>1</v>
      </c>
      <c r="G1306" s="1" t="s">
        <v>1620</v>
      </c>
      <c r="H1306" t="s">
        <v>1620</v>
      </c>
      <c r="I1306" t="s">
        <v>1620</v>
      </c>
    </row>
    <row r="1307" spans="1:9" x14ac:dyDescent="0.2">
      <c r="A1307">
        <v>80</v>
      </c>
      <c r="B1307">
        <v>11</v>
      </c>
      <c r="C1307" t="s">
        <v>16</v>
      </c>
      <c r="D1307">
        <v>0</v>
      </c>
      <c r="E1307">
        <v>0.66382627142593298</v>
      </c>
      <c r="F1307">
        <v>1</v>
      </c>
      <c r="G1307" s="1" t="s">
        <v>1621</v>
      </c>
      <c r="H1307" t="s">
        <v>1621</v>
      </c>
      <c r="I1307" t="s">
        <v>1621</v>
      </c>
    </row>
    <row r="1308" spans="1:9" x14ac:dyDescent="0.2">
      <c r="A1308">
        <v>76</v>
      </c>
      <c r="B1308">
        <v>8</v>
      </c>
      <c r="C1308" t="s">
        <v>8</v>
      </c>
      <c r="D1308">
        <v>1</v>
      </c>
      <c r="E1308">
        <v>0.69827423151582502</v>
      </c>
      <c r="F1308">
        <v>1</v>
      </c>
      <c r="G1308" s="1" t="s">
        <v>1622</v>
      </c>
      <c r="H1308" t="s">
        <v>1622</v>
      </c>
      <c r="I1308" t="s">
        <v>1622</v>
      </c>
    </row>
    <row r="1309" spans="1:9" x14ac:dyDescent="0.2">
      <c r="A1309">
        <v>25</v>
      </c>
      <c r="B1309">
        <v>10</v>
      </c>
      <c r="C1309" t="s">
        <v>16</v>
      </c>
      <c r="D1309">
        <v>0</v>
      </c>
      <c r="E1309">
        <v>0.70256541913840898</v>
      </c>
      <c r="F1309">
        <v>1</v>
      </c>
      <c r="G1309" s="1" t="s">
        <v>1623</v>
      </c>
      <c r="H1309" t="s">
        <v>1623</v>
      </c>
      <c r="I1309" t="s">
        <v>1623</v>
      </c>
    </row>
    <row r="1310" spans="1:9" x14ac:dyDescent="0.2">
      <c r="A1310">
        <v>78</v>
      </c>
      <c r="B1310">
        <v>3</v>
      </c>
      <c r="C1310" t="s">
        <v>10</v>
      </c>
      <c r="D1310">
        <v>1</v>
      </c>
      <c r="E1310">
        <v>0.78415802691597503</v>
      </c>
      <c r="F1310">
        <v>1</v>
      </c>
      <c r="G1310" s="1" t="s">
        <v>1624</v>
      </c>
      <c r="H1310" t="s">
        <v>1624</v>
      </c>
      <c r="I1310" t="s">
        <v>1624</v>
      </c>
    </row>
    <row r="1311" spans="1:9" x14ac:dyDescent="0.2">
      <c r="A1311">
        <v>34</v>
      </c>
      <c r="B1311">
        <v>12</v>
      </c>
      <c r="C1311" t="s">
        <v>8</v>
      </c>
      <c r="D1311">
        <v>1</v>
      </c>
      <c r="E1311">
        <v>0.79739160602912296</v>
      </c>
      <c r="F1311">
        <v>1</v>
      </c>
      <c r="G1311" s="1" t="s">
        <v>1625</v>
      </c>
      <c r="H1311" t="s">
        <v>1625</v>
      </c>
      <c r="I1311" t="s">
        <v>1625</v>
      </c>
    </row>
    <row r="1312" spans="1:9" x14ac:dyDescent="0.2">
      <c r="A1312">
        <v>60</v>
      </c>
      <c r="B1312">
        <v>9</v>
      </c>
      <c r="C1312" t="s">
        <v>10</v>
      </c>
      <c r="D1312">
        <v>0</v>
      </c>
      <c r="E1312">
        <v>0.91723386442754395</v>
      </c>
      <c r="F1312">
        <v>1</v>
      </c>
      <c r="G1312" s="1" t="s">
        <v>1626</v>
      </c>
      <c r="H1312" t="s">
        <v>1626</v>
      </c>
      <c r="I1312" t="s">
        <v>1626</v>
      </c>
    </row>
    <row r="1313" spans="1:9" x14ac:dyDescent="0.2">
      <c r="A1313">
        <v>86</v>
      </c>
      <c r="B1313">
        <v>4</v>
      </c>
      <c r="C1313" t="s">
        <v>10</v>
      </c>
      <c r="D1313">
        <v>1</v>
      </c>
      <c r="E1313">
        <v>0.95906199177261398</v>
      </c>
      <c r="F1313">
        <v>2</v>
      </c>
      <c r="G1313" s="1" t="s">
        <v>1627</v>
      </c>
      <c r="H1313" t="s">
        <v>1628</v>
      </c>
      <c r="I1313" t="s">
        <v>1627</v>
      </c>
    </row>
    <row r="1314" spans="1:9" x14ac:dyDescent="0.2">
      <c r="A1314">
        <v>38</v>
      </c>
      <c r="B1314">
        <v>2</v>
      </c>
      <c r="C1314" t="s">
        <v>8</v>
      </c>
      <c r="D1314">
        <v>0</v>
      </c>
      <c r="E1314">
        <v>0.52348911564331502</v>
      </c>
      <c r="F1314">
        <v>1</v>
      </c>
      <c r="G1314" s="1" t="s">
        <v>1629</v>
      </c>
      <c r="H1314" t="s">
        <v>1629</v>
      </c>
      <c r="I1314" t="s">
        <v>1629</v>
      </c>
    </row>
    <row r="1315" spans="1:9" x14ac:dyDescent="0.2">
      <c r="A1315">
        <v>78</v>
      </c>
      <c r="B1315">
        <v>2</v>
      </c>
      <c r="C1315" t="s">
        <v>8</v>
      </c>
      <c r="D1315">
        <v>1</v>
      </c>
      <c r="E1315">
        <v>0.81162007979582995</v>
      </c>
      <c r="F1315">
        <v>1</v>
      </c>
      <c r="G1315" s="1" t="s">
        <v>1630</v>
      </c>
      <c r="H1315" t="s">
        <v>1630</v>
      </c>
      <c r="I1315" t="s">
        <v>1630</v>
      </c>
    </row>
    <row r="1316" spans="1:9" x14ac:dyDescent="0.2">
      <c r="A1316">
        <v>42</v>
      </c>
      <c r="B1316">
        <v>7</v>
      </c>
      <c r="C1316" t="s">
        <v>8</v>
      </c>
      <c r="D1316">
        <v>0</v>
      </c>
      <c r="E1316">
        <v>0.81355779303703502</v>
      </c>
      <c r="F1316">
        <v>1</v>
      </c>
      <c r="G1316" s="1" t="s">
        <v>1631</v>
      </c>
      <c r="H1316" t="s">
        <v>1631</v>
      </c>
      <c r="I1316" t="s">
        <v>1631</v>
      </c>
    </row>
    <row r="1317" spans="1:9" x14ac:dyDescent="0.2">
      <c r="A1317">
        <v>36</v>
      </c>
      <c r="B1317">
        <v>5</v>
      </c>
      <c r="C1317" t="s">
        <v>10</v>
      </c>
      <c r="D1317">
        <v>0</v>
      </c>
      <c r="E1317">
        <v>0.95610220171511195</v>
      </c>
      <c r="F1317">
        <v>1</v>
      </c>
      <c r="G1317" s="1" t="s">
        <v>1632</v>
      </c>
      <c r="H1317" t="s">
        <v>1632</v>
      </c>
      <c r="I1317" t="s">
        <v>1632</v>
      </c>
    </row>
    <row r="1318" spans="1:9" x14ac:dyDescent="0.2">
      <c r="A1318">
        <v>74</v>
      </c>
      <c r="B1318">
        <v>13</v>
      </c>
      <c r="C1318" t="s">
        <v>10</v>
      </c>
      <c r="D1318">
        <v>0</v>
      </c>
      <c r="E1318">
        <v>0.85580451064743102</v>
      </c>
      <c r="F1318">
        <v>1</v>
      </c>
      <c r="G1318" s="1" t="s">
        <v>1633</v>
      </c>
      <c r="H1318" t="s">
        <v>1633</v>
      </c>
      <c r="I1318" t="s">
        <v>1633</v>
      </c>
    </row>
    <row r="1319" spans="1:9" x14ac:dyDescent="0.2">
      <c r="A1319">
        <v>84</v>
      </c>
      <c r="B1319">
        <v>11</v>
      </c>
      <c r="C1319" t="s">
        <v>16</v>
      </c>
      <c r="D1319">
        <v>0</v>
      </c>
      <c r="E1319">
        <v>0.86934452899731696</v>
      </c>
      <c r="F1319">
        <v>1</v>
      </c>
      <c r="G1319" s="1" t="s">
        <v>1634</v>
      </c>
      <c r="H1319" t="s">
        <v>1634</v>
      </c>
      <c r="I1319" t="s">
        <v>1634</v>
      </c>
    </row>
    <row r="1320" spans="1:9" x14ac:dyDescent="0.2">
      <c r="A1320">
        <v>19</v>
      </c>
      <c r="B1320">
        <v>11</v>
      </c>
      <c r="C1320" t="s">
        <v>10</v>
      </c>
      <c r="D1320">
        <v>1</v>
      </c>
      <c r="E1320">
        <v>0.95321029797196399</v>
      </c>
      <c r="F1320">
        <v>1</v>
      </c>
      <c r="G1320" s="1" t="s">
        <v>1635</v>
      </c>
      <c r="H1320" t="s">
        <v>1635</v>
      </c>
      <c r="I1320" t="s">
        <v>1635</v>
      </c>
    </row>
    <row r="1321" spans="1:9" x14ac:dyDescent="0.2">
      <c r="A1321">
        <v>30</v>
      </c>
      <c r="B1321">
        <v>5</v>
      </c>
      <c r="C1321" t="s">
        <v>8</v>
      </c>
      <c r="D1321">
        <v>1</v>
      </c>
      <c r="E1321">
        <v>0.82462776522152104</v>
      </c>
      <c r="F1321">
        <v>1</v>
      </c>
      <c r="G1321" s="1" t="s">
        <v>1636</v>
      </c>
      <c r="H1321" t="s">
        <v>1636</v>
      </c>
      <c r="I1321" t="s">
        <v>1636</v>
      </c>
    </row>
    <row r="1322" spans="1:9" x14ac:dyDescent="0.2">
      <c r="A1322">
        <v>47</v>
      </c>
      <c r="B1322">
        <v>15</v>
      </c>
      <c r="C1322" t="s">
        <v>10</v>
      </c>
      <c r="D1322">
        <v>0</v>
      </c>
      <c r="E1322">
        <v>0.95989836659282401</v>
      </c>
      <c r="F1322">
        <v>2</v>
      </c>
      <c r="G1322" s="1" t="s">
        <v>1637</v>
      </c>
      <c r="H1322" t="s">
        <v>1638</v>
      </c>
      <c r="I1322" t="s">
        <v>1637</v>
      </c>
    </row>
    <row r="1323" spans="1:9" x14ac:dyDescent="0.2">
      <c r="A1323">
        <v>86</v>
      </c>
      <c r="B1323">
        <v>8</v>
      </c>
      <c r="C1323" t="s">
        <v>10</v>
      </c>
      <c r="D1323">
        <v>1</v>
      </c>
      <c r="E1323">
        <v>0.96522183308843501</v>
      </c>
      <c r="F1323">
        <v>1</v>
      </c>
      <c r="G1323" s="1" t="s">
        <v>1639</v>
      </c>
      <c r="H1323" t="s">
        <v>1639</v>
      </c>
      <c r="I1323" t="s">
        <v>1639</v>
      </c>
    </row>
    <row r="1324" spans="1:9" x14ac:dyDescent="0.2">
      <c r="A1324">
        <v>28</v>
      </c>
      <c r="B1324">
        <v>1</v>
      </c>
      <c r="C1324" t="s">
        <v>8</v>
      </c>
      <c r="D1324">
        <v>0</v>
      </c>
      <c r="E1324">
        <v>0.95932610752060998</v>
      </c>
      <c r="F1324">
        <v>2</v>
      </c>
      <c r="G1324" s="1" t="s">
        <v>1640</v>
      </c>
      <c r="H1324" t="s">
        <v>1641</v>
      </c>
      <c r="I1324" t="s">
        <v>1640</v>
      </c>
    </row>
    <row r="1325" spans="1:9" x14ac:dyDescent="0.2">
      <c r="A1325">
        <v>61</v>
      </c>
      <c r="B1325">
        <v>10</v>
      </c>
      <c r="C1325" t="s">
        <v>8</v>
      </c>
      <c r="D1325">
        <v>0</v>
      </c>
      <c r="E1325">
        <v>0.84398540470283501</v>
      </c>
      <c r="F1325">
        <v>1</v>
      </c>
      <c r="G1325" s="1" t="s">
        <v>1642</v>
      </c>
      <c r="H1325" t="s">
        <v>1642</v>
      </c>
      <c r="I1325" t="s">
        <v>1642</v>
      </c>
    </row>
    <row r="1326" spans="1:9" x14ac:dyDescent="0.2">
      <c r="A1326">
        <v>89</v>
      </c>
      <c r="B1326">
        <v>9</v>
      </c>
      <c r="C1326" t="s">
        <v>16</v>
      </c>
      <c r="D1326">
        <v>1</v>
      </c>
      <c r="E1326">
        <v>0.73963969841133803</v>
      </c>
      <c r="F1326">
        <v>1</v>
      </c>
      <c r="G1326" s="1" t="s">
        <v>1643</v>
      </c>
      <c r="H1326" t="s">
        <v>1643</v>
      </c>
      <c r="I1326" t="s">
        <v>1643</v>
      </c>
    </row>
    <row r="1327" spans="1:9" x14ac:dyDescent="0.2">
      <c r="A1327">
        <v>41</v>
      </c>
      <c r="B1327">
        <v>11</v>
      </c>
      <c r="C1327" t="s">
        <v>8</v>
      </c>
      <c r="D1327">
        <v>1</v>
      </c>
      <c r="E1327">
        <v>0.805961316335015</v>
      </c>
      <c r="F1327">
        <v>1</v>
      </c>
      <c r="G1327" s="1" t="s">
        <v>1644</v>
      </c>
      <c r="H1327" t="s">
        <v>1644</v>
      </c>
      <c r="I1327" t="s">
        <v>1644</v>
      </c>
    </row>
    <row r="1328" spans="1:9" x14ac:dyDescent="0.2">
      <c r="A1328">
        <v>62</v>
      </c>
      <c r="B1328">
        <v>11</v>
      </c>
      <c r="C1328" t="s">
        <v>16</v>
      </c>
      <c r="D1328">
        <v>0</v>
      </c>
      <c r="E1328">
        <v>0.627922523184679</v>
      </c>
      <c r="F1328">
        <v>1</v>
      </c>
      <c r="G1328" s="1" t="s">
        <v>1645</v>
      </c>
      <c r="H1328" t="s">
        <v>1645</v>
      </c>
      <c r="I1328" t="s">
        <v>1645</v>
      </c>
    </row>
    <row r="1329" spans="1:9" x14ac:dyDescent="0.2">
      <c r="A1329">
        <v>76</v>
      </c>
      <c r="B1329">
        <v>8</v>
      </c>
      <c r="C1329" t="s">
        <v>8</v>
      </c>
      <c r="D1329">
        <v>1</v>
      </c>
      <c r="E1329">
        <v>0.76278659212402999</v>
      </c>
      <c r="F1329">
        <v>1</v>
      </c>
      <c r="G1329" s="1" t="s">
        <v>1646</v>
      </c>
      <c r="H1329" t="s">
        <v>1646</v>
      </c>
      <c r="I1329" t="s">
        <v>1646</v>
      </c>
    </row>
    <row r="1330" spans="1:9" x14ac:dyDescent="0.2">
      <c r="A1330">
        <v>82</v>
      </c>
      <c r="B1330">
        <v>2</v>
      </c>
      <c r="C1330" t="s">
        <v>16</v>
      </c>
      <c r="D1330">
        <v>0</v>
      </c>
      <c r="E1330">
        <v>0.83331679971888695</v>
      </c>
      <c r="F1330">
        <v>1</v>
      </c>
      <c r="G1330" s="1" t="s">
        <v>1647</v>
      </c>
      <c r="H1330" t="s">
        <v>1647</v>
      </c>
      <c r="I1330" t="s">
        <v>1647</v>
      </c>
    </row>
    <row r="1331" spans="1:9" x14ac:dyDescent="0.2">
      <c r="A1331">
        <v>59</v>
      </c>
      <c r="B1331">
        <v>12</v>
      </c>
      <c r="C1331" t="s">
        <v>10</v>
      </c>
      <c r="D1331">
        <v>1</v>
      </c>
      <c r="E1331">
        <v>0.792898638406768</v>
      </c>
      <c r="F1331">
        <v>1</v>
      </c>
      <c r="G1331" s="1" t="s">
        <v>1648</v>
      </c>
      <c r="H1331" t="s">
        <v>1648</v>
      </c>
      <c r="I1331" t="s">
        <v>1648</v>
      </c>
    </row>
    <row r="1332" spans="1:9" x14ac:dyDescent="0.2">
      <c r="A1332">
        <v>88</v>
      </c>
      <c r="B1332">
        <v>1</v>
      </c>
      <c r="C1332" t="s">
        <v>10</v>
      </c>
      <c r="D1332">
        <v>0</v>
      </c>
      <c r="E1332">
        <v>0.85257747268769901</v>
      </c>
      <c r="F1332">
        <v>1</v>
      </c>
      <c r="G1332" s="1" t="s">
        <v>1649</v>
      </c>
      <c r="H1332" t="s">
        <v>1649</v>
      </c>
      <c r="I1332" t="s">
        <v>1649</v>
      </c>
    </row>
    <row r="1333" spans="1:9" x14ac:dyDescent="0.2">
      <c r="A1333">
        <v>37</v>
      </c>
      <c r="B1333">
        <v>13</v>
      </c>
      <c r="C1333" t="s">
        <v>8</v>
      </c>
      <c r="D1333">
        <v>1</v>
      </c>
      <c r="E1333">
        <v>0.91589870175812405</v>
      </c>
      <c r="F1333">
        <v>1</v>
      </c>
      <c r="G1333" s="1" t="s">
        <v>1650</v>
      </c>
      <c r="H1333" t="s">
        <v>1650</v>
      </c>
      <c r="I1333" t="s">
        <v>1650</v>
      </c>
    </row>
    <row r="1334" spans="1:9" x14ac:dyDescent="0.2">
      <c r="A1334">
        <v>37</v>
      </c>
      <c r="B1334">
        <v>7</v>
      </c>
      <c r="C1334" t="s">
        <v>10</v>
      </c>
      <c r="D1334">
        <v>0</v>
      </c>
      <c r="E1334">
        <v>0.85353478149045303</v>
      </c>
      <c r="F1334">
        <v>1</v>
      </c>
      <c r="G1334" s="1" t="s">
        <v>1651</v>
      </c>
      <c r="H1334" t="s">
        <v>1651</v>
      </c>
      <c r="I1334" t="s">
        <v>1651</v>
      </c>
    </row>
    <row r="1335" spans="1:9" x14ac:dyDescent="0.2">
      <c r="A1335">
        <v>86</v>
      </c>
      <c r="B1335">
        <v>11</v>
      </c>
      <c r="C1335" t="s">
        <v>10</v>
      </c>
      <c r="D1335">
        <v>1</v>
      </c>
      <c r="E1335">
        <v>0.95910073420964204</v>
      </c>
      <c r="F1335">
        <v>1</v>
      </c>
      <c r="G1335" s="1" t="s">
        <v>1652</v>
      </c>
      <c r="H1335" t="s">
        <v>1652</v>
      </c>
      <c r="I1335" t="s">
        <v>1652</v>
      </c>
    </row>
    <row r="1336" spans="1:9" x14ac:dyDescent="0.2">
      <c r="A1336">
        <v>89</v>
      </c>
      <c r="B1336">
        <v>11</v>
      </c>
      <c r="C1336" t="s">
        <v>16</v>
      </c>
      <c r="D1336">
        <v>0</v>
      </c>
      <c r="E1336">
        <v>0.81422838207799897</v>
      </c>
      <c r="F1336">
        <v>1</v>
      </c>
      <c r="G1336" s="1" t="s">
        <v>1653</v>
      </c>
      <c r="H1336" t="s">
        <v>1653</v>
      </c>
      <c r="I1336" t="s">
        <v>1653</v>
      </c>
    </row>
    <row r="1337" spans="1:9" x14ac:dyDescent="0.2">
      <c r="A1337">
        <v>33</v>
      </c>
      <c r="B1337">
        <v>10</v>
      </c>
      <c r="C1337" t="s">
        <v>8</v>
      </c>
      <c r="D1337">
        <v>0</v>
      </c>
      <c r="E1337">
        <v>0.77468329737894204</v>
      </c>
      <c r="F1337">
        <v>2</v>
      </c>
      <c r="G1337" s="1" t="s">
        <v>1654</v>
      </c>
      <c r="H1337" t="s">
        <v>1655</v>
      </c>
      <c r="I1337" t="s">
        <v>1654</v>
      </c>
    </row>
    <row r="1338" spans="1:9" x14ac:dyDescent="0.2">
      <c r="A1338">
        <v>72</v>
      </c>
      <c r="B1338">
        <v>7</v>
      </c>
      <c r="C1338" t="s">
        <v>8</v>
      </c>
      <c r="D1338">
        <v>0</v>
      </c>
      <c r="E1338">
        <v>0.677112589590251</v>
      </c>
      <c r="F1338">
        <v>1</v>
      </c>
      <c r="G1338" s="1" t="s">
        <v>1656</v>
      </c>
      <c r="H1338" t="s">
        <v>1656</v>
      </c>
      <c r="I1338" t="s">
        <v>1656</v>
      </c>
    </row>
    <row r="1339" spans="1:9" x14ac:dyDescent="0.2">
      <c r="A1339">
        <v>66</v>
      </c>
      <c r="B1339">
        <v>11</v>
      </c>
      <c r="C1339" t="s">
        <v>16</v>
      </c>
      <c r="D1339">
        <v>0</v>
      </c>
      <c r="E1339">
        <v>0.97625268076080796</v>
      </c>
      <c r="F1339">
        <v>2</v>
      </c>
      <c r="G1339" s="1" t="s">
        <v>1657</v>
      </c>
      <c r="H1339" t="s">
        <v>1658</v>
      </c>
      <c r="I1339" t="s">
        <v>1657</v>
      </c>
    </row>
    <row r="1340" spans="1:9" x14ac:dyDescent="0.2">
      <c r="A1340">
        <v>62</v>
      </c>
      <c r="B1340">
        <v>1</v>
      </c>
      <c r="C1340" t="s">
        <v>10</v>
      </c>
      <c r="D1340">
        <v>3</v>
      </c>
      <c r="E1340">
        <v>0.75906941667199102</v>
      </c>
      <c r="F1340">
        <v>1</v>
      </c>
      <c r="G1340" s="1" t="s">
        <v>1659</v>
      </c>
      <c r="H1340" t="s">
        <v>1659</v>
      </c>
      <c r="I1340" t="s">
        <v>1659</v>
      </c>
    </row>
    <row r="1341" spans="1:9" x14ac:dyDescent="0.2">
      <c r="A1341">
        <v>46</v>
      </c>
      <c r="B1341">
        <v>14</v>
      </c>
      <c r="C1341" t="s">
        <v>16</v>
      </c>
      <c r="D1341">
        <v>1</v>
      </c>
      <c r="E1341">
        <v>0.72420861118007496</v>
      </c>
      <c r="F1341">
        <v>1</v>
      </c>
      <c r="G1341" s="1" t="s">
        <v>1660</v>
      </c>
      <c r="H1341" t="s">
        <v>1660</v>
      </c>
      <c r="I1341" t="s">
        <v>1660</v>
      </c>
    </row>
    <row r="1342" spans="1:9" x14ac:dyDescent="0.2">
      <c r="A1342">
        <v>81</v>
      </c>
      <c r="B1342">
        <v>6</v>
      </c>
      <c r="C1342" t="s">
        <v>8</v>
      </c>
      <c r="D1342">
        <v>2</v>
      </c>
      <c r="E1342">
        <v>0.73775904765352596</v>
      </c>
      <c r="F1342">
        <v>1</v>
      </c>
      <c r="G1342" s="1" t="s">
        <v>1661</v>
      </c>
      <c r="H1342" t="s">
        <v>1661</v>
      </c>
      <c r="I1342" t="s">
        <v>1661</v>
      </c>
    </row>
    <row r="1343" spans="1:9" x14ac:dyDescent="0.2">
      <c r="A1343">
        <v>53</v>
      </c>
      <c r="B1343">
        <v>7</v>
      </c>
      <c r="C1343" t="s">
        <v>10</v>
      </c>
      <c r="D1343">
        <v>1</v>
      </c>
      <c r="E1343">
        <v>0.80306803039275099</v>
      </c>
      <c r="F1343">
        <v>1</v>
      </c>
      <c r="G1343" s="1" t="s">
        <v>1662</v>
      </c>
      <c r="H1343" t="s">
        <v>1662</v>
      </c>
      <c r="I1343" t="s">
        <v>1662</v>
      </c>
    </row>
    <row r="1344" spans="1:9" x14ac:dyDescent="0.2">
      <c r="A1344">
        <v>85</v>
      </c>
      <c r="B1344">
        <v>0</v>
      </c>
      <c r="C1344" t="s">
        <v>8</v>
      </c>
      <c r="D1344">
        <v>0</v>
      </c>
      <c r="E1344">
        <v>0.86009266448672905</v>
      </c>
      <c r="F1344">
        <v>1</v>
      </c>
      <c r="G1344" s="1" t="s">
        <v>1663</v>
      </c>
      <c r="H1344" t="s">
        <v>1663</v>
      </c>
      <c r="I1344" t="s">
        <v>1663</v>
      </c>
    </row>
    <row r="1345" spans="1:9" x14ac:dyDescent="0.2">
      <c r="A1345">
        <v>67</v>
      </c>
      <c r="B1345">
        <v>11</v>
      </c>
      <c r="C1345" t="s">
        <v>8</v>
      </c>
      <c r="D1345">
        <v>0</v>
      </c>
      <c r="E1345">
        <v>0.51334022753872</v>
      </c>
      <c r="F1345">
        <v>1</v>
      </c>
      <c r="G1345" s="1" t="s">
        <v>1664</v>
      </c>
      <c r="H1345" t="s">
        <v>1664</v>
      </c>
      <c r="I1345" t="s">
        <v>1664</v>
      </c>
    </row>
    <row r="1346" spans="1:9" x14ac:dyDescent="0.2">
      <c r="A1346">
        <v>58</v>
      </c>
      <c r="B1346">
        <v>11</v>
      </c>
      <c r="C1346" t="s">
        <v>8</v>
      </c>
      <c r="D1346">
        <v>1</v>
      </c>
      <c r="E1346">
        <v>0.51551127783022799</v>
      </c>
      <c r="F1346">
        <v>1</v>
      </c>
      <c r="G1346" s="1" t="s">
        <v>1665</v>
      </c>
      <c r="H1346" t="s">
        <v>1665</v>
      </c>
      <c r="I1346" t="s">
        <v>1665</v>
      </c>
    </row>
    <row r="1347" spans="1:9" x14ac:dyDescent="0.2">
      <c r="A1347">
        <v>89</v>
      </c>
      <c r="B1347">
        <v>10</v>
      </c>
      <c r="C1347" t="s">
        <v>10</v>
      </c>
      <c r="D1347">
        <v>0</v>
      </c>
      <c r="E1347">
        <v>0.93274365540128201</v>
      </c>
      <c r="F1347">
        <v>1</v>
      </c>
      <c r="G1347" s="1" t="s">
        <v>1666</v>
      </c>
      <c r="H1347" t="s">
        <v>1666</v>
      </c>
      <c r="I1347" t="s">
        <v>1666</v>
      </c>
    </row>
    <row r="1348" spans="1:9" x14ac:dyDescent="0.2">
      <c r="A1348">
        <v>79</v>
      </c>
      <c r="B1348">
        <v>5</v>
      </c>
      <c r="C1348" t="s">
        <v>16</v>
      </c>
      <c r="D1348">
        <v>0</v>
      </c>
      <c r="E1348">
        <v>0.71914840058889196</v>
      </c>
      <c r="F1348">
        <v>1</v>
      </c>
      <c r="G1348" s="1" t="s">
        <v>1667</v>
      </c>
      <c r="H1348" t="s">
        <v>1667</v>
      </c>
      <c r="I1348" t="s">
        <v>1667</v>
      </c>
    </row>
    <row r="1349" spans="1:9" x14ac:dyDescent="0.2">
      <c r="A1349">
        <v>60</v>
      </c>
      <c r="B1349">
        <v>3</v>
      </c>
      <c r="C1349" t="s">
        <v>16</v>
      </c>
      <c r="D1349">
        <v>0</v>
      </c>
      <c r="E1349">
        <v>0.85041003173682805</v>
      </c>
      <c r="F1349">
        <v>1</v>
      </c>
      <c r="G1349" s="1" t="s">
        <v>1668</v>
      </c>
      <c r="H1349" t="s">
        <v>1668</v>
      </c>
      <c r="I1349" t="s">
        <v>1668</v>
      </c>
    </row>
    <row r="1350" spans="1:9" x14ac:dyDescent="0.2">
      <c r="A1350">
        <v>40</v>
      </c>
      <c r="B1350">
        <v>2</v>
      </c>
      <c r="C1350" t="s">
        <v>16</v>
      </c>
      <c r="D1350">
        <v>1</v>
      </c>
      <c r="E1350">
        <v>0.82951990643050499</v>
      </c>
      <c r="F1350">
        <v>1</v>
      </c>
      <c r="G1350" s="1" t="s">
        <v>1669</v>
      </c>
      <c r="H1350" t="s">
        <v>1669</v>
      </c>
      <c r="I1350" t="s">
        <v>1669</v>
      </c>
    </row>
    <row r="1351" spans="1:9" x14ac:dyDescent="0.2">
      <c r="A1351">
        <v>52</v>
      </c>
      <c r="B1351">
        <v>13</v>
      </c>
      <c r="C1351" t="s">
        <v>10</v>
      </c>
      <c r="D1351">
        <v>1</v>
      </c>
      <c r="E1351">
        <v>0.86918557994067702</v>
      </c>
      <c r="F1351">
        <v>1</v>
      </c>
      <c r="G1351" s="1" t="s">
        <v>1670</v>
      </c>
      <c r="H1351" t="s">
        <v>1670</v>
      </c>
      <c r="I1351" t="s">
        <v>1670</v>
      </c>
    </row>
    <row r="1352" spans="1:9" x14ac:dyDescent="0.2">
      <c r="A1352">
        <v>72</v>
      </c>
      <c r="B1352">
        <v>13</v>
      </c>
      <c r="C1352" t="s">
        <v>8</v>
      </c>
      <c r="D1352">
        <v>1</v>
      </c>
      <c r="E1352">
        <v>0.57117137126624595</v>
      </c>
      <c r="F1352">
        <v>2</v>
      </c>
      <c r="G1352" s="1" t="s">
        <v>1671</v>
      </c>
      <c r="H1352" t="s">
        <v>1672</v>
      </c>
      <c r="I1352" t="s">
        <v>1671</v>
      </c>
    </row>
    <row r="1353" spans="1:9" x14ac:dyDescent="0.2">
      <c r="A1353">
        <v>27</v>
      </c>
      <c r="B1353">
        <v>9</v>
      </c>
      <c r="C1353" t="s">
        <v>16</v>
      </c>
      <c r="D1353">
        <v>0</v>
      </c>
      <c r="E1353">
        <v>0.54303659033030305</v>
      </c>
      <c r="F1353">
        <v>1</v>
      </c>
      <c r="G1353" s="1" t="s">
        <v>1673</v>
      </c>
      <c r="H1353" t="s">
        <v>1673</v>
      </c>
      <c r="I1353" t="s">
        <v>1673</v>
      </c>
    </row>
    <row r="1354" spans="1:9" x14ac:dyDescent="0.2">
      <c r="A1354">
        <v>60</v>
      </c>
      <c r="B1354">
        <v>10</v>
      </c>
      <c r="C1354" t="s">
        <v>10</v>
      </c>
      <c r="D1354">
        <v>0</v>
      </c>
      <c r="E1354">
        <v>0.94842770951800004</v>
      </c>
      <c r="F1354">
        <v>1</v>
      </c>
      <c r="G1354" s="1" t="s">
        <v>1674</v>
      </c>
      <c r="H1354" t="s">
        <v>1674</v>
      </c>
      <c r="I1354" t="s">
        <v>1674</v>
      </c>
    </row>
    <row r="1355" spans="1:9" x14ac:dyDescent="0.2">
      <c r="A1355">
        <v>43</v>
      </c>
      <c r="B1355">
        <v>0</v>
      </c>
      <c r="C1355" t="s">
        <v>8</v>
      </c>
      <c r="D1355">
        <v>0</v>
      </c>
      <c r="E1355">
        <v>0.98962485860101901</v>
      </c>
      <c r="F1355">
        <v>1</v>
      </c>
      <c r="G1355" s="1" t="s">
        <v>1675</v>
      </c>
      <c r="H1355" t="s">
        <v>1675</v>
      </c>
      <c r="I1355" t="s">
        <v>1675</v>
      </c>
    </row>
    <row r="1356" spans="1:9" x14ac:dyDescent="0.2">
      <c r="A1356">
        <v>37</v>
      </c>
      <c r="B1356">
        <v>10</v>
      </c>
      <c r="C1356" t="s">
        <v>10</v>
      </c>
      <c r="D1356">
        <v>0</v>
      </c>
      <c r="E1356">
        <v>0.538230462931097</v>
      </c>
      <c r="F1356">
        <v>2</v>
      </c>
      <c r="G1356" s="1" t="s">
        <v>1676</v>
      </c>
      <c r="H1356" t="s">
        <v>1677</v>
      </c>
      <c r="I1356" t="s">
        <v>1676</v>
      </c>
    </row>
    <row r="1357" spans="1:9" x14ac:dyDescent="0.2">
      <c r="A1357">
        <v>75</v>
      </c>
      <c r="B1357">
        <v>6</v>
      </c>
      <c r="C1357" t="s">
        <v>8</v>
      </c>
      <c r="D1357">
        <v>0</v>
      </c>
      <c r="E1357">
        <v>0.93664481968153301</v>
      </c>
      <c r="F1357">
        <v>1</v>
      </c>
      <c r="G1357" s="1" t="s">
        <v>1678</v>
      </c>
      <c r="H1357" t="s">
        <v>1678</v>
      </c>
      <c r="I1357" t="s">
        <v>1678</v>
      </c>
    </row>
    <row r="1358" spans="1:9" x14ac:dyDescent="0.2">
      <c r="A1358">
        <v>38</v>
      </c>
      <c r="B1358">
        <v>11</v>
      </c>
      <c r="C1358" t="s">
        <v>16</v>
      </c>
      <c r="D1358">
        <v>0</v>
      </c>
      <c r="E1358">
        <v>0.96340916235931195</v>
      </c>
      <c r="F1358">
        <v>2</v>
      </c>
      <c r="G1358" s="1" t="s">
        <v>1679</v>
      </c>
      <c r="H1358" t="s">
        <v>1680</v>
      </c>
      <c r="I1358" t="s">
        <v>1679</v>
      </c>
    </row>
    <row r="1359" spans="1:9" x14ac:dyDescent="0.2">
      <c r="A1359">
        <v>58</v>
      </c>
      <c r="B1359">
        <v>4</v>
      </c>
      <c r="C1359" t="s">
        <v>16</v>
      </c>
      <c r="D1359">
        <v>1</v>
      </c>
      <c r="E1359">
        <v>0.54860866710078005</v>
      </c>
      <c r="F1359">
        <v>1</v>
      </c>
      <c r="G1359" s="1" t="s">
        <v>1681</v>
      </c>
      <c r="H1359" t="s">
        <v>1681</v>
      </c>
      <c r="I1359" t="s">
        <v>1681</v>
      </c>
    </row>
    <row r="1360" spans="1:9" x14ac:dyDescent="0.2">
      <c r="A1360">
        <v>63</v>
      </c>
      <c r="B1360">
        <v>13</v>
      </c>
      <c r="C1360" t="s">
        <v>8</v>
      </c>
      <c r="D1360">
        <v>1</v>
      </c>
      <c r="E1360">
        <v>0.72022247663699102</v>
      </c>
      <c r="F1360">
        <v>1</v>
      </c>
      <c r="G1360" s="1" t="s">
        <v>1682</v>
      </c>
      <c r="H1360" t="s">
        <v>1682</v>
      </c>
      <c r="I1360" t="s">
        <v>1682</v>
      </c>
    </row>
    <row r="1361" spans="1:9" x14ac:dyDescent="0.2">
      <c r="A1361">
        <v>80</v>
      </c>
      <c r="B1361">
        <v>13</v>
      </c>
      <c r="C1361" t="s">
        <v>10</v>
      </c>
      <c r="D1361">
        <v>0</v>
      </c>
      <c r="E1361">
        <v>0.66389414272271097</v>
      </c>
      <c r="F1361">
        <v>1</v>
      </c>
      <c r="G1361" s="1" t="s">
        <v>1683</v>
      </c>
      <c r="H1361" t="s">
        <v>1683</v>
      </c>
      <c r="I1361" t="s">
        <v>1683</v>
      </c>
    </row>
    <row r="1362" spans="1:9" x14ac:dyDescent="0.2">
      <c r="A1362">
        <v>79</v>
      </c>
      <c r="B1362">
        <v>14</v>
      </c>
      <c r="C1362" t="s">
        <v>16</v>
      </c>
      <c r="D1362">
        <v>0</v>
      </c>
      <c r="E1362">
        <v>0.93926261411979795</v>
      </c>
      <c r="F1362">
        <v>1</v>
      </c>
      <c r="G1362" s="1" t="s">
        <v>1684</v>
      </c>
      <c r="H1362" t="s">
        <v>1684</v>
      </c>
      <c r="I1362" t="s">
        <v>1684</v>
      </c>
    </row>
    <row r="1363" spans="1:9" x14ac:dyDescent="0.2">
      <c r="A1363">
        <v>79</v>
      </c>
      <c r="B1363">
        <v>14</v>
      </c>
      <c r="C1363" t="s">
        <v>16</v>
      </c>
      <c r="D1363">
        <v>3</v>
      </c>
      <c r="E1363">
        <v>0.67151694395579398</v>
      </c>
      <c r="F1363">
        <v>2</v>
      </c>
      <c r="G1363" s="1" t="s">
        <v>1685</v>
      </c>
      <c r="H1363" t="s">
        <v>1686</v>
      </c>
      <c r="I1363" t="s">
        <v>1685</v>
      </c>
    </row>
    <row r="1364" spans="1:9" x14ac:dyDescent="0.2">
      <c r="A1364">
        <v>67</v>
      </c>
      <c r="B1364">
        <v>0</v>
      </c>
      <c r="C1364" t="s">
        <v>16</v>
      </c>
      <c r="D1364">
        <v>1</v>
      </c>
      <c r="E1364">
        <v>0.50877916195895501</v>
      </c>
      <c r="F1364">
        <v>1</v>
      </c>
      <c r="G1364" s="1" t="s">
        <v>1687</v>
      </c>
      <c r="H1364" t="s">
        <v>1687</v>
      </c>
      <c r="I1364" t="s">
        <v>1687</v>
      </c>
    </row>
    <row r="1365" spans="1:9" x14ac:dyDescent="0.2">
      <c r="A1365">
        <v>52</v>
      </c>
      <c r="B1365">
        <v>2</v>
      </c>
      <c r="C1365" t="s">
        <v>10</v>
      </c>
      <c r="D1365">
        <v>0</v>
      </c>
      <c r="E1365">
        <v>0.64042238949332397</v>
      </c>
      <c r="F1365">
        <v>1</v>
      </c>
      <c r="G1365" s="1" t="s">
        <v>1688</v>
      </c>
      <c r="H1365" t="s">
        <v>1688</v>
      </c>
      <c r="I1365" t="s">
        <v>1688</v>
      </c>
    </row>
    <row r="1366" spans="1:9" x14ac:dyDescent="0.2">
      <c r="A1366">
        <v>21</v>
      </c>
      <c r="B1366">
        <v>2</v>
      </c>
      <c r="C1366" t="s">
        <v>16</v>
      </c>
      <c r="D1366">
        <v>1</v>
      </c>
      <c r="E1366">
        <v>0.79984339093789503</v>
      </c>
      <c r="F1366">
        <v>1</v>
      </c>
      <c r="G1366" s="1" t="s">
        <v>1689</v>
      </c>
      <c r="H1366" t="s">
        <v>1689</v>
      </c>
      <c r="I1366" t="s">
        <v>1689</v>
      </c>
    </row>
    <row r="1367" spans="1:9" x14ac:dyDescent="0.2">
      <c r="A1367">
        <v>48</v>
      </c>
      <c r="B1367">
        <v>8</v>
      </c>
      <c r="C1367" t="s">
        <v>10</v>
      </c>
      <c r="D1367">
        <v>0</v>
      </c>
      <c r="E1367">
        <v>0.60384468897245802</v>
      </c>
      <c r="F1367">
        <v>1</v>
      </c>
      <c r="G1367" s="1" t="s">
        <v>1690</v>
      </c>
      <c r="H1367" t="s">
        <v>1690</v>
      </c>
      <c r="I1367" t="s">
        <v>1690</v>
      </c>
    </row>
    <row r="1368" spans="1:9" x14ac:dyDescent="0.2">
      <c r="A1368">
        <v>43</v>
      </c>
      <c r="B1368">
        <v>13</v>
      </c>
      <c r="C1368" t="s">
        <v>10</v>
      </c>
      <c r="D1368">
        <v>0</v>
      </c>
      <c r="E1368">
        <v>0.70333289343398098</v>
      </c>
      <c r="F1368">
        <v>1</v>
      </c>
      <c r="G1368" s="1" t="s">
        <v>1691</v>
      </c>
      <c r="H1368" t="s">
        <v>1691</v>
      </c>
      <c r="I1368" t="s">
        <v>1691</v>
      </c>
    </row>
    <row r="1369" spans="1:9" x14ac:dyDescent="0.2">
      <c r="A1369">
        <v>85</v>
      </c>
      <c r="B1369">
        <v>3</v>
      </c>
      <c r="C1369" t="s">
        <v>8</v>
      </c>
      <c r="D1369">
        <v>0</v>
      </c>
      <c r="E1369">
        <v>0.984817120945081</v>
      </c>
      <c r="F1369">
        <v>1</v>
      </c>
      <c r="G1369" s="1" t="s">
        <v>1692</v>
      </c>
      <c r="H1369" t="s">
        <v>1692</v>
      </c>
      <c r="I1369" t="s">
        <v>1692</v>
      </c>
    </row>
    <row r="1370" spans="1:9" x14ac:dyDescent="0.2">
      <c r="A1370">
        <v>76</v>
      </c>
      <c r="B1370">
        <v>2</v>
      </c>
      <c r="C1370" t="s">
        <v>10</v>
      </c>
      <c r="D1370">
        <v>1</v>
      </c>
      <c r="E1370">
        <v>0.95104398252442501</v>
      </c>
      <c r="F1370">
        <v>1</v>
      </c>
      <c r="G1370" s="1" t="s">
        <v>1693</v>
      </c>
      <c r="H1370" t="s">
        <v>1693</v>
      </c>
      <c r="I1370" t="s">
        <v>1693</v>
      </c>
    </row>
    <row r="1371" spans="1:9" x14ac:dyDescent="0.2">
      <c r="A1371">
        <v>70</v>
      </c>
      <c r="B1371">
        <v>7</v>
      </c>
      <c r="C1371" t="s">
        <v>16</v>
      </c>
      <c r="D1371">
        <v>0</v>
      </c>
      <c r="E1371">
        <v>0.57685755391139504</v>
      </c>
      <c r="F1371">
        <v>1</v>
      </c>
      <c r="G1371" s="1" t="s">
        <v>1694</v>
      </c>
      <c r="H1371" t="s">
        <v>1694</v>
      </c>
      <c r="I1371" t="s">
        <v>1694</v>
      </c>
    </row>
    <row r="1372" spans="1:9" x14ac:dyDescent="0.2">
      <c r="A1372">
        <v>60</v>
      </c>
      <c r="B1372">
        <v>1</v>
      </c>
      <c r="C1372" t="s">
        <v>10</v>
      </c>
      <c r="D1372">
        <v>0</v>
      </c>
      <c r="E1372">
        <v>0.75635284895542998</v>
      </c>
      <c r="F1372">
        <v>1</v>
      </c>
      <c r="G1372" s="1" t="s">
        <v>1695</v>
      </c>
      <c r="H1372" t="s">
        <v>1695</v>
      </c>
      <c r="I1372" t="s">
        <v>1695</v>
      </c>
    </row>
    <row r="1373" spans="1:9" x14ac:dyDescent="0.2">
      <c r="A1373">
        <v>61</v>
      </c>
      <c r="B1373">
        <v>9</v>
      </c>
      <c r="C1373" t="s">
        <v>8</v>
      </c>
      <c r="D1373">
        <v>2</v>
      </c>
      <c r="E1373">
        <v>0.92002004629466705</v>
      </c>
      <c r="F1373">
        <v>1</v>
      </c>
      <c r="G1373" s="1" t="s">
        <v>1696</v>
      </c>
      <c r="H1373" t="s">
        <v>1696</v>
      </c>
      <c r="I1373" t="s">
        <v>1696</v>
      </c>
    </row>
    <row r="1374" spans="1:9" x14ac:dyDescent="0.2">
      <c r="A1374">
        <v>80</v>
      </c>
      <c r="B1374">
        <v>3</v>
      </c>
      <c r="C1374" t="s">
        <v>8</v>
      </c>
      <c r="D1374">
        <v>1</v>
      </c>
      <c r="E1374">
        <v>0.66382228990551095</v>
      </c>
      <c r="F1374">
        <v>1</v>
      </c>
      <c r="G1374" s="1" t="s">
        <v>1697</v>
      </c>
      <c r="H1374" t="s">
        <v>1697</v>
      </c>
      <c r="I1374" t="s">
        <v>1697</v>
      </c>
    </row>
    <row r="1375" spans="1:9" x14ac:dyDescent="0.2">
      <c r="A1375">
        <v>30</v>
      </c>
      <c r="B1375">
        <v>13</v>
      </c>
      <c r="C1375" t="s">
        <v>8</v>
      </c>
      <c r="D1375">
        <v>0</v>
      </c>
      <c r="E1375">
        <v>0.54930352035444197</v>
      </c>
      <c r="F1375">
        <v>1</v>
      </c>
      <c r="G1375" s="1" t="s">
        <v>1698</v>
      </c>
      <c r="H1375" t="s">
        <v>1698</v>
      </c>
      <c r="I1375" t="s">
        <v>1698</v>
      </c>
    </row>
    <row r="1376" spans="1:9" x14ac:dyDescent="0.2">
      <c r="A1376">
        <v>85</v>
      </c>
      <c r="B1376">
        <v>6</v>
      </c>
      <c r="C1376" t="s">
        <v>16</v>
      </c>
      <c r="D1376">
        <v>0</v>
      </c>
      <c r="E1376">
        <v>0.64042079029604804</v>
      </c>
      <c r="F1376">
        <v>1</v>
      </c>
      <c r="G1376" s="1" t="s">
        <v>1699</v>
      </c>
      <c r="H1376" t="s">
        <v>1699</v>
      </c>
      <c r="I1376" t="s">
        <v>1699</v>
      </c>
    </row>
    <row r="1377" spans="1:9" x14ac:dyDescent="0.2">
      <c r="A1377">
        <v>75</v>
      </c>
      <c r="B1377">
        <v>4</v>
      </c>
      <c r="C1377" t="s">
        <v>10</v>
      </c>
      <c r="D1377">
        <v>1</v>
      </c>
      <c r="E1377">
        <v>0.91558557120151796</v>
      </c>
      <c r="F1377">
        <v>1</v>
      </c>
      <c r="G1377" s="1" t="s">
        <v>1700</v>
      </c>
      <c r="H1377" t="s">
        <v>1700</v>
      </c>
      <c r="I1377" t="s">
        <v>1700</v>
      </c>
    </row>
    <row r="1378" spans="1:9" x14ac:dyDescent="0.2">
      <c r="A1378">
        <v>21</v>
      </c>
      <c r="B1378">
        <v>2</v>
      </c>
      <c r="C1378" t="s">
        <v>8</v>
      </c>
      <c r="D1378">
        <v>1</v>
      </c>
      <c r="E1378">
        <v>0.83914611791260496</v>
      </c>
      <c r="F1378">
        <v>1</v>
      </c>
      <c r="G1378" s="1" t="s">
        <v>1701</v>
      </c>
      <c r="H1378" t="s">
        <v>1701</v>
      </c>
      <c r="I1378" t="s">
        <v>1701</v>
      </c>
    </row>
    <row r="1379" spans="1:9" x14ac:dyDescent="0.2">
      <c r="A1379">
        <v>38</v>
      </c>
      <c r="B1379">
        <v>6</v>
      </c>
      <c r="C1379" t="s">
        <v>16</v>
      </c>
      <c r="D1379">
        <v>0</v>
      </c>
      <c r="E1379">
        <v>0.70249809208325997</v>
      </c>
      <c r="F1379">
        <v>1</v>
      </c>
      <c r="G1379" s="1" t="s">
        <v>1702</v>
      </c>
      <c r="H1379" t="s">
        <v>1702</v>
      </c>
      <c r="I1379" t="s">
        <v>1702</v>
      </c>
    </row>
    <row r="1380" spans="1:9" x14ac:dyDescent="0.2">
      <c r="A1380">
        <v>70</v>
      </c>
      <c r="B1380">
        <v>11</v>
      </c>
      <c r="C1380" t="s">
        <v>8</v>
      </c>
      <c r="D1380">
        <v>0</v>
      </c>
      <c r="E1380">
        <v>0.87551219516899403</v>
      </c>
      <c r="F1380">
        <v>1</v>
      </c>
      <c r="G1380" s="1" t="s">
        <v>1703</v>
      </c>
      <c r="H1380" t="s">
        <v>1703</v>
      </c>
      <c r="I1380" t="s">
        <v>1703</v>
      </c>
    </row>
    <row r="1381" spans="1:9" x14ac:dyDescent="0.2">
      <c r="A1381">
        <v>46</v>
      </c>
      <c r="B1381">
        <v>14</v>
      </c>
      <c r="C1381" t="s">
        <v>8</v>
      </c>
      <c r="D1381">
        <v>0</v>
      </c>
      <c r="E1381">
        <v>0.58425691502634403</v>
      </c>
      <c r="F1381">
        <v>1</v>
      </c>
      <c r="G1381" s="1" t="s">
        <v>1704</v>
      </c>
      <c r="H1381" t="s">
        <v>1704</v>
      </c>
      <c r="I1381" t="s">
        <v>1704</v>
      </c>
    </row>
    <row r="1382" spans="1:9" x14ac:dyDescent="0.2">
      <c r="A1382">
        <v>33</v>
      </c>
      <c r="B1382">
        <v>0</v>
      </c>
      <c r="C1382" t="s">
        <v>8</v>
      </c>
      <c r="D1382">
        <v>1</v>
      </c>
      <c r="E1382">
        <v>0.80111935478635099</v>
      </c>
      <c r="F1382">
        <v>1</v>
      </c>
      <c r="G1382" s="1" t="s">
        <v>1705</v>
      </c>
      <c r="H1382" t="s">
        <v>1705</v>
      </c>
      <c r="I1382" t="s">
        <v>1705</v>
      </c>
    </row>
    <row r="1383" spans="1:9" x14ac:dyDescent="0.2">
      <c r="A1383">
        <v>69</v>
      </c>
      <c r="B1383">
        <v>13</v>
      </c>
      <c r="C1383" t="s">
        <v>16</v>
      </c>
      <c r="D1383">
        <v>1</v>
      </c>
      <c r="E1383">
        <v>0.63106457074172795</v>
      </c>
      <c r="F1383">
        <v>1</v>
      </c>
      <c r="G1383" s="1" t="s">
        <v>1706</v>
      </c>
      <c r="H1383" t="s">
        <v>1706</v>
      </c>
      <c r="I1383" t="s">
        <v>1706</v>
      </c>
    </row>
    <row r="1384" spans="1:9" x14ac:dyDescent="0.2">
      <c r="A1384">
        <v>29</v>
      </c>
      <c r="B1384">
        <v>7</v>
      </c>
      <c r="C1384" t="s">
        <v>8</v>
      </c>
      <c r="D1384">
        <v>0</v>
      </c>
      <c r="E1384">
        <v>0.65270910016260997</v>
      </c>
      <c r="F1384">
        <v>1</v>
      </c>
      <c r="G1384" s="1" t="s">
        <v>1707</v>
      </c>
      <c r="H1384" t="s">
        <v>1707</v>
      </c>
      <c r="I1384" t="s">
        <v>1707</v>
      </c>
    </row>
    <row r="1385" spans="1:9" x14ac:dyDescent="0.2">
      <c r="A1385">
        <v>76</v>
      </c>
      <c r="B1385">
        <v>13</v>
      </c>
      <c r="C1385" t="s">
        <v>8</v>
      </c>
      <c r="D1385">
        <v>0</v>
      </c>
      <c r="E1385">
        <v>0.85153752239420999</v>
      </c>
      <c r="F1385">
        <v>1</v>
      </c>
      <c r="G1385" s="1" t="s">
        <v>1708</v>
      </c>
      <c r="H1385" t="s">
        <v>1708</v>
      </c>
      <c r="I1385" t="s">
        <v>1708</v>
      </c>
    </row>
    <row r="1386" spans="1:9" x14ac:dyDescent="0.2">
      <c r="A1386">
        <v>62</v>
      </c>
      <c r="B1386">
        <v>10</v>
      </c>
      <c r="C1386" t="s">
        <v>16</v>
      </c>
      <c r="D1386">
        <v>0</v>
      </c>
      <c r="E1386">
        <v>0.74171811412088595</v>
      </c>
      <c r="F1386">
        <v>1</v>
      </c>
      <c r="G1386" s="1" t="s">
        <v>1709</v>
      </c>
      <c r="H1386" t="s">
        <v>1709</v>
      </c>
      <c r="I1386" t="s">
        <v>1709</v>
      </c>
    </row>
    <row r="1387" spans="1:9" x14ac:dyDescent="0.2">
      <c r="A1387">
        <v>34</v>
      </c>
      <c r="B1387">
        <v>14</v>
      </c>
      <c r="C1387" t="s">
        <v>8</v>
      </c>
      <c r="D1387">
        <v>0</v>
      </c>
      <c r="E1387">
        <v>0.96637725154869303</v>
      </c>
      <c r="F1387">
        <v>2</v>
      </c>
      <c r="G1387" s="1" t="s">
        <v>1710</v>
      </c>
      <c r="H1387" t="s">
        <v>1711</v>
      </c>
      <c r="I1387" t="s">
        <v>1710</v>
      </c>
    </row>
    <row r="1388" spans="1:9" x14ac:dyDescent="0.2">
      <c r="A1388">
        <v>27</v>
      </c>
      <c r="B1388">
        <v>8</v>
      </c>
      <c r="C1388" t="s">
        <v>8</v>
      </c>
      <c r="D1388">
        <v>0</v>
      </c>
      <c r="E1388">
        <v>0.89917220768984396</v>
      </c>
      <c r="F1388">
        <v>1</v>
      </c>
      <c r="G1388" s="1" t="s">
        <v>1712</v>
      </c>
      <c r="H1388" t="s">
        <v>1712</v>
      </c>
      <c r="I1388" t="s">
        <v>1712</v>
      </c>
    </row>
    <row r="1389" spans="1:9" x14ac:dyDescent="0.2">
      <c r="A1389">
        <v>28</v>
      </c>
      <c r="B1389">
        <v>13</v>
      </c>
      <c r="C1389" t="s">
        <v>8</v>
      </c>
      <c r="D1389">
        <v>0</v>
      </c>
      <c r="E1389">
        <v>0.78879072470590506</v>
      </c>
      <c r="F1389">
        <v>2</v>
      </c>
      <c r="G1389" s="1" t="s">
        <v>1713</v>
      </c>
      <c r="H1389" t="s">
        <v>1714</v>
      </c>
      <c r="I1389" t="s">
        <v>1713</v>
      </c>
    </row>
    <row r="1390" spans="1:9" x14ac:dyDescent="0.2">
      <c r="A1390">
        <v>39</v>
      </c>
      <c r="B1390">
        <v>14</v>
      </c>
      <c r="C1390" t="s">
        <v>8</v>
      </c>
      <c r="D1390">
        <v>0</v>
      </c>
      <c r="E1390">
        <v>0.65284612891264304</v>
      </c>
      <c r="F1390">
        <v>1</v>
      </c>
      <c r="G1390" s="1" t="s">
        <v>1715</v>
      </c>
      <c r="H1390" t="s">
        <v>1715</v>
      </c>
      <c r="I1390" t="s">
        <v>1715</v>
      </c>
    </row>
    <row r="1391" spans="1:9" x14ac:dyDescent="0.2">
      <c r="A1391">
        <v>89</v>
      </c>
      <c r="B1391">
        <v>7</v>
      </c>
      <c r="C1391" t="s">
        <v>8</v>
      </c>
      <c r="D1391">
        <v>0</v>
      </c>
      <c r="E1391">
        <v>0.61638999322895005</v>
      </c>
      <c r="F1391">
        <v>1</v>
      </c>
      <c r="G1391" s="1" t="s">
        <v>1716</v>
      </c>
      <c r="H1391" t="s">
        <v>1716</v>
      </c>
      <c r="I1391" t="s">
        <v>1716</v>
      </c>
    </row>
    <row r="1392" spans="1:9" x14ac:dyDescent="0.2">
      <c r="A1392">
        <v>19</v>
      </c>
      <c r="B1392">
        <v>3</v>
      </c>
      <c r="C1392" t="s">
        <v>8</v>
      </c>
      <c r="D1392">
        <v>0</v>
      </c>
      <c r="E1392">
        <v>0.88396240305155505</v>
      </c>
      <c r="F1392">
        <v>1</v>
      </c>
      <c r="G1392" s="1" t="s">
        <v>1717</v>
      </c>
      <c r="H1392" t="s">
        <v>1717</v>
      </c>
      <c r="I1392" t="s">
        <v>1717</v>
      </c>
    </row>
    <row r="1393" spans="1:9" x14ac:dyDescent="0.2">
      <c r="A1393">
        <v>50</v>
      </c>
      <c r="B1393">
        <v>14</v>
      </c>
      <c r="C1393" t="s">
        <v>8</v>
      </c>
      <c r="D1393">
        <v>0</v>
      </c>
      <c r="E1393">
        <v>0.63126941793598201</v>
      </c>
      <c r="F1393">
        <v>1</v>
      </c>
      <c r="G1393" s="1" t="s">
        <v>1718</v>
      </c>
      <c r="H1393" t="s">
        <v>1718</v>
      </c>
      <c r="I1393" t="s">
        <v>1718</v>
      </c>
    </row>
    <row r="1394" spans="1:9" x14ac:dyDescent="0.2">
      <c r="A1394">
        <v>33</v>
      </c>
      <c r="B1394">
        <v>8</v>
      </c>
      <c r="C1394" t="s">
        <v>10</v>
      </c>
      <c r="D1394">
        <v>1</v>
      </c>
      <c r="E1394">
        <v>0.51853532984387096</v>
      </c>
      <c r="F1394">
        <v>1</v>
      </c>
      <c r="G1394" s="1" t="s">
        <v>1719</v>
      </c>
      <c r="H1394" t="s">
        <v>1719</v>
      </c>
      <c r="I1394" t="s">
        <v>1719</v>
      </c>
    </row>
    <row r="1395" spans="1:9" x14ac:dyDescent="0.2">
      <c r="A1395">
        <v>80</v>
      </c>
      <c r="B1395">
        <v>11</v>
      </c>
      <c r="C1395" t="s">
        <v>16</v>
      </c>
      <c r="D1395">
        <v>0</v>
      </c>
      <c r="E1395">
        <v>0.71234956732951105</v>
      </c>
      <c r="F1395">
        <v>1</v>
      </c>
      <c r="G1395" s="1" t="s">
        <v>1720</v>
      </c>
      <c r="H1395" t="s">
        <v>1720</v>
      </c>
      <c r="I1395" t="s">
        <v>1720</v>
      </c>
    </row>
    <row r="1396" spans="1:9" x14ac:dyDescent="0.2">
      <c r="A1396">
        <v>69</v>
      </c>
      <c r="B1396">
        <v>10</v>
      </c>
      <c r="C1396" t="s">
        <v>8</v>
      </c>
      <c r="D1396">
        <v>1</v>
      </c>
      <c r="E1396">
        <v>0.83125959429889895</v>
      </c>
      <c r="F1396">
        <v>1</v>
      </c>
      <c r="G1396" s="1" t="s">
        <v>1721</v>
      </c>
      <c r="H1396" t="s">
        <v>1721</v>
      </c>
      <c r="I1396" t="s">
        <v>1721</v>
      </c>
    </row>
    <row r="1397" spans="1:9" x14ac:dyDescent="0.2">
      <c r="A1397">
        <v>65</v>
      </c>
      <c r="B1397">
        <v>6</v>
      </c>
      <c r="C1397" t="s">
        <v>8</v>
      </c>
      <c r="D1397">
        <v>0</v>
      </c>
      <c r="E1397">
        <v>0.80842638621106699</v>
      </c>
      <c r="F1397">
        <v>1</v>
      </c>
      <c r="G1397" s="1" t="s">
        <v>1722</v>
      </c>
      <c r="H1397" t="s">
        <v>1722</v>
      </c>
      <c r="I1397" t="s">
        <v>1722</v>
      </c>
    </row>
    <row r="1398" spans="1:9" x14ac:dyDescent="0.2">
      <c r="A1398">
        <v>73</v>
      </c>
      <c r="B1398">
        <v>10</v>
      </c>
      <c r="C1398" t="s">
        <v>8</v>
      </c>
      <c r="D1398">
        <v>0</v>
      </c>
      <c r="E1398">
        <v>0.88355129642877706</v>
      </c>
      <c r="F1398">
        <v>2</v>
      </c>
      <c r="G1398" s="1" t="s">
        <v>1723</v>
      </c>
      <c r="H1398" t="s">
        <v>1724</v>
      </c>
      <c r="I1398" t="s">
        <v>1723</v>
      </c>
    </row>
    <row r="1399" spans="1:9" x14ac:dyDescent="0.2">
      <c r="A1399">
        <v>81</v>
      </c>
      <c r="B1399">
        <v>13</v>
      </c>
      <c r="C1399" t="s">
        <v>8</v>
      </c>
      <c r="D1399">
        <v>2</v>
      </c>
      <c r="E1399">
        <v>0.89492879365570799</v>
      </c>
      <c r="F1399">
        <v>1</v>
      </c>
      <c r="G1399" s="1" t="s">
        <v>1725</v>
      </c>
      <c r="H1399" t="s">
        <v>1725</v>
      </c>
      <c r="I1399" t="s">
        <v>1725</v>
      </c>
    </row>
    <row r="1400" spans="1:9" x14ac:dyDescent="0.2">
      <c r="A1400">
        <v>60</v>
      </c>
      <c r="B1400">
        <v>10</v>
      </c>
      <c r="C1400" t="s">
        <v>8</v>
      </c>
      <c r="D1400">
        <v>0</v>
      </c>
      <c r="E1400">
        <v>0.78475199104286697</v>
      </c>
      <c r="F1400">
        <v>1</v>
      </c>
      <c r="G1400" s="1" t="s">
        <v>1726</v>
      </c>
      <c r="H1400" t="s">
        <v>1726</v>
      </c>
      <c r="I1400" t="s">
        <v>1726</v>
      </c>
    </row>
    <row r="1401" spans="1:9" x14ac:dyDescent="0.2">
      <c r="A1401">
        <v>62</v>
      </c>
      <c r="B1401">
        <v>2</v>
      </c>
      <c r="C1401" t="s">
        <v>8</v>
      </c>
      <c r="D1401">
        <v>0</v>
      </c>
      <c r="E1401">
        <v>0.79215213586576305</v>
      </c>
      <c r="F1401">
        <v>1</v>
      </c>
      <c r="G1401" s="1" t="s">
        <v>1727</v>
      </c>
      <c r="H1401" t="s">
        <v>1727</v>
      </c>
      <c r="I1401" t="s">
        <v>1727</v>
      </c>
    </row>
    <row r="1402" spans="1:9" x14ac:dyDescent="0.2">
      <c r="A1402">
        <v>78</v>
      </c>
      <c r="B1402">
        <v>3</v>
      </c>
      <c r="C1402" t="s">
        <v>10</v>
      </c>
      <c r="D1402">
        <v>1</v>
      </c>
      <c r="E1402">
        <v>0.54304429958574496</v>
      </c>
      <c r="F1402">
        <v>1</v>
      </c>
      <c r="G1402" s="1" t="s">
        <v>1728</v>
      </c>
      <c r="H1402" t="s">
        <v>1728</v>
      </c>
      <c r="I1402" t="s">
        <v>1728</v>
      </c>
    </row>
    <row r="1403" spans="1:9" x14ac:dyDescent="0.2">
      <c r="A1403">
        <v>22</v>
      </c>
      <c r="B1403">
        <v>3</v>
      </c>
      <c r="C1403" t="s">
        <v>8</v>
      </c>
      <c r="D1403">
        <v>0</v>
      </c>
      <c r="E1403">
        <v>0.83107013476546898</v>
      </c>
      <c r="F1403">
        <v>1</v>
      </c>
      <c r="G1403" s="1" t="s">
        <v>1729</v>
      </c>
      <c r="H1403" t="s">
        <v>1729</v>
      </c>
      <c r="I1403" t="s">
        <v>1729</v>
      </c>
    </row>
    <row r="1404" spans="1:9" x14ac:dyDescent="0.2">
      <c r="A1404">
        <v>77</v>
      </c>
      <c r="B1404">
        <v>10</v>
      </c>
      <c r="C1404" t="s">
        <v>8</v>
      </c>
      <c r="D1404">
        <v>0</v>
      </c>
      <c r="E1404">
        <v>0.85649616795126304</v>
      </c>
      <c r="F1404">
        <v>1</v>
      </c>
      <c r="G1404" s="1" t="s">
        <v>1730</v>
      </c>
      <c r="H1404" t="s">
        <v>1730</v>
      </c>
      <c r="I1404" t="s">
        <v>1730</v>
      </c>
    </row>
    <row r="1405" spans="1:9" x14ac:dyDescent="0.2">
      <c r="A1405">
        <v>47</v>
      </c>
      <c r="B1405">
        <v>9</v>
      </c>
      <c r="C1405" t="s">
        <v>10</v>
      </c>
      <c r="D1405">
        <v>1</v>
      </c>
      <c r="E1405">
        <v>0.70229252579156298</v>
      </c>
      <c r="F1405">
        <v>1</v>
      </c>
      <c r="G1405" s="1" t="s">
        <v>1731</v>
      </c>
      <c r="H1405" t="s">
        <v>1731</v>
      </c>
      <c r="I1405" t="s">
        <v>1731</v>
      </c>
    </row>
    <row r="1406" spans="1:9" x14ac:dyDescent="0.2">
      <c r="A1406">
        <v>42</v>
      </c>
      <c r="B1406">
        <v>9</v>
      </c>
      <c r="C1406" t="s">
        <v>8</v>
      </c>
      <c r="D1406">
        <v>0</v>
      </c>
      <c r="E1406">
        <v>0.81525162700563703</v>
      </c>
      <c r="F1406">
        <v>1</v>
      </c>
      <c r="G1406" s="1" t="s">
        <v>1732</v>
      </c>
      <c r="H1406" t="s">
        <v>1732</v>
      </c>
      <c r="I1406" t="s">
        <v>1732</v>
      </c>
    </row>
    <row r="1407" spans="1:9" x14ac:dyDescent="0.2">
      <c r="A1407">
        <v>34</v>
      </c>
      <c r="B1407">
        <v>7</v>
      </c>
      <c r="C1407" t="s">
        <v>8</v>
      </c>
      <c r="D1407">
        <v>0</v>
      </c>
      <c r="E1407">
        <v>0.97321924462448806</v>
      </c>
      <c r="F1407">
        <v>1</v>
      </c>
      <c r="G1407" s="1" t="s">
        <v>1733</v>
      </c>
      <c r="H1407" t="s">
        <v>1733</v>
      </c>
      <c r="I1407" t="s">
        <v>1733</v>
      </c>
    </row>
    <row r="1408" spans="1:9" x14ac:dyDescent="0.2">
      <c r="A1408">
        <v>44</v>
      </c>
      <c r="B1408">
        <v>5</v>
      </c>
      <c r="C1408" t="s">
        <v>8</v>
      </c>
      <c r="D1408">
        <v>0</v>
      </c>
      <c r="E1408">
        <v>0.51431919133756299</v>
      </c>
      <c r="F1408">
        <v>1</v>
      </c>
      <c r="G1408" s="1" t="s">
        <v>1734</v>
      </c>
      <c r="H1408" t="s">
        <v>1734</v>
      </c>
      <c r="I1408" t="s">
        <v>1734</v>
      </c>
    </row>
    <row r="1409" spans="1:9" x14ac:dyDescent="0.2">
      <c r="A1409">
        <v>49</v>
      </c>
      <c r="B1409">
        <v>7</v>
      </c>
      <c r="C1409" t="s">
        <v>16</v>
      </c>
      <c r="D1409">
        <v>0</v>
      </c>
      <c r="E1409">
        <v>0.74780894583091095</v>
      </c>
      <c r="F1409">
        <v>1</v>
      </c>
      <c r="G1409" s="1" t="s">
        <v>1735</v>
      </c>
      <c r="H1409" t="s">
        <v>1735</v>
      </c>
      <c r="I1409" t="s">
        <v>1735</v>
      </c>
    </row>
    <row r="1410" spans="1:9" x14ac:dyDescent="0.2">
      <c r="A1410">
        <v>62</v>
      </c>
      <c r="B1410">
        <v>11</v>
      </c>
      <c r="C1410" t="s">
        <v>8</v>
      </c>
      <c r="D1410">
        <v>2</v>
      </c>
      <c r="E1410">
        <v>0.94122221833094999</v>
      </c>
      <c r="F1410">
        <v>1</v>
      </c>
      <c r="G1410" s="1" t="s">
        <v>1736</v>
      </c>
      <c r="H1410" t="s">
        <v>1736</v>
      </c>
      <c r="I1410" t="s">
        <v>1736</v>
      </c>
    </row>
    <row r="1411" spans="1:9" x14ac:dyDescent="0.2">
      <c r="A1411">
        <v>43</v>
      </c>
      <c r="B1411">
        <v>13</v>
      </c>
      <c r="C1411" t="s">
        <v>8</v>
      </c>
      <c r="D1411">
        <v>0</v>
      </c>
      <c r="E1411">
        <v>0.54568920051679004</v>
      </c>
      <c r="F1411">
        <v>1</v>
      </c>
      <c r="G1411" s="1" t="s">
        <v>1737</v>
      </c>
      <c r="H1411" t="s">
        <v>1737</v>
      </c>
      <c r="I1411" t="s">
        <v>1737</v>
      </c>
    </row>
    <row r="1412" spans="1:9" x14ac:dyDescent="0.2">
      <c r="A1412">
        <v>41</v>
      </c>
      <c r="B1412">
        <v>7</v>
      </c>
      <c r="C1412" t="s">
        <v>16</v>
      </c>
      <c r="D1412">
        <v>0</v>
      </c>
      <c r="E1412">
        <v>0.77794474258553203</v>
      </c>
      <c r="F1412">
        <v>1</v>
      </c>
      <c r="G1412" s="1" t="s">
        <v>1738</v>
      </c>
      <c r="H1412" t="s">
        <v>1738</v>
      </c>
      <c r="I1412" t="s">
        <v>1738</v>
      </c>
    </row>
    <row r="1413" spans="1:9" x14ac:dyDescent="0.2">
      <c r="A1413">
        <v>75</v>
      </c>
      <c r="B1413">
        <v>3</v>
      </c>
      <c r="C1413" t="s">
        <v>8</v>
      </c>
      <c r="D1413">
        <v>1</v>
      </c>
      <c r="E1413">
        <v>0.92211999441496995</v>
      </c>
      <c r="F1413">
        <v>1</v>
      </c>
      <c r="G1413" s="1" t="s">
        <v>1739</v>
      </c>
      <c r="H1413" t="s">
        <v>1739</v>
      </c>
      <c r="I1413" t="s">
        <v>1739</v>
      </c>
    </row>
    <row r="1414" spans="1:9" x14ac:dyDescent="0.2">
      <c r="A1414">
        <v>31</v>
      </c>
      <c r="B1414">
        <v>7</v>
      </c>
      <c r="C1414" t="s">
        <v>10</v>
      </c>
      <c r="D1414">
        <v>0</v>
      </c>
      <c r="E1414">
        <v>0.91610855888575304</v>
      </c>
      <c r="F1414">
        <v>1</v>
      </c>
      <c r="G1414" s="1" t="s">
        <v>1740</v>
      </c>
      <c r="H1414" t="s">
        <v>1740</v>
      </c>
      <c r="I1414" t="s">
        <v>1740</v>
      </c>
    </row>
    <row r="1415" spans="1:9" x14ac:dyDescent="0.2">
      <c r="A1415">
        <v>76</v>
      </c>
      <c r="B1415">
        <v>12</v>
      </c>
      <c r="C1415" t="s">
        <v>8</v>
      </c>
      <c r="D1415">
        <v>0</v>
      </c>
      <c r="E1415">
        <v>0.91814607009291604</v>
      </c>
      <c r="F1415">
        <v>2</v>
      </c>
      <c r="G1415" s="1" t="s">
        <v>1741</v>
      </c>
      <c r="H1415" t="s">
        <v>1742</v>
      </c>
      <c r="I1415" t="s">
        <v>1741</v>
      </c>
    </row>
    <row r="1416" spans="1:9" x14ac:dyDescent="0.2">
      <c r="A1416">
        <v>21</v>
      </c>
      <c r="B1416">
        <v>13</v>
      </c>
      <c r="C1416" t="s">
        <v>8</v>
      </c>
      <c r="D1416">
        <v>0</v>
      </c>
      <c r="E1416">
        <v>0.535844565485604</v>
      </c>
      <c r="F1416">
        <v>3</v>
      </c>
      <c r="G1416" s="1" t="s">
        <v>1743</v>
      </c>
      <c r="H1416" t="s">
        <v>1744</v>
      </c>
      <c r="I1416" t="s">
        <v>1743</v>
      </c>
    </row>
    <row r="1417" spans="1:9" x14ac:dyDescent="0.2">
      <c r="A1417">
        <v>41</v>
      </c>
      <c r="B1417">
        <v>15</v>
      </c>
      <c r="C1417" t="s">
        <v>8</v>
      </c>
      <c r="D1417">
        <v>1</v>
      </c>
      <c r="E1417">
        <v>0.52121205383446101</v>
      </c>
      <c r="F1417">
        <v>1</v>
      </c>
      <c r="G1417" s="1" t="s">
        <v>1745</v>
      </c>
      <c r="H1417" t="s">
        <v>1745</v>
      </c>
      <c r="I1417" t="s">
        <v>1745</v>
      </c>
    </row>
    <row r="1418" spans="1:9" x14ac:dyDescent="0.2">
      <c r="A1418">
        <v>47</v>
      </c>
      <c r="B1418">
        <v>14</v>
      </c>
      <c r="C1418" t="s">
        <v>16</v>
      </c>
      <c r="D1418">
        <v>2</v>
      </c>
      <c r="E1418">
        <v>0.53333027905318897</v>
      </c>
      <c r="F1418">
        <v>1</v>
      </c>
      <c r="G1418" s="1" t="s">
        <v>1746</v>
      </c>
      <c r="H1418" t="s">
        <v>1746</v>
      </c>
      <c r="I1418" t="s">
        <v>1746</v>
      </c>
    </row>
    <row r="1419" spans="1:9" x14ac:dyDescent="0.2">
      <c r="A1419">
        <v>49</v>
      </c>
      <c r="B1419">
        <v>6</v>
      </c>
      <c r="C1419" t="s">
        <v>16</v>
      </c>
      <c r="D1419">
        <v>0</v>
      </c>
      <c r="E1419">
        <v>0.94662134093232497</v>
      </c>
      <c r="F1419">
        <v>1</v>
      </c>
      <c r="G1419" s="1" t="s">
        <v>1747</v>
      </c>
      <c r="H1419" t="s">
        <v>1747</v>
      </c>
      <c r="I1419" t="s">
        <v>1747</v>
      </c>
    </row>
    <row r="1420" spans="1:9" x14ac:dyDescent="0.2">
      <c r="A1420">
        <v>79</v>
      </c>
      <c r="B1420">
        <v>1</v>
      </c>
      <c r="C1420" t="s">
        <v>8</v>
      </c>
      <c r="D1420">
        <v>1</v>
      </c>
      <c r="E1420">
        <v>0.82405564759392302</v>
      </c>
      <c r="F1420">
        <v>2</v>
      </c>
      <c r="G1420" s="1" t="s">
        <v>1748</v>
      </c>
      <c r="H1420" t="s">
        <v>1749</v>
      </c>
      <c r="I1420" t="s">
        <v>1748</v>
      </c>
    </row>
    <row r="1421" spans="1:9" x14ac:dyDescent="0.2">
      <c r="A1421">
        <v>86</v>
      </c>
      <c r="B1421">
        <v>1</v>
      </c>
      <c r="C1421" t="s">
        <v>8</v>
      </c>
      <c r="D1421">
        <v>0</v>
      </c>
      <c r="E1421">
        <v>0.845100387348793</v>
      </c>
      <c r="F1421">
        <v>1</v>
      </c>
      <c r="G1421" s="1" t="s">
        <v>1750</v>
      </c>
      <c r="H1421" t="s">
        <v>1750</v>
      </c>
      <c r="I1421" t="s">
        <v>1750</v>
      </c>
    </row>
    <row r="1422" spans="1:9" x14ac:dyDescent="0.2">
      <c r="A1422">
        <v>55</v>
      </c>
      <c r="B1422">
        <v>13</v>
      </c>
      <c r="C1422" t="s">
        <v>8</v>
      </c>
      <c r="D1422">
        <v>0</v>
      </c>
      <c r="E1422">
        <v>0.97643180657178197</v>
      </c>
      <c r="F1422">
        <v>1</v>
      </c>
      <c r="G1422" s="1" t="s">
        <v>1751</v>
      </c>
      <c r="H1422" t="s">
        <v>1751</v>
      </c>
      <c r="I1422" t="s">
        <v>1751</v>
      </c>
    </row>
    <row r="1423" spans="1:9" x14ac:dyDescent="0.2">
      <c r="A1423">
        <v>28</v>
      </c>
      <c r="B1423">
        <v>15</v>
      </c>
      <c r="C1423" t="s">
        <v>10</v>
      </c>
      <c r="D1423">
        <v>0</v>
      </c>
      <c r="E1423">
        <v>0.662620042799972</v>
      </c>
      <c r="F1423">
        <v>1</v>
      </c>
      <c r="G1423" s="1" t="s">
        <v>1752</v>
      </c>
      <c r="H1423" t="s">
        <v>1752</v>
      </c>
      <c r="I1423" t="s">
        <v>1752</v>
      </c>
    </row>
    <row r="1424" spans="1:9" x14ac:dyDescent="0.2">
      <c r="A1424">
        <v>65</v>
      </c>
      <c r="B1424">
        <v>10</v>
      </c>
      <c r="C1424" t="s">
        <v>16</v>
      </c>
      <c r="D1424">
        <v>0</v>
      </c>
      <c r="E1424">
        <v>0.78990993497427597</v>
      </c>
      <c r="F1424">
        <v>2</v>
      </c>
      <c r="G1424" s="1" t="s">
        <v>1753</v>
      </c>
      <c r="H1424" t="s">
        <v>1754</v>
      </c>
      <c r="I1424" t="s">
        <v>1753</v>
      </c>
    </row>
    <row r="1425" spans="1:9" x14ac:dyDescent="0.2">
      <c r="A1425">
        <v>71</v>
      </c>
      <c r="B1425">
        <v>9</v>
      </c>
      <c r="C1425" t="s">
        <v>10</v>
      </c>
      <c r="D1425">
        <v>0</v>
      </c>
      <c r="E1425">
        <v>0.66582243458833501</v>
      </c>
      <c r="F1425">
        <v>1</v>
      </c>
      <c r="G1425" s="1" t="s">
        <v>1755</v>
      </c>
      <c r="H1425" t="s">
        <v>1755</v>
      </c>
      <c r="I1425" t="s">
        <v>1755</v>
      </c>
    </row>
    <row r="1426" spans="1:9" x14ac:dyDescent="0.2">
      <c r="A1426">
        <v>70</v>
      </c>
      <c r="B1426">
        <v>7</v>
      </c>
      <c r="C1426" t="s">
        <v>16</v>
      </c>
      <c r="D1426">
        <v>0</v>
      </c>
      <c r="E1426">
        <v>0.87748467992059898</v>
      </c>
      <c r="F1426">
        <v>1</v>
      </c>
      <c r="G1426" s="1" t="s">
        <v>1756</v>
      </c>
      <c r="H1426" t="s">
        <v>1756</v>
      </c>
      <c r="I1426" t="s">
        <v>1756</v>
      </c>
    </row>
    <row r="1427" spans="1:9" x14ac:dyDescent="0.2">
      <c r="A1427">
        <v>39</v>
      </c>
      <c r="B1427">
        <v>7</v>
      </c>
      <c r="C1427" t="s">
        <v>8</v>
      </c>
      <c r="D1427">
        <v>0</v>
      </c>
      <c r="E1427">
        <v>0.70316384348552696</v>
      </c>
      <c r="F1427">
        <v>1</v>
      </c>
      <c r="G1427" s="1" t="s">
        <v>1757</v>
      </c>
      <c r="H1427" t="s">
        <v>1757</v>
      </c>
      <c r="I1427" t="s">
        <v>1757</v>
      </c>
    </row>
    <row r="1428" spans="1:9" x14ac:dyDescent="0.2">
      <c r="A1428">
        <v>90</v>
      </c>
      <c r="B1428">
        <v>1</v>
      </c>
      <c r="C1428" t="s">
        <v>16</v>
      </c>
      <c r="D1428">
        <v>0</v>
      </c>
      <c r="E1428">
        <v>0.57084966928232495</v>
      </c>
      <c r="F1428">
        <v>1</v>
      </c>
      <c r="G1428" s="1" t="s">
        <v>1758</v>
      </c>
      <c r="H1428" t="s">
        <v>1758</v>
      </c>
      <c r="I1428" t="s">
        <v>1758</v>
      </c>
    </row>
    <row r="1429" spans="1:9" x14ac:dyDescent="0.2">
      <c r="A1429">
        <v>86</v>
      </c>
      <c r="B1429">
        <v>5</v>
      </c>
      <c r="C1429" t="s">
        <v>16</v>
      </c>
      <c r="D1429">
        <v>0</v>
      </c>
      <c r="E1429">
        <v>0.70249636122025505</v>
      </c>
      <c r="F1429">
        <v>1</v>
      </c>
      <c r="G1429" s="1" t="s">
        <v>1759</v>
      </c>
      <c r="H1429" t="s">
        <v>1759</v>
      </c>
      <c r="I1429" t="s">
        <v>1759</v>
      </c>
    </row>
    <row r="1430" spans="1:9" x14ac:dyDescent="0.2">
      <c r="A1430">
        <v>87</v>
      </c>
      <c r="B1430">
        <v>5</v>
      </c>
      <c r="C1430" t="s">
        <v>16</v>
      </c>
      <c r="D1430">
        <v>2</v>
      </c>
      <c r="E1430">
        <v>0.67895761178806402</v>
      </c>
      <c r="F1430">
        <v>2</v>
      </c>
      <c r="G1430" s="1" t="s">
        <v>1760</v>
      </c>
      <c r="H1430" t="s">
        <v>1761</v>
      </c>
      <c r="I1430" t="s">
        <v>1760</v>
      </c>
    </row>
    <row r="1431" spans="1:9" x14ac:dyDescent="0.2">
      <c r="A1431">
        <v>87</v>
      </c>
      <c r="B1431">
        <v>11</v>
      </c>
      <c r="C1431" t="s">
        <v>8</v>
      </c>
      <c r="D1431">
        <v>1</v>
      </c>
      <c r="E1431">
        <v>0.80742320779245302</v>
      </c>
      <c r="F1431">
        <v>1</v>
      </c>
      <c r="G1431" s="1" t="s">
        <v>1762</v>
      </c>
      <c r="H1431" t="s">
        <v>1762</v>
      </c>
      <c r="I1431" t="s">
        <v>1762</v>
      </c>
    </row>
    <row r="1432" spans="1:9" x14ac:dyDescent="0.2">
      <c r="A1432">
        <v>25</v>
      </c>
      <c r="B1432">
        <v>14</v>
      </c>
      <c r="C1432" t="s">
        <v>16</v>
      </c>
      <c r="D1432">
        <v>1</v>
      </c>
      <c r="E1432">
        <v>0.57149248837958999</v>
      </c>
      <c r="F1432">
        <v>1</v>
      </c>
      <c r="G1432" s="1" t="s">
        <v>1763</v>
      </c>
      <c r="H1432" t="s">
        <v>1763</v>
      </c>
      <c r="I1432" t="s">
        <v>1763</v>
      </c>
    </row>
    <row r="1433" spans="1:9" x14ac:dyDescent="0.2">
      <c r="A1433">
        <v>19</v>
      </c>
      <c r="B1433">
        <v>12</v>
      </c>
      <c r="C1433" t="s">
        <v>10</v>
      </c>
      <c r="D1433">
        <v>3</v>
      </c>
      <c r="E1433">
        <v>0.80353848857339505</v>
      </c>
      <c r="F1433">
        <v>1</v>
      </c>
      <c r="G1433" s="1" t="s">
        <v>1764</v>
      </c>
      <c r="H1433" t="s">
        <v>1764</v>
      </c>
      <c r="I1433" t="s">
        <v>1764</v>
      </c>
    </row>
    <row r="1434" spans="1:9" x14ac:dyDescent="0.2">
      <c r="A1434">
        <v>45</v>
      </c>
      <c r="B1434">
        <v>2</v>
      </c>
      <c r="C1434" t="s">
        <v>8</v>
      </c>
      <c r="D1434">
        <v>0</v>
      </c>
      <c r="E1434">
        <v>0.603973313351162</v>
      </c>
      <c r="F1434">
        <v>1</v>
      </c>
      <c r="G1434" s="1" t="s">
        <v>1765</v>
      </c>
      <c r="H1434" t="s">
        <v>1765</v>
      </c>
      <c r="I1434" t="s">
        <v>1765</v>
      </c>
    </row>
    <row r="1435" spans="1:9" x14ac:dyDescent="0.2">
      <c r="A1435">
        <v>63</v>
      </c>
      <c r="B1435">
        <v>6</v>
      </c>
      <c r="C1435" t="s">
        <v>8</v>
      </c>
      <c r="D1435">
        <v>1</v>
      </c>
      <c r="E1435">
        <v>0.99096571642439801</v>
      </c>
      <c r="F1435">
        <v>1</v>
      </c>
      <c r="G1435" s="1" t="s">
        <v>1766</v>
      </c>
      <c r="H1435" t="s">
        <v>1766</v>
      </c>
      <c r="I1435" t="s">
        <v>1766</v>
      </c>
    </row>
    <row r="1436" spans="1:9" x14ac:dyDescent="0.2">
      <c r="A1436">
        <v>59</v>
      </c>
      <c r="B1436">
        <v>9</v>
      </c>
      <c r="C1436" t="s">
        <v>8</v>
      </c>
      <c r="D1436">
        <v>0</v>
      </c>
      <c r="E1436">
        <v>0.78993955824989803</v>
      </c>
      <c r="F1436">
        <v>1</v>
      </c>
      <c r="G1436" s="1" t="s">
        <v>1767</v>
      </c>
      <c r="H1436" t="s">
        <v>1767</v>
      </c>
      <c r="I1436" t="s">
        <v>1767</v>
      </c>
    </row>
    <row r="1437" spans="1:9" x14ac:dyDescent="0.2">
      <c r="A1437">
        <v>39</v>
      </c>
      <c r="B1437">
        <v>7</v>
      </c>
      <c r="C1437" t="s">
        <v>10</v>
      </c>
      <c r="D1437">
        <v>0</v>
      </c>
      <c r="E1437">
        <v>0.95236716710496705</v>
      </c>
      <c r="F1437">
        <v>1</v>
      </c>
      <c r="G1437" s="1" t="s">
        <v>1768</v>
      </c>
      <c r="H1437" t="s">
        <v>1768</v>
      </c>
      <c r="I1437" t="s">
        <v>1768</v>
      </c>
    </row>
    <row r="1438" spans="1:9" x14ac:dyDescent="0.2">
      <c r="A1438">
        <v>60</v>
      </c>
      <c r="B1438">
        <v>10</v>
      </c>
      <c r="C1438" t="s">
        <v>10</v>
      </c>
      <c r="D1438">
        <v>1</v>
      </c>
      <c r="E1438">
        <v>0.86589006753638398</v>
      </c>
      <c r="F1438">
        <v>1</v>
      </c>
      <c r="G1438" s="1" t="s">
        <v>1769</v>
      </c>
      <c r="H1438" t="s">
        <v>1769</v>
      </c>
      <c r="I1438" t="s">
        <v>1769</v>
      </c>
    </row>
    <row r="1439" spans="1:9" x14ac:dyDescent="0.2">
      <c r="A1439">
        <v>20</v>
      </c>
      <c r="B1439">
        <v>14</v>
      </c>
      <c r="C1439" t="s">
        <v>8</v>
      </c>
      <c r="D1439">
        <v>1</v>
      </c>
      <c r="E1439">
        <v>0.60313230799511097</v>
      </c>
      <c r="F1439">
        <v>1</v>
      </c>
      <c r="G1439" s="1" t="s">
        <v>1770</v>
      </c>
      <c r="H1439" t="s">
        <v>1770</v>
      </c>
      <c r="I1439" t="s">
        <v>1770</v>
      </c>
    </row>
    <row r="1440" spans="1:9" x14ac:dyDescent="0.2">
      <c r="A1440">
        <v>65</v>
      </c>
      <c r="B1440">
        <v>7</v>
      </c>
      <c r="C1440" t="s">
        <v>8</v>
      </c>
      <c r="D1440">
        <v>0</v>
      </c>
      <c r="E1440">
        <v>0.94535719708073895</v>
      </c>
      <c r="F1440">
        <v>1</v>
      </c>
      <c r="G1440" s="1" t="s">
        <v>1771</v>
      </c>
      <c r="H1440" t="s">
        <v>1771</v>
      </c>
      <c r="I1440" t="s">
        <v>1771</v>
      </c>
    </row>
    <row r="1441" spans="1:9" x14ac:dyDescent="0.2">
      <c r="A1441">
        <v>22</v>
      </c>
      <c r="B1441">
        <v>10</v>
      </c>
      <c r="C1441" t="s">
        <v>16</v>
      </c>
      <c r="D1441">
        <v>0</v>
      </c>
      <c r="E1441">
        <v>0.648756310692988</v>
      </c>
      <c r="F1441">
        <v>1</v>
      </c>
      <c r="G1441" s="1" t="s">
        <v>1772</v>
      </c>
      <c r="H1441" t="s">
        <v>1772</v>
      </c>
      <c r="I1441" t="s">
        <v>1772</v>
      </c>
    </row>
    <row r="1442" spans="1:9" x14ac:dyDescent="0.2">
      <c r="A1442">
        <v>49</v>
      </c>
      <c r="B1442">
        <v>12</v>
      </c>
      <c r="C1442" t="s">
        <v>8</v>
      </c>
      <c r="D1442">
        <v>0</v>
      </c>
      <c r="E1442">
        <v>0.64465821615885899</v>
      </c>
      <c r="F1442">
        <v>1</v>
      </c>
      <c r="G1442" s="1" t="s">
        <v>1773</v>
      </c>
      <c r="H1442" t="s">
        <v>1773</v>
      </c>
      <c r="I1442" t="s">
        <v>1773</v>
      </c>
    </row>
    <row r="1443" spans="1:9" x14ac:dyDescent="0.2">
      <c r="A1443">
        <v>41</v>
      </c>
      <c r="B1443">
        <v>12</v>
      </c>
      <c r="C1443" t="s">
        <v>8</v>
      </c>
      <c r="D1443">
        <v>1</v>
      </c>
      <c r="E1443">
        <v>0.92275993083603702</v>
      </c>
      <c r="F1443">
        <v>1</v>
      </c>
      <c r="G1443" s="1" t="s">
        <v>1774</v>
      </c>
      <c r="H1443" t="s">
        <v>1774</v>
      </c>
      <c r="I1443" t="s">
        <v>1774</v>
      </c>
    </row>
    <row r="1444" spans="1:9" x14ac:dyDescent="0.2">
      <c r="A1444">
        <v>80</v>
      </c>
      <c r="B1444">
        <v>1</v>
      </c>
      <c r="C1444" t="s">
        <v>16</v>
      </c>
      <c r="D1444">
        <v>1</v>
      </c>
      <c r="E1444">
        <v>0.73680376238189604</v>
      </c>
      <c r="F1444">
        <v>1</v>
      </c>
      <c r="G1444" s="1" t="s">
        <v>1775</v>
      </c>
      <c r="H1444" t="s">
        <v>1775</v>
      </c>
      <c r="I1444" t="s">
        <v>1775</v>
      </c>
    </row>
    <row r="1445" spans="1:9" x14ac:dyDescent="0.2">
      <c r="A1445">
        <v>42</v>
      </c>
      <c r="B1445">
        <v>13</v>
      </c>
      <c r="C1445" t="s">
        <v>8</v>
      </c>
      <c r="D1445">
        <v>1</v>
      </c>
      <c r="E1445">
        <v>0.95420046069193598</v>
      </c>
      <c r="F1445">
        <v>1</v>
      </c>
      <c r="G1445" s="1" t="s">
        <v>1776</v>
      </c>
      <c r="H1445" t="s">
        <v>1776</v>
      </c>
      <c r="I1445" t="s">
        <v>1776</v>
      </c>
    </row>
    <row r="1446" spans="1:9" x14ac:dyDescent="0.2">
      <c r="A1446">
        <v>79</v>
      </c>
      <c r="B1446">
        <v>9</v>
      </c>
      <c r="C1446" t="s">
        <v>10</v>
      </c>
      <c r="D1446">
        <v>0</v>
      </c>
      <c r="E1446">
        <v>0.84826234565116498</v>
      </c>
      <c r="F1446">
        <v>1</v>
      </c>
      <c r="G1446" s="1" t="s">
        <v>1777</v>
      </c>
      <c r="H1446" t="s">
        <v>1777</v>
      </c>
      <c r="I1446" t="s">
        <v>1777</v>
      </c>
    </row>
    <row r="1447" spans="1:9" x14ac:dyDescent="0.2">
      <c r="A1447">
        <v>40</v>
      </c>
      <c r="B1447">
        <v>5</v>
      </c>
      <c r="C1447" t="s">
        <v>8</v>
      </c>
      <c r="D1447">
        <v>2</v>
      </c>
      <c r="E1447">
        <v>0.80337867117486905</v>
      </c>
      <c r="F1447">
        <v>1</v>
      </c>
      <c r="G1447" s="1" t="s">
        <v>1778</v>
      </c>
      <c r="H1447" t="s">
        <v>1778</v>
      </c>
      <c r="I1447" t="s">
        <v>1778</v>
      </c>
    </row>
    <row r="1448" spans="1:9" x14ac:dyDescent="0.2">
      <c r="A1448">
        <v>56</v>
      </c>
      <c r="B1448">
        <v>10</v>
      </c>
      <c r="C1448" t="s">
        <v>10</v>
      </c>
      <c r="D1448">
        <v>0</v>
      </c>
      <c r="E1448">
        <v>0.86048030050005797</v>
      </c>
      <c r="F1448">
        <v>1</v>
      </c>
      <c r="G1448" s="1" t="s">
        <v>1779</v>
      </c>
      <c r="H1448" t="s">
        <v>1779</v>
      </c>
      <c r="I1448" t="s">
        <v>1779</v>
      </c>
    </row>
    <row r="1449" spans="1:9" x14ac:dyDescent="0.2">
      <c r="A1449">
        <v>45</v>
      </c>
      <c r="B1449">
        <v>5</v>
      </c>
      <c r="C1449" t="s">
        <v>16</v>
      </c>
      <c r="D1449">
        <v>1</v>
      </c>
      <c r="E1449">
        <v>0.79430417495313999</v>
      </c>
      <c r="F1449">
        <v>2</v>
      </c>
      <c r="G1449" s="1" t="s">
        <v>1780</v>
      </c>
      <c r="H1449" t="s">
        <v>1781</v>
      </c>
      <c r="I1449" t="s">
        <v>1780</v>
      </c>
    </row>
    <row r="1450" spans="1:9" x14ac:dyDescent="0.2">
      <c r="A1450">
        <v>79</v>
      </c>
      <c r="B1450">
        <v>7</v>
      </c>
      <c r="C1450" t="s">
        <v>8</v>
      </c>
      <c r="D1450">
        <v>2</v>
      </c>
      <c r="E1450">
        <v>0.68418983300216496</v>
      </c>
      <c r="F1450">
        <v>2</v>
      </c>
      <c r="G1450" s="1" t="s">
        <v>1782</v>
      </c>
      <c r="H1450" t="s">
        <v>1783</v>
      </c>
      <c r="I1450" t="s">
        <v>1782</v>
      </c>
    </row>
    <row r="1451" spans="1:9" x14ac:dyDescent="0.2">
      <c r="A1451">
        <v>67</v>
      </c>
      <c r="B1451">
        <v>4</v>
      </c>
      <c r="C1451" t="s">
        <v>8</v>
      </c>
      <c r="D1451">
        <v>0</v>
      </c>
      <c r="E1451">
        <v>0.71755005815066397</v>
      </c>
      <c r="F1451">
        <v>1</v>
      </c>
      <c r="G1451" s="1" t="s">
        <v>1784</v>
      </c>
      <c r="H1451" t="s">
        <v>1784</v>
      </c>
      <c r="I1451" t="s">
        <v>1784</v>
      </c>
    </row>
    <row r="1452" spans="1:9" x14ac:dyDescent="0.2">
      <c r="A1452">
        <v>76</v>
      </c>
      <c r="B1452">
        <v>2</v>
      </c>
      <c r="C1452" t="s">
        <v>10</v>
      </c>
      <c r="D1452">
        <v>1</v>
      </c>
      <c r="E1452">
        <v>0.54054103977978196</v>
      </c>
      <c r="F1452">
        <v>1</v>
      </c>
      <c r="G1452" s="1" t="s">
        <v>1785</v>
      </c>
      <c r="H1452" t="s">
        <v>1785</v>
      </c>
      <c r="I1452" t="s">
        <v>1785</v>
      </c>
    </row>
    <row r="1453" spans="1:9" x14ac:dyDescent="0.2">
      <c r="A1453">
        <v>32</v>
      </c>
      <c r="B1453">
        <v>3</v>
      </c>
      <c r="C1453" t="s">
        <v>8</v>
      </c>
      <c r="D1453">
        <v>0</v>
      </c>
      <c r="E1453">
        <v>0.99448324774857599</v>
      </c>
      <c r="F1453">
        <v>1</v>
      </c>
      <c r="G1453" s="1" t="s">
        <v>1786</v>
      </c>
      <c r="H1453" t="s">
        <v>1786</v>
      </c>
      <c r="I1453" t="s">
        <v>1786</v>
      </c>
    </row>
    <row r="1454" spans="1:9" x14ac:dyDescent="0.2">
      <c r="A1454">
        <v>77</v>
      </c>
      <c r="B1454">
        <v>13</v>
      </c>
      <c r="C1454" t="s">
        <v>16</v>
      </c>
      <c r="D1454">
        <v>1</v>
      </c>
      <c r="E1454">
        <v>0.67676542582921695</v>
      </c>
      <c r="F1454">
        <v>3</v>
      </c>
      <c r="G1454" s="1" t="s">
        <v>1787</v>
      </c>
      <c r="H1454" t="s">
        <v>1788</v>
      </c>
      <c r="I1454" t="s">
        <v>1787</v>
      </c>
    </row>
    <row r="1455" spans="1:9" x14ac:dyDescent="0.2">
      <c r="A1455">
        <v>78</v>
      </c>
      <c r="B1455">
        <v>6</v>
      </c>
      <c r="C1455" t="s">
        <v>8</v>
      </c>
      <c r="D1455">
        <v>0</v>
      </c>
      <c r="E1455">
        <v>0.96650560072157499</v>
      </c>
      <c r="F1455">
        <v>2</v>
      </c>
      <c r="G1455" s="1" t="s">
        <v>1789</v>
      </c>
      <c r="H1455" t="s">
        <v>1790</v>
      </c>
      <c r="I1455" t="s">
        <v>1789</v>
      </c>
    </row>
    <row r="1456" spans="1:9" x14ac:dyDescent="0.2">
      <c r="A1456">
        <v>57</v>
      </c>
      <c r="B1456">
        <v>7</v>
      </c>
      <c r="C1456" t="s">
        <v>8</v>
      </c>
      <c r="D1456">
        <v>0</v>
      </c>
      <c r="E1456">
        <v>0.74065135954879202</v>
      </c>
      <c r="F1456">
        <v>1</v>
      </c>
      <c r="G1456" s="1" t="s">
        <v>1791</v>
      </c>
      <c r="H1456" t="s">
        <v>1791</v>
      </c>
      <c r="I1456" t="s">
        <v>1791</v>
      </c>
    </row>
    <row r="1457" spans="1:9" x14ac:dyDescent="0.2">
      <c r="A1457">
        <v>65</v>
      </c>
      <c r="B1457">
        <v>9</v>
      </c>
      <c r="C1457" t="s">
        <v>16</v>
      </c>
      <c r="D1457">
        <v>0</v>
      </c>
      <c r="E1457">
        <v>0.88177588069811497</v>
      </c>
      <c r="F1457">
        <v>1</v>
      </c>
      <c r="G1457" s="1" t="s">
        <v>1792</v>
      </c>
      <c r="H1457" t="s">
        <v>1792</v>
      </c>
      <c r="I1457" t="s">
        <v>1792</v>
      </c>
    </row>
    <row r="1458" spans="1:9" x14ac:dyDescent="0.2">
      <c r="A1458">
        <v>60</v>
      </c>
      <c r="B1458">
        <v>14</v>
      </c>
      <c r="C1458" t="s">
        <v>8</v>
      </c>
      <c r="D1458">
        <v>0</v>
      </c>
      <c r="E1458">
        <v>0.61127283587120496</v>
      </c>
      <c r="F1458">
        <v>1</v>
      </c>
      <c r="G1458" s="1" t="s">
        <v>1793</v>
      </c>
      <c r="H1458" t="s">
        <v>1793</v>
      </c>
      <c r="I1458" t="s">
        <v>1793</v>
      </c>
    </row>
    <row r="1459" spans="1:9" x14ac:dyDescent="0.2">
      <c r="A1459">
        <v>48</v>
      </c>
      <c r="B1459">
        <v>3</v>
      </c>
      <c r="C1459" t="s">
        <v>8</v>
      </c>
      <c r="D1459">
        <v>0</v>
      </c>
      <c r="E1459">
        <v>0.92892500420566604</v>
      </c>
      <c r="F1459">
        <v>1</v>
      </c>
      <c r="G1459" s="1" t="s">
        <v>1794</v>
      </c>
      <c r="H1459" t="s">
        <v>1794</v>
      </c>
      <c r="I1459" t="s">
        <v>1794</v>
      </c>
    </row>
    <row r="1460" spans="1:9" x14ac:dyDescent="0.2">
      <c r="A1460">
        <v>64</v>
      </c>
      <c r="B1460">
        <v>2</v>
      </c>
      <c r="C1460" t="s">
        <v>8</v>
      </c>
      <c r="D1460">
        <v>0</v>
      </c>
      <c r="E1460">
        <v>0.84370218508411199</v>
      </c>
      <c r="F1460">
        <v>1</v>
      </c>
      <c r="G1460" s="1" t="s">
        <v>1795</v>
      </c>
      <c r="H1460" t="s">
        <v>1795</v>
      </c>
      <c r="I1460" t="s">
        <v>1795</v>
      </c>
    </row>
    <row r="1461" spans="1:9" x14ac:dyDescent="0.2">
      <c r="A1461">
        <v>59</v>
      </c>
      <c r="B1461">
        <v>11</v>
      </c>
      <c r="C1461" t="s">
        <v>8</v>
      </c>
      <c r="D1461">
        <v>0</v>
      </c>
      <c r="E1461">
        <v>0.96711019286885902</v>
      </c>
      <c r="F1461">
        <v>1</v>
      </c>
      <c r="G1461" s="1" t="s">
        <v>1796</v>
      </c>
      <c r="H1461" t="s">
        <v>1796</v>
      </c>
      <c r="I1461" t="s">
        <v>1796</v>
      </c>
    </row>
    <row r="1462" spans="1:9" x14ac:dyDescent="0.2">
      <c r="A1462">
        <v>59</v>
      </c>
      <c r="B1462">
        <v>7</v>
      </c>
      <c r="C1462" t="s">
        <v>8</v>
      </c>
      <c r="D1462">
        <v>0</v>
      </c>
      <c r="E1462">
        <v>0.93854768120218102</v>
      </c>
      <c r="F1462">
        <v>2</v>
      </c>
      <c r="G1462" s="1" t="s">
        <v>1797</v>
      </c>
      <c r="H1462" t="s">
        <v>1798</v>
      </c>
      <c r="I1462" t="s">
        <v>1797</v>
      </c>
    </row>
    <row r="1463" spans="1:9" x14ac:dyDescent="0.2">
      <c r="A1463">
        <v>89</v>
      </c>
      <c r="B1463">
        <v>14</v>
      </c>
      <c r="C1463" t="s">
        <v>10</v>
      </c>
      <c r="D1463">
        <v>1</v>
      </c>
      <c r="E1463">
        <v>0.82926467293873396</v>
      </c>
      <c r="F1463">
        <v>2</v>
      </c>
      <c r="G1463" s="1" t="s">
        <v>1799</v>
      </c>
      <c r="H1463" t="s">
        <v>1800</v>
      </c>
      <c r="I1463" t="s">
        <v>1799</v>
      </c>
    </row>
    <row r="1464" spans="1:9" x14ac:dyDescent="0.2">
      <c r="A1464">
        <v>90</v>
      </c>
      <c r="B1464">
        <v>7</v>
      </c>
      <c r="C1464" t="s">
        <v>16</v>
      </c>
      <c r="D1464">
        <v>1</v>
      </c>
      <c r="E1464">
        <v>0.708173536229879</v>
      </c>
      <c r="F1464">
        <v>1</v>
      </c>
      <c r="G1464" s="1" t="s">
        <v>1801</v>
      </c>
      <c r="H1464" t="s">
        <v>1801</v>
      </c>
      <c r="I1464" t="s">
        <v>1801</v>
      </c>
    </row>
    <row r="1465" spans="1:9" x14ac:dyDescent="0.2">
      <c r="A1465">
        <v>68</v>
      </c>
      <c r="B1465">
        <v>9</v>
      </c>
      <c r="C1465" t="s">
        <v>8</v>
      </c>
      <c r="D1465">
        <v>0</v>
      </c>
      <c r="E1465">
        <v>0.92641281813848797</v>
      </c>
      <c r="F1465">
        <v>1</v>
      </c>
      <c r="G1465" s="1" t="s">
        <v>1802</v>
      </c>
      <c r="H1465" t="s">
        <v>1802</v>
      </c>
      <c r="I1465" t="s">
        <v>1802</v>
      </c>
    </row>
    <row r="1466" spans="1:9" x14ac:dyDescent="0.2">
      <c r="A1466">
        <v>36</v>
      </c>
      <c r="B1466">
        <v>2</v>
      </c>
      <c r="C1466" t="s">
        <v>8</v>
      </c>
      <c r="D1466">
        <v>1</v>
      </c>
      <c r="E1466">
        <v>0.93173803563695401</v>
      </c>
      <c r="F1466">
        <v>1</v>
      </c>
      <c r="G1466" s="1" t="s">
        <v>1803</v>
      </c>
      <c r="H1466" t="s">
        <v>1803</v>
      </c>
      <c r="I1466" t="s">
        <v>1803</v>
      </c>
    </row>
    <row r="1467" spans="1:9" x14ac:dyDescent="0.2">
      <c r="A1467">
        <v>33</v>
      </c>
      <c r="B1467">
        <v>14</v>
      </c>
      <c r="C1467" t="s">
        <v>10</v>
      </c>
      <c r="D1467">
        <v>0</v>
      </c>
      <c r="E1467">
        <v>0.75733129249419995</v>
      </c>
      <c r="F1467">
        <v>2</v>
      </c>
      <c r="G1467" s="1" t="s">
        <v>1804</v>
      </c>
      <c r="H1467" t="s">
        <v>1805</v>
      </c>
      <c r="I1467" t="s">
        <v>1804</v>
      </c>
    </row>
    <row r="1468" spans="1:9" x14ac:dyDescent="0.2">
      <c r="A1468">
        <v>57</v>
      </c>
      <c r="B1468">
        <v>10</v>
      </c>
      <c r="C1468" t="s">
        <v>8</v>
      </c>
      <c r="D1468">
        <v>0</v>
      </c>
      <c r="E1468">
        <v>0.56417708401568201</v>
      </c>
      <c r="F1468">
        <v>1</v>
      </c>
      <c r="G1468" s="1" t="s">
        <v>1806</v>
      </c>
      <c r="H1468" t="s">
        <v>1806</v>
      </c>
      <c r="I1468" t="s">
        <v>1806</v>
      </c>
    </row>
    <row r="1469" spans="1:9" x14ac:dyDescent="0.2">
      <c r="A1469">
        <v>65</v>
      </c>
      <c r="B1469">
        <v>9</v>
      </c>
      <c r="C1469" t="s">
        <v>10</v>
      </c>
      <c r="D1469">
        <v>0</v>
      </c>
      <c r="E1469">
        <v>0.66501127625815604</v>
      </c>
      <c r="F1469">
        <v>1</v>
      </c>
      <c r="G1469" s="1" t="s">
        <v>1807</v>
      </c>
      <c r="H1469" t="s">
        <v>1807</v>
      </c>
      <c r="I1469" t="s">
        <v>1807</v>
      </c>
    </row>
    <row r="1470" spans="1:9" x14ac:dyDescent="0.2">
      <c r="A1470">
        <v>73</v>
      </c>
      <c r="B1470">
        <v>10</v>
      </c>
      <c r="C1470" t="s">
        <v>16</v>
      </c>
      <c r="D1470">
        <v>0</v>
      </c>
      <c r="E1470">
        <v>0.70909124717581995</v>
      </c>
      <c r="F1470">
        <v>1</v>
      </c>
      <c r="G1470" s="1" t="s">
        <v>1808</v>
      </c>
      <c r="H1470" t="s">
        <v>1808</v>
      </c>
      <c r="I1470" t="s">
        <v>1808</v>
      </c>
    </row>
    <row r="1471" spans="1:9" x14ac:dyDescent="0.2">
      <c r="A1471">
        <v>73</v>
      </c>
      <c r="B1471">
        <v>10</v>
      </c>
      <c r="C1471" t="s">
        <v>16</v>
      </c>
      <c r="D1471">
        <v>0</v>
      </c>
      <c r="E1471">
        <v>0.91384383745025799</v>
      </c>
      <c r="F1471">
        <v>1</v>
      </c>
      <c r="G1471" s="1" t="s">
        <v>1809</v>
      </c>
      <c r="H1471" t="s">
        <v>1809</v>
      </c>
      <c r="I1471" t="s">
        <v>1809</v>
      </c>
    </row>
    <row r="1472" spans="1:9" x14ac:dyDescent="0.2">
      <c r="A1472">
        <v>69</v>
      </c>
      <c r="B1472">
        <v>13</v>
      </c>
      <c r="C1472" t="s">
        <v>8</v>
      </c>
      <c r="D1472">
        <v>0</v>
      </c>
      <c r="E1472">
        <v>0.97244976798538096</v>
      </c>
      <c r="F1472">
        <v>4</v>
      </c>
      <c r="G1472" s="1" t="s">
        <v>1810</v>
      </c>
      <c r="H1472" t="s">
        <v>1811</v>
      </c>
      <c r="I1472" t="s">
        <v>1810</v>
      </c>
    </row>
    <row r="1473" spans="1:9" x14ac:dyDescent="0.2">
      <c r="A1473">
        <v>50</v>
      </c>
      <c r="B1473">
        <v>6</v>
      </c>
      <c r="C1473" t="s">
        <v>16</v>
      </c>
      <c r="D1473">
        <v>2</v>
      </c>
      <c r="E1473">
        <v>0.86103360145352803</v>
      </c>
      <c r="F1473">
        <v>1</v>
      </c>
      <c r="G1473" s="1" t="s">
        <v>1812</v>
      </c>
      <c r="H1473" t="s">
        <v>1812</v>
      </c>
      <c r="I1473" t="s">
        <v>1812</v>
      </c>
    </row>
    <row r="1474" spans="1:9" x14ac:dyDescent="0.2">
      <c r="A1474">
        <v>70</v>
      </c>
      <c r="B1474">
        <v>14</v>
      </c>
      <c r="C1474" t="s">
        <v>8</v>
      </c>
      <c r="D1474">
        <v>0</v>
      </c>
      <c r="E1474">
        <v>0.62392392079345904</v>
      </c>
      <c r="F1474">
        <v>1</v>
      </c>
      <c r="G1474" s="1" t="s">
        <v>1813</v>
      </c>
      <c r="H1474" t="s">
        <v>1813</v>
      </c>
      <c r="I1474" t="s">
        <v>1813</v>
      </c>
    </row>
    <row r="1475" spans="1:9" x14ac:dyDescent="0.2">
      <c r="A1475">
        <v>43</v>
      </c>
      <c r="B1475">
        <v>8</v>
      </c>
      <c r="C1475" t="s">
        <v>16</v>
      </c>
      <c r="D1475">
        <v>1</v>
      </c>
      <c r="E1475">
        <v>0.98930901975836605</v>
      </c>
      <c r="F1475">
        <v>2</v>
      </c>
      <c r="G1475" s="1" t="s">
        <v>1814</v>
      </c>
      <c r="H1475" t="s">
        <v>1815</v>
      </c>
      <c r="I1475" t="s">
        <v>1814</v>
      </c>
    </row>
    <row r="1476" spans="1:9" x14ac:dyDescent="0.2">
      <c r="A1476">
        <v>85</v>
      </c>
      <c r="B1476">
        <v>15</v>
      </c>
      <c r="C1476" t="s">
        <v>8</v>
      </c>
      <c r="D1476">
        <v>0</v>
      </c>
      <c r="E1476">
        <v>0.92723346792627104</v>
      </c>
      <c r="F1476">
        <v>3</v>
      </c>
      <c r="G1476" s="1" t="s">
        <v>1816</v>
      </c>
      <c r="H1476" t="s">
        <v>1817</v>
      </c>
      <c r="I1476" t="s">
        <v>1816</v>
      </c>
    </row>
    <row r="1477" spans="1:9" x14ac:dyDescent="0.2">
      <c r="A1477">
        <v>62</v>
      </c>
      <c r="B1477">
        <v>10</v>
      </c>
      <c r="C1477" t="s">
        <v>8</v>
      </c>
      <c r="D1477">
        <v>0</v>
      </c>
      <c r="E1477">
        <v>0.85410587978549302</v>
      </c>
      <c r="F1477">
        <v>1</v>
      </c>
      <c r="G1477" s="1" t="s">
        <v>1818</v>
      </c>
      <c r="H1477" t="s">
        <v>1818</v>
      </c>
      <c r="I1477" t="s">
        <v>1818</v>
      </c>
    </row>
    <row r="1478" spans="1:9" x14ac:dyDescent="0.2">
      <c r="A1478">
        <v>47</v>
      </c>
      <c r="B1478">
        <v>13</v>
      </c>
      <c r="C1478" t="s">
        <v>8</v>
      </c>
      <c r="D1478">
        <v>1</v>
      </c>
      <c r="E1478">
        <v>0.81076916295569401</v>
      </c>
      <c r="F1478">
        <v>1</v>
      </c>
      <c r="G1478" s="1" t="s">
        <v>1819</v>
      </c>
      <c r="H1478" t="s">
        <v>1819</v>
      </c>
      <c r="I1478" t="s">
        <v>1819</v>
      </c>
    </row>
    <row r="1479" spans="1:9" x14ac:dyDescent="0.2">
      <c r="A1479">
        <v>30</v>
      </c>
      <c r="B1479">
        <v>14</v>
      </c>
      <c r="C1479" t="s">
        <v>10</v>
      </c>
      <c r="D1479">
        <v>0</v>
      </c>
      <c r="E1479">
        <v>0.53174051095265895</v>
      </c>
      <c r="F1479">
        <v>1</v>
      </c>
      <c r="G1479" s="1" t="s">
        <v>1820</v>
      </c>
      <c r="H1479" t="s">
        <v>1820</v>
      </c>
      <c r="I1479" t="s">
        <v>1820</v>
      </c>
    </row>
    <row r="1480" spans="1:9" x14ac:dyDescent="0.2">
      <c r="A1480">
        <v>84</v>
      </c>
      <c r="B1480">
        <v>11</v>
      </c>
      <c r="C1480" t="s">
        <v>10</v>
      </c>
      <c r="D1480">
        <v>0</v>
      </c>
      <c r="E1480">
        <v>0.63305345433764204</v>
      </c>
      <c r="F1480">
        <v>1</v>
      </c>
      <c r="G1480" s="1" t="s">
        <v>1821</v>
      </c>
      <c r="H1480" t="s">
        <v>1821</v>
      </c>
      <c r="I1480" t="s">
        <v>1821</v>
      </c>
    </row>
    <row r="1481" spans="1:9" x14ac:dyDescent="0.2">
      <c r="A1481">
        <v>81</v>
      </c>
      <c r="B1481">
        <v>8</v>
      </c>
      <c r="C1481" t="s">
        <v>8</v>
      </c>
      <c r="D1481">
        <v>1</v>
      </c>
      <c r="E1481">
        <v>0.66360210988204904</v>
      </c>
      <c r="F1481">
        <v>1</v>
      </c>
      <c r="G1481" s="1" t="s">
        <v>1822</v>
      </c>
      <c r="H1481" t="s">
        <v>1822</v>
      </c>
      <c r="I1481" t="s">
        <v>1822</v>
      </c>
    </row>
    <row r="1482" spans="1:9" x14ac:dyDescent="0.2">
      <c r="A1482">
        <v>62</v>
      </c>
      <c r="B1482">
        <v>12</v>
      </c>
      <c r="C1482" t="s">
        <v>8</v>
      </c>
      <c r="D1482">
        <v>0</v>
      </c>
      <c r="E1482">
        <v>0.71194561931770295</v>
      </c>
      <c r="F1482">
        <v>2</v>
      </c>
      <c r="G1482" s="1" t="s">
        <v>1823</v>
      </c>
      <c r="H1482" t="s">
        <v>1824</v>
      </c>
      <c r="I1482" t="s">
        <v>1823</v>
      </c>
    </row>
    <row r="1483" spans="1:9" x14ac:dyDescent="0.2">
      <c r="A1483">
        <v>68</v>
      </c>
      <c r="B1483">
        <v>14</v>
      </c>
      <c r="C1483" t="s">
        <v>8</v>
      </c>
      <c r="D1483">
        <v>0</v>
      </c>
      <c r="E1483">
        <v>0.67687444447074097</v>
      </c>
      <c r="F1483">
        <v>1</v>
      </c>
      <c r="G1483" s="1" t="s">
        <v>1825</v>
      </c>
      <c r="H1483" t="s">
        <v>1825</v>
      </c>
      <c r="I1483" t="s">
        <v>1825</v>
      </c>
    </row>
    <row r="1484" spans="1:9" x14ac:dyDescent="0.2">
      <c r="A1484">
        <v>54</v>
      </c>
      <c r="B1484">
        <v>15</v>
      </c>
      <c r="C1484" t="s">
        <v>8</v>
      </c>
      <c r="D1484">
        <v>1</v>
      </c>
      <c r="E1484">
        <v>0.98951301479246501</v>
      </c>
      <c r="F1484">
        <v>1</v>
      </c>
      <c r="G1484" s="1" t="s">
        <v>1826</v>
      </c>
      <c r="H1484" t="s">
        <v>1826</v>
      </c>
      <c r="I1484" t="s">
        <v>1826</v>
      </c>
    </row>
    <row r="1485" spans="1:9" x14ac:dyDescent="0.2">
      <c r="A1485">
        <v>48</v>
      </c>
      <c r="B1485">
        <v>9</v>
      </c>
      <c r="C1485" t="s">
        <v>8</v>
      </c>
      <c r="D1485">
        <v>2</v>
      </c>
      <c r="E1485">
        <v>0.64195877150632397</v>
      </c>
      <c r="F1485">
        <v>1</v>
      </c>
      <c r="G1485" s="1" t="s">
        <v>1827</v>
      </c>
      <c r="H1485" t="s">
        <v>1827</v>
      </c>
      <c r="I1485" t="s">
        <v>1827</v>
      </c>
    </row>
    <row r="1486" spans="1:9" x14ac:dyDescent="0.2">
      <c r="A1486">
        <v>60</v>
      </c>
      <c r="B1486">
        <v>7</v>
      </c>
      <c r="C1486" t="s">
        <v>10</v>
      </c>
      <c r="D1486">
        <v>0</v>
      </c>
      <c r="E1486">
        <v>0.92309838696382895</v>
      </c>
      <c r="F1486">
        <v>1</v>
      </c>
      <c r="G1486" s="1" t="s">
        <v>1828</v>
      </c>
      <c r="H1486" t="s">
        <v>1828</v>
      </c>
      <c r="I1486" t="s">
        <v>1828</v>
      </c>
    </row>
    <row r="1487" spans="1:9" x14ac:dyDescent="0.2">
      <c r="A1487">
        <v>29</v>
      </c>
      <c r="B1487">
        <v>15</v>
      </c>
      <c r="C1487" t="s">
        <v>8</v>
      </c>
      <c r="D1487">
        <v>0</v>
      </c>
      <c r="E1487">
        <v>0.56936759781092405</v>
      </c>
      <c r="F1487">
        <v>1</v>
      </c>
      <c r="G1487" s="1" t="s">
        <v>1829</v>
      </c>
      <c r="H1487" t="s">
        <v>1829</v>
      </c>
      <c r="I1487" t="s">
        <v>1829</v>
      </c>
    </row>
    <row r="1488" spans="1:9" x14ac:dyDescent="0.2">
      <c r="A1488">
        <v>38</v>
      </c>
      <c r="B1488">
        <v>9</v>
      </c>
      <c r="C1488" t="s">
        <v>10</v>
      </c>
      <c r="D1488">
        <v>2</v>
      </c>
      <c r="E1488">
        <v>0.94741150643676497</v>
      </c>
      <c r="F1488">
        <v>1</v>
      </c>
      <c r="G1488" s="1" t="s">
        <v>1830</v>
      </c>
      <c r="H1488" t="s">
        <v>1830</v>
      </c>
      <c r="I1488" t="s">
        <v>1830</v>
      </c>
    </row>
    <row r="1489" spans="1:9" x14ac:dyDescent="0.2">
      <c r="A1489">
        <v>55</v>
      </c>
      <c r="B1489">
        <v>11</v>
      </c>
      <c r="C1489" t="s">
        <v>8</v>
      </c>
      <c r="D1489">
        <v>0</v>
      </c>
      <c r="E1489">
        <v>0.95665970805566802</v>
      </c>
      <c r="F1489">
        <v>1</v>
      </c>
      <c r="G1489" s="1" t="s">
        <v>1831</v>
      </c>
      <c r="H1489" t="s">
        <v>1831</v>
      </c>
      <c r="I1489" t="s">
        <v>1831</v>
      </c>
    </row>
    <row r="1490" spans="1:9" x14ac:dyDescent="0.2">
      <c r="A1490">
        <v>84</v>
      </c>
      <c r="B1490">
        <v>13</v>
      </c>
      <c r="C1490" t="s">
        <v>10</v>
      </c>
      <c r="D1490">
        <v>0</v>
      </c>
      <c r="E1490">
        <v>0.80767150351312</v>
      </c>
      <c r="F1490">
        <v>3</v>
      </c>
      <c r="G1490" s="1" t="s">
        <v>1832</v>
      </c>
      <c r="H1490" t="s">
        <v>1833</v>
      </c>
      <c r="I1490" t="s">
        <v>1832</v>
      </c>
    </row>
    <row r="1491" spans="1:9" x14ac:dyDescent="0.2">
      <c r="A1491">
        <v>29</v>
      </c>
      <c r="B1491">
        <v>2</v>
      </c>
      <c r="C1491" t="s">
        <v>8</v>
      </c>
      <c r="D1491">
        <v>0</v>
      </c>
      <c r="E1491">
        <v>0.960295171709731</v>
      </c>
      <c r="F1491">
        <v>1</v>
      </c>
      <c r="G1491" s="1" t="s">
        <v>1834</v>
      </c>
      <c r="H1491" t="s">
        <v>1834</v>
      </c>
      <c r="I1491" t="s">
        <v>1834</v>
      </c>
    </row>
    <row r="1492" spans="1:9" x14ac:dyDescent="0.2">
      <c r="A1492">
        <v>66</v>
      </c>
      <c r="B1492">
        <v>13</v>
      </c>
      <c r="C1492" t="s">
        <v>8</v>
      </c>
      <c r="D1492">
        <v>0</v>
      </c>
      <c r="E1492">
        <v>0.64299133408348996</v>
      </c>
      <c r="F1492">
        <v>1</v>
      </c>
      <c r="G1492" s="1" t="s">
        <v>1835</v>
      </c>
      <c r="H1492" t="s">
        <v>1835</v>
      </c>
      <c r="I1492" t="s">
        <v>1835</v>
      </c>
    </row>
    <row r="1493" spans="1:9" x14ac:dyDescent="0.2">
      <c r="A1493">
        <v>66</v>
      </c>
      <c r="B1493">
        <v>14</v>
      </c>
      <c r="C1493" t="s">
        <v>8</v>
      </c>
      <c r="D1493">
        <v>0</v>
      </c>
      <c r="E1493">
        <v>0.81412425218149997</v>
      </c>
      <c r="F1493">
        <v>1</v>
      </c>
      <c r="G1493" s="1" t="s">
        <v>1836</v>
      </c>
      <c r="H1493" t="s">
        <v>1836</v>
      </c>
      <c r="I1493" t="s">
        <v>1836</v>
      </c>
    </row>
    <row r="1494" spans="1:9" x14ac:dyDescent="0.2">
      <c r="A1494">
        <v>22</v>
      </c>
      <c r="B1494">
        <v>14</v>
      </c>
      <c r="C1494" t="s">
        <v>8</v>
      </c>
      <c r="D1494">
        <v>2</v>
      </c>
      <c r="E1494">
        <v>0.76965308748185601</v>
      </c>
      <c r="F1494">
        <v>1</v>
      </c>
      <c r="G1494" s="1" t="s">
        <v>1837</v>
      </c>
      <c r="H1494" t="s">
        <v>1837</v>
      </c>
      <c r="I1494" t="s">
        <v>1837</v>
      </c>
    </row>
    <row r="1495" spans="1:9" x14ac:dyDescent="0.2">
      <c r="A1495">
        <v>47</v>
      </c>
      <c r="B1495">
        <v>14</v>
      </c>
      <c r="C1495" t="s">
        <v>8</v>
      </c>
      <c r="D1495">
        <v>0</v>
      </c>
      <c r="E1495">
        <v>0.75621516513638198</v>
      </c>
      <c r="F1495">
        <v>2</v>
      </c>
      <c r="G1495" s="1" t="s">
        <v>1838</v>
      </c>
      <c r="H1495" t="s">
        <v>1839</v>
      </c>
      <c r="I1495" t="s">
        <v>1838</v>
      </c>
    </row>
    <row r="1496" spans="1:9" x14ac:dyDescent="0.2">
      <c r="A1496">
        <v>20</v>
      </c>
      <c r="B1496">
        <v>6</v>
      </c>
      <c r="C1496" t="s">
        <v>10</v>
      </c>
      <c r="D1496">
        <v>1</v>
      </c>
      <c r="E1496">
        <v>0.62395234359428298</v>
      </c>
      <c r="F1496">
        <v>1</v>
      </c>
      <c r="G1496" s="1" t="s">
        <v>1840</v>
      </c>
      <c r="H1496" t="s">
        <v>1840</v>
      </c>
      <c r="I1496" t="s">
        <v>1840</v>
      </c>
    </row>
    <row r="1497" spans="1:9" x14ac:dyDescent="0.2">
      <c r="A1497">
        <v>65</v>
      </c>
      <c r="B1497">
        <v>7</v>
      </c>
      <c r="C1497" t="s">
        <v>16</v>
      </c>
      <c r="D1497">
        <v>0</v>
      </c>
      <c r="E1497">
        <v>0.87790453829802595</v>
      </c>
      <c r="F1497">
        <v>1</v>
      </c>
      <c r="G1497" s="1" t="s">
        <v>1841</v>
      </c>
      <c r="H1497" t="s">
        <v>1841</v>
      </c>
      <c r="I1497" t="s">
        <v>1841</v>
      </c>
    </row>
    <row r="1498" spans="1:9" x14ac:dyDescent="0.2">
      <c r="A1498">
        <v>46</v>
      </c>
      <c r="B1498">
        <v>11</v>
      </c>
      <c r="C1498" t="s">
        <v>8</v>
      </c>
      <c r="D1498">
        <v>0</v>
      </c>
      <c r="E1498">
        <v>0.66946056101005502</v>
      </c>
      <c r="F1498">
        <v>1</v>
      </c>
      <c r="G1498" s="1" t="s">
        <v>1842</v>
      </c>
      <c r="H1498" t="s">
        <v>1842</v>
      </c>
      <c r="I1498" t="s">
        <v>1842</v>
      </c>
    </row>
    <row r="1499" spans="1:9" x14ac:dyDescent="0.2">
      <c r="A1499">
        <v>63</v>
      </c>
      <c r="B1499">
        <v>12</v>
      </c>
      <c r="C1499" t="s">
        <v>10</v>
      </c>
      <c r="D1499">
        <v>0</v>
      </c>
      <c r="E1499">
        <v>0.67018015822395705</v>
      </c>
      <c r="F1499">
        <v>1</v>
      </c>
      <c r="G1499" s="1" t="s">
        <v>1843</v>
      </c>
      <c r="H1499" t="s">
        <v>1843</v>
      </c>
      <c r="I1499" t="s">
        <v>1843</v>
      </c>
    </row>
    <row r="1500" spans="1:9" x14ac:dyDescent="0.2">
      <c r="A1500">
        <v>73</v>
      </c>
      <c r="B1500">
        <v>5</v>
      </c>
      <c r="C1500" t="s">
        <v>10</v>
      </c>
      <c r="D1500">
        <v>0</v>
      </c>
      <c r="E1500">
        <v>0.77253457321785401</v>
      </c>
      <c r="F1500">
        <v>1</v>
      </c>
      <c r="G1500" s="1" t="s">
        <v>1844</v>
      </c>
      <c r="H1500" t="s">
        <v>1844</v>
      </c>
      <c r="I1500" t="s">
        <v>1844</v>
      </c>
    </row>
    <row r="1501" spans="1:9" x14ac:dyDescent="0.2">
      <c r="A1501">
        <v>66</v>
      </c>
      <c r="B1501">
        <v>5</v>
      </c>
      <c r="C1501" t="s">
        <v>8</v>
      </c>
      <c r="D1501">
        <v>1</v>
      </c>
      <c r="E1501">
        <v>0.72389577794820104</v>
      </c>
      <c r="F1501">
        <v>1</v>
      </c>
      <c r="G1501" s="1" t="s">
        <v>1845</v>
      </c>
      <c r="H1501" t="s">
        <v>1845</v>
      </c>
      <c r="I1501" t="s">
        <v>1845</v>
      </c>
    </row>
    <row r="1502" spans="1:9" x14ac:dyDescent="0.2">
      <c r="A1502">
        <v>70</v>
      </c>
      <c r="B1502">
        <v>3</v>
      </c>
      <c r="C1502" t="s">
        <v>8</v>
      </c>
      <c r="D1502">
        <v>0</v>
      </c>
      <c r="E1502">
        <v>0.70288237871136505</v>
      </c>
      <c r="F1502">
        <v>1</v>
      </c>
      <c r="G1502" s="1" t="s">
        <v>1846</v>
      </c>
      <c r="H1502" t="s">
        <v>1846</v>
      </c>
      <c r="I1502" t="s">
        <v>1846</v>
      </c>
    </row>
    <row r="1503" spans="1:9" x14ac:dyDescent="0.2">
      <c r="A1503">
        <v>65</v>
      </c>
      <c r="B1503">
        <v>4</v>
      </c>
      <c r="C1503" t="s">
        <v>16</v>
      </c>
      <c r="D1503">
        <v>0</v>
      </c>
      <c r="E1503">
        <v>0.74859553005080703</v>
      </c>
      <c r="F1503">
        <v>1</v>
      </c>
      <c r="G1503" s="1" t="s">
        <v>1847</v>
      </c>
      <c r="H1503" t="s">
        <v>1847</v>
      </c>
      <c r="I1503" t="s">
        <v>1847</v>
      </c>
    </row>
    <row r="1504" spans="1:9" x14ac:dyDescent="0.2">
      <c r="A1504">
        <v>84</v>
      </c>
      <c r="B1504">
        <v>3</v>
      </c>
      <c r="C1504" t="s">
        <v>16</v>
      </c>
      <c r="D1504">
        <v>0</v>
      </c>
      <c r="E1504">
        <v>0.80961816816125098</v>
      </c>
      <c r="F1504">
        <v>1</v>
      </c>
      <c r="G1504" s="1" t="s">
        <v>1848</v>
      </c>
      <c r="H1504" t="s">
        <v>1848</v>
      </c>
      <c r="I1504" t="s">
        <v>1848</v>
      </c>
    </row>
    <row r="1505" spans="1:9" x14ac:dyDescent="0.2">
      <c r="A1505">
        <v>32</v>
      </c>
      <c r="B1505">
        <v>13</v>
      </c>
      <c r="C1505" t="s">
        <v>16</v>
      </c>
      <c r="D1505">
        <v>0</v>
      </c>
      <c r="E1505">
        <v>0.500473316409625</v>
      </c>
      <c r="F1505">
        <v>1</v>
      </c>
      <c r="G1505" s="1" t="s">
        <v>1849</v>
      </c>
      <c r="H1505" t="s">
        <v>1849</v>
      </c>
      <c r="I1505" t="s">
        <v>1849</v>
      </c>
    </row>
    <row r="1506" spans="1:9" x14ac:dyDescent="0.2">
      <c r="A1506">
        <v>29</v>
      </c>
      <c r="B1506">
        <v>8</v>
      </c>
      <c r="C1506" t="s">
        <v>8</v>
      </c>
      <c r="D1506">
        <v>0</v>
      </c>
      <c r="E1506">
        <v>0.90752912242896899</v>
      </c>
      <c r="F1506">
        <v>1</v>
      </c>
      <c r="G1506" s="1" t="s">
        <v>1850</v>
      </c>
      <c r="H1506" t="s">
        <v>1850</v>
      </c>
      <c r="I1506" t="s">
        <v>1850</v>
      </c>
    </row>
    <row r="1507" spans="1:9" x14ac:dyDescent="0.2">
      <c r="A1507">
        <v>20</v>
      </c>
      <c r="B1507">
        <v>11</v>
      </c>
      <c r="C1507" t="s">
        <v>8</v>
      </c>
      <c r="D1507">
        <v>0</v>
      </c>
      <c r="E1507">
        <v>0.93815402791369695</v>
      </c>
      <c r="F1507">
        <v>1</v>
      </c>
      <c r="G1507" s="1" t="s">
        <v>1851</v>
      </c>
      <c r="H1507" t="s">
        <v>1851</v>
      </c>
      <c r="I1507" t="s">
        <v>1851</v>
      </c>
    </row>
    <row r="1508" spans="1:9" x14ac:dyDescent="0.2">
      <c r="A1508">
        <v>79</v>
      </c>
      <c r="B1508">
        <v>14</v>
      </c>
      <c r="C1508" t="s">
        <v>8</v>
      </c>
      <c r="D1508">
        <v>0</v>
      </c>
      <c r="E1508">
        <v>0.939117950969376</v>
      </c>
      <c r="F1508">
        <v>1</v>
      </c>
      <c r="G1508" s="1" t="s">
        <v>1852</v>
      </c>
      <c r="H1508" t="s">
        <v>1852</v>
      </c>
      <c r="I1508" t="s">
        <v>1852</v>
      </c>
    </row>
    <row r="1509" spans="1:9" x14ac:dyDescent="0.2">
      <c r="A1509">
        <v>81</v>
      </c>
      <c r="B1509">
        <v>7</v>
      </c>
      <c r="C1509" t="s">
        <v>8</v>
      </c>
      <c r="D1509">
        <v>1</v>
      </c>
      <c r="E1509">
        <v>0.60580768610816405</v>
      </c>
      <c r="F1509">
        <v>1</v>
      </c>
      <c r="G1509" s="1" t="s">
        <v>1853</v>
      </c>
      <c r="H1509" t="s">
        <v>1853</v>
      </c>
      <c r="I1509" t="s">
        <v>1853</v>
      </c>
    </row>
    <row r="1510" spans="1:9" x14ac:dyDescent="0.2">
      <c r="A1510">
        <v>42</v>
      </c>
      <c r="B1510">
        <v>11</v>
      </c>
      <c r="C1510" t="s">
        <v>10</v>
      </c>
      <c r="D1510">
        <v>0</v>
      </c>
      <c r="E1510">
        <v>0.81813663197681297</v>
      </c>
      <c r="F1510">
        <v>1</v>
      </c>
      <c r="G1510" s="1" t="s">
        <v>1854</v>
      </c>
      <c r="H1510" t="s">
        <v>1854</v>
      </c>
      <c r="I1510" t="s">
        <v>1854</v>
      </c>
    </row>
    <row r="1511" spans="1:9" x14ac:dyDescent="0.2">
      <c r="A1511">
        <v>35</v>
      </c>
      <c r="B1511">
        <v>2</v>
      </c>
      <c r="C1511" t="s">
        <v>16</v>
      </c>
      <c r="D1511">
        <v>0</v>
      </c>
      <c r="E1511">
        <v>0.78863944939803299</v>
      </c>
      <c r="F1511">
        <v>1</v>
      </c>
      <c r="G1511" s="1" t="s">
        <v>1855</v>
      </c>
      <c r="H1511" t="s">
        <v>1855</v>
      </c>
      <c r="I1511" t="s">
        <v>1855</v>
      </c>
    </row>
    <row r="1512" spans="1:9" x14ac:dyDescent="0.2">
      <c r="A1512">
        <v>48</v>
      </c>
      <c r="B1512">
        <v>1</v>
      </c>
      <c r="C1512" t="s">
        <v>10</v>
      </c>
      <c r="D1512">
        <v>0</v>
      </c>
      <c r="E1512">
        <v>0.80775058828294299</v>
      </c>
      <c r="F1512">
        <v>2</v>
      </c>
      <c r="G1512" s="1" t="s">
        <v>1856</v>
      </c>
      <c r="H1512" t="s">
        <v>1857</v>
      </c>
      <c r="I1512" t="s">
        <v>1856</v>
      </c>
    </row>
    <row r="1513" spans="1:9" x14ac:dyDescent="0.2">
      <c r="A1513">
        <v>32</v>
      </c>
      <c r="B1513">
        <v>12</v>
      </c>
      <c r="C1513" t="s">
        <v>8</v>
      </c>
      <c r="D1513">
        <v>1</v>
      </c>
      <c r="E1513">
        <v>0.90333406592253596</v>
      </c>
      <c r="F1513">
        <v>1</v>
      </c>
      <c r="G1513" s="1" t="s">
        <v>1858</v>
      </c>
      <c r="H1513" t="s">
        <v>1858</v>
      </c>
      <c r="I1513" t="s">
        <v>1858</v>
      </c>
    </row>
    <row r="1514" spans="1:9" x14ac:dyDescent="0.2">
      <c r="A1514">
        <v>65</v>
      </c>
      <c r="B1514">
        <v>10</v>
      </c>
      <c r="C1514" t="s">
        <v>8</v>
      </c>
      <c r="D1514">
        <v>0</v>
      </c>
      <c r="E1514">
        <v>0.54613639542367298</v>
      </c>
      <c r="F1514">
        <v>1</v>
      </c>
      <c r="G1514" s="1" t="s">
        <v>1859</v>
      </c>
      <c r="H1514" t="s">
        <v>1859</v>
      </c>
      <c r="I1514" t="s">
        <v>1859</v>
      </c>
    </row>
    <row r="1515" spans="1:9" x14ac:dyDescent="0.2">
      <c r="A1515">
        <v>49</v>
      </c>
      <c r="B1515">
        <v>4</v>
      </c>
      <c r="C1515" t="s">
        <v>10</v>
      </c>
      <c r="D1515">
        <v>0</v>
      </c>
      <c r="E1515">
        <v>0.64996456517837897</v>
      </c>
      <c r="F1515">
        <v>1</v>
      </c>
      <c r="G1515" s="1" t="s">
        <v>1860</v>
      </c>
      <c r="H1515" t="s">
        <v>1860</v>
      </c>
      <c r="I1515" t="s">
        <v>1860</v>
      </c>
    </row>
    <row r="1516" spans="1:9" x14ac:dyDescent="0.2">
      <c r="A1516">
        <v>46</v>
      </c>
      <c r="B1516">
        <v>4</v>
      </c>
      <c r="C1516" t="s">
        <v>8</v>
      </c>
      <c r="D1516">
        <v>1</v>
      </c>
      <c r="E1516">
        <v>0.830271165817976</v>
      </c>
      <c r="F1516">
        <v>1</v>
      </c>
      <c r="G1516" s="1" t="s">
        <v>1861</v>
      </c>
      <c r="H1516" t="s">
        <v>1861</v>
      </c>
      <c r="I1516" t="s">
        <v>1861</v>
      </c>
    </row>
    <row r="1517" spans="1:9" x14ac:dyDescent="0.2">
      <c r="A1517">
        <v>22</v>
      </c>
      <c r="B1517">
        <v>7</v>
      </c>
      <c r="C1517" t="s">
        <v>16</v>
      </c>
      <c r="D1517">
        <v>1</v>
      </c>
      <c r="E1517">
        <v>0.98617228504735999</v>
      </c>
      <c r="F1517">
        <v>1</v>
      </c>
      <c r="G1517" s="1" t="s">
        <v>1862</v>
      </c>
      <c r="H1517" t="s">
        <v>1862</v>
      </c>
      <c r="I1517" t="s">
        <v>1862</v>
      </c>
    </row>
    <row r="1518" spans="1:9" x14ac:dyDescent="0.2">
      <c r="A1518">
        <v>40</v>
      </c>
      <c r="B1518">
        <v>14</v>
      </c>
      <c r="C1518" t="s">
        <v>8</v>
      </c>
      <c r="D1518">
        <v>0</v>
      </c>
      <c r="E1518">
        <v>0.50490531395189497</v>
      </c>
      <c r="F1518">
        <v>1</v>
      </c>
      <c r="G1518" s="1" t="s">
        <v>1863</v>
      </c>
      <c r="H1518" t="s">
        <v>1863</v>
      </c>
      <c r="I1518" t="s">
        <v>1863</v>
      </c>
    </row>
    <row r="1519" spans="1:9" x14ac:dyDescent="0.2">
      <c r="A1519">
        <v>72</v>
      </c>
      <c r="B1519">
        <v>3</v>
      </c>
      <c r="C1519" t="s">
        <v>8</v>
      </c>
      <c r="D1519">
        <v>1</v>
      </c>
      <c r="E1519">
        <v>0.63994010770693399</v>
      </c>
      <c r="F1519">
        <v>1</v>
      </c>
      <c r="G1519" s="1" t="s">
        <v>1864</v>
      </c>
      <c r="H1519" t="s">
        <v>1864</v>
      </c>
      <c r="I1519" t="s">
        <v>1864</v>
      </c>
    </row>
    <row r="1520" spans="1:9" x14ac:dyDescent="0.2">
      <c r="A1520">
        <v>84</v>
      </c>
      <c r="B1520">
        <v>12</v>
      </c>
      <c r="C1520" t="s">
        <v>16</v>
      </c>
      <c r="D1520">
        <v>0</v>
      </c>
      <c r="E1520">
        <v>0.995057167485356</v>
      </c>
      <c r="F1520">
        <v>1</v>
      </c>
      <c r="G1520" s="1" t="s">
        <v>1865</v>
      </c>
      <c r="H1520" t="s">
        <v>1865</v>
      </c>
      <c r="I1520" t="s">
        <v>1865</v>
      </c>
    </row>
    <row r="1521" spans="1:9" x14ac:dyDescent="0.2">
      <c r="A1521">
        <v>66</v>
      </c>
      <c r="B1521">
        <v>6</v>
      </c>
      <c r="C1521" t="s">
        <v>8</v>
      </c>
      <c r="D1521">
        <v>1</v>
      </c>
      <c r="E1521">
        <v>0.97520057123620096</v>
      </c>
      <c r="F1521">
        <v>1</v>
      </c>
      <c r="G1521" s="1" t="s">
        <v>1866</v>
      </c>
      <c r="H1521" t="s">
        <v>1866</v>
      </c>
      <c r="I1521" t="s">
        <v>1866</v>
      </c>
    </row>
    <row r="1522" spans="1:9" x14ac:dyDescent="0.2">
      <c r="A1522">
        <v>21</v>
      </c>
      <c r="B1522">
        <v>9</v>
      </c>
      <c r="C1522" t="s">
        <v>16</v>
      </c>
      <c r="D1522">
        <v>0</v>
      </c>
      <c r="E1522">
        <v>0.75684249482583299</v>
      </c>
      <c r="F1522">
        <v>1</v>
      </c>
      <c r="G1522" s="1" t="s">
        <v>1867</v>
      </c>
      <c r="H1522" t="s">
        <v>1867</v>
      </c>
      <c r="I1522" t="s">
        <v>1867</v>
      </c>
    </row>
    <row r="1523" spans="1:9" x14ac:dyDescent="0.2">
      <c r="A1523">
        <v>86</v>
      </c>
      <c r="B1523">
        <v>13</v>
      </c>
      <c r="C1523" t="s">
        <v>8</v>
      </c>
      <c r="D1523">
        <v>0</v>
      </c>
      <c r="E1523">
        <v>0.53734756074845802</v>
      </c>
      <c r="F1523">
        <v>1</v>
      </c>
      <c r="G1523" s="1" t="s">
        <v>1868</v>
      </c>
      <c r="H1523" t="s">
        <v>1868</v>
      </c>
      <c r="I1523" t="s">
        <v>1868</v>
      </c>
    </row>
    <row r="1524" spans="1:9" x14ac:dyDescent="0.2">
      <c r="A1524">
        <v>41</v>
      </c>
      <c r="B1524">
        <v>11</v>
      </c>
      <c r="C1524" t="s">
        <v>8</v>
      </c>
      <c r="D1524">
        <v>0</v>
      </c>
      <c r="E1524">
        <v>0.78662509366404298</v>
      </c>
      <c r="F1524">
        <v>1</v>
      </c>
      <c r="G1524" s="1" t="s">
        <v>1869</v>
      </c>
      <c r="H1524" t="s">
        <v>1869</v>
      </c>
      <c r="I1524" t="s">
        <v>1869</v>
      </c>
    </row>
    <row r="1525" spans="1:9" x14ac:dyDescent="0.2">
      <c r="A1525">
        <v>60</v>
      </c>
      <c r="B1525">
        <v>4</v>
      </c>
      <c r="C1525" t="s">
        <v>8</v>
      </c>
      <c r="D1525">
        <v>2</v>
      </c>
      <c r="E1525">
        <v>0.80164680932648502</v>
      </c>
      <c r="F1525">
        <v>1</v>
      </c>
      <c r="G1525" s="1" t="s">
        <v>1870</v>
      </c>
      <c r="H1525" t="s">
        <v>1870</v>
      </c>
      <c r="I1525" t="s">
        <v>1870</v>
      </c>
    </row>
    <row r="1526" spans="1:9" x14ac:dyDescent="0.2">
      <c r="A1526">
        <v>35</v>
      </c>
      <c r="B1526">
        <v>1</v>
      </c>
      <c r="C1526" t="s">
        <v>10</v>
      </c>
      <c r="D1526">
        <v>0</v>
      </c>
      <c r="E1526">
        <v>0.50389213406015199</v>
      </c>
      <c r="F1526">
        <v>1</v>
      </c>
      <c r="G1526" s="1" t="s">
        <v>1871</v>
      </c>
      <c r="H1526" t="s">
        <v>1871</v>
      </c>
      <c r="I1526" t="s">
        <v>1871</v>
      </c>
    </row>
    <row r="1527" spans="1:9" x14ac:dyDescent="0.2">
      <c r="A1527">
        <v>55</v>
      </c>
      <c r="B1527">
        <v>1</v>
      </c>
      <c r="C1527" t="s">
        <v>16</v>
      </c>
      <c r="D1527">
        <v>0</v>
      </c>
      <c r="E1527">
        <v>0.63379247637931302</v>
      </c>
      <c r="F1527">
        <v>1</v>
      </c>
      <c r="G1527" s="1" t="s">
        <v>1872</v>
      </c>
      <c r="H1527" t="s">
        <v>1872</v>
      </c>
      <c r="I1527" t="s">
        <v>1872</v>
      </c>
    </row>
    <row r="1528" spans="1:9" x14ac:dyDescent="0.2">
      <c r="A1528">
        <v>71</v>
      </c>
      <c r="B1528">
        <v>12</v>
      </c>
      <c r="C1528" t="s">
        <v>16</v>
      </c>
      <c r="D1528">
        <v>1</v>
      </c>
      <c r="E1528">
        <v>0.62800417875405401</v>
      </c>
      <c r="F1528">
        <v>2</v>
      </c>
      <c r="G1528" s="1" t="s">
        <v>1873</v>
      </c>
      <c r="H1528" t="s">
        <v>1874</v>
      </c>
      <c r="I1528" t="s">
        <v>1873</v>
      </c>
    </row>
    <row r="1529" spans="1:9" x14ac:dyDescent="0.2">
      <c r="A1529">
        <v>34</v>
      </c>
      <c r="B1529">
        <v>7</v>
      </c>
      <c r="C1529" t="s">
        <v>16</v>
      </c>
      <c r="D1529">
        <v>2</v>
      </c>
      <c r="E1529">
        <v>0.63403113628737595</v>
      </c>
      <c r="F1529">
        <v>1</v>
      </c>
      <c r="G1529" s="1" t="s">
        <v>1875</v>
      </c>
      <c r="H1529" t="s">
        <v>1875</v>
      </c>
      <c r="I1529" t="s">
        <v>1875</v>
      </c>
    </row>
    <row r="1530" spans="1:9" x14ac:dyDescent="0.2">
      <c r="A1530">
        <v>39</v>
      </c>
      <c r="B1530">
        <v>8</v>
      </c>
      <c r="C1530" t="s">
        <v>16</v>
      </c>
      <c r="D1530">
        <v>1</v>
      </c>
      <c r="E1530">
        <v>0.86516094650141895</v>
      </c>
      <c r="F1530">
        <v>2</v>
      </c>
      <c r="G1530" s="1" t="s">
        <v>1876</v>
      </c>
      <c r="H1530" t="s">
        <v>1877</v>
      </c>
      <c r="I1530" t="s">
        <v>1876</v>
      </c>
    </row>
    <row r="1531" spans="1:9" x14ac:dyDescent="0.2">
      <c r="A1531">
        <v>85</v>
      </c>
      <c r="B1531">
        <v>13</v>
      </c>
      <c r="C1531" t="s">
        <v>10</v>
      </c>
      <c r="D1531">
        <v>1</v>
      </c>
      <c r="E1531">
        <v>0.59587222861591704</v>
      </c>
      <c r="F1531">
        <v>1</v>
      </c>
      <c r="G1531" s="1" t="s">
        <v>1878</v>
      </c>
      <c r="H1531" t="s">
        <v>1878</v>
      </c>
      <c r="I1531" t="s">
        <v>1878</v>
      </c>
    </row>
    <row r="1532" spans="1:9" x14ac:dyDescent="0.2">
      <c r="A1532">
        <v>72</v>
      </c>
      <c r="B1532">
        <v>5</v>
      </c>
      <c r="C1532" t="s">
        <v>10</v>
      </c>
      <c r="D1532">
        <v>2</v>
      </c>
      <c r="E1532">
        <v>0.57006137911230303</v>
      </c>
      <c r="F1532">
        <v>1</v>
      </c>
      <c r="G1532" s="1" t="s">
        <v>1879</v>
      </c>
      <c r="H1532" t="s">
        <v>1879</v>
      </c>
      <c r="I1532" t="s">
        <v>1879</v>
      </c>
    </row>
    <row r="1533" spans="1:9" x14ac:dyDescent="0.2">
      <c r="A1533">
        <v>45</v>
      </c>
      <c r="B1533">
        <v>2</v>
      </c>
      <c r="C1533" t="s">
        <v>10</v>
      </c>
      <c r="D1533">
        <v>0</v>
      </c>
      <c r="E1533">
        <v>0.74445990240201398</v>
      </c>
      <c r="F1533">
        <v>2</v>
      </c>
      <c r="G1533" s="1" t="s">
        <v>1880</v>
      </c>
      <c r="H1533" t="s">
        <v>1881</v>
      </c>
      <c r="I1533" t="s">
        <v>1880</v>
      </c>
    </row>
    <row r="1534" spans="1:9" x14ac:dyDescent="0.2">
      <c r="A1534">
        <v>82</v>
      </c>
      <c r="B1534">
        <v>7</v>
      </c>
      <c r="C1534" t="s">
        <v>10</v>
      </c>
      <c r="D1534">
        <v>1</v>
      </c>
      <c r="E1534">
        <v>0.75180839363019902</v>
      </c>
      <c r="F1534">
        <v>2</v>
      </c>
      <c r="G1534" s="1" t="s">
        <v>1882</v>
      </c>
      <c r="H1534" t="s">
        <v>1883</v>
      </c>
      <c r="I1534" t="s">
        <v>1882</v>
      </c>
    </row>
    <row r="1535" spans="1:9" x14ac:dyDescent="0.2">
      <c r="A1535">
        <v>76</v>
      </c>
      <c r="B1535">
        <v>14</v>
      </c>
      <c r="C1535" t="s">
        <v>16</v>
      </c>
      <c r="D1535">
        <v>0</v>
      </c>
      <c r="E1535">
        <v>0.85355184297077402</v>
      </c>
      <c r="F1535">
        <v>1</v>
      </c>
      <c r="G1535" s="1" t="s">
        <v>1884</v>
      </c>
      <c r="H1535" t="s">
        <v>1884</v>
      </c>
      <c r="I1535" t="s">
        <v>1884</v>
      </c>
    </row>
    <row r="1536" spans="1:9" x14ac:dyDescent="0.2">
      <c r="A1536">
        <v>75</v>
      </c>
      <c r="B1536">
        <v>5</v>
      </c>
      <c r="C1536" t="s">
        <v>8</v>
      </c>
      <c r="D1536">
        <v>0</v>
      </c>
      <c r="E1536">
        <v>0.66814014036208402</v>
      </c>
      <c r="F1536">
        <v>1</v>
      </c>
      <c r="G1536" s="1" t="s">
        <v>1885</v>
      </c>
      <c r="H1536" t="s">
        <v>1885</v>
      </c>
      <c r="I1536" t="s">
        <v>1885</v>
      </c>
    </row>
    <row r="1537" spans="1:9" x14ac:dyDescent="0.2">
      <c r="A1537">
        <v>74</v>
      </c>
      <c r="B1537">
        <v>8</v>
      </c>
      <c r="C1537" t="s">
        <v>10</v>
      </c>
      <c r="D1537">
        <v>0</v>
      </c>
      <c r="E1537">
        <v>0.60509786312468306</v>
      </c>
      <c r="F1537">
        <v>1</v>
      </c>
      <c r="G1537" s="1" t="s">
        <v>1886</v>
      </c>
      <c r="H1537" t="s">
        <v>1886</v>
      </c>
      <c r="I1537" t="s">
        <v>1886</v>
      </c>
    </row>
    <row r="1538" spans="1:9" x14ac:dyDescent="0.2">
      <c r="A1538">
        <v>56</v>
      </c>
      <c r="B1538">
        <v>0</v>
      </c>
      <c r="C1538" t="s">
        <v>8</v>
      </c>
      <c r="D1538">
        <v>0</v>
      </c>
      <c r="E1538">
        <v>0.970087257213891</v>
      </c>
      <c r="F1538">
        <v>1</v>
      </c>
      <c r="G1538" s="1" t="s">
        <v>1887</v>
      </c>
      <c r="H1538" t="s">
        <v>1887</v>
      </c>
      <c r="I1538" t="s">
        <v>1887</v>
      </c>
    </row>
    <row r="1539" spans="1:9" x14ac:dyDescent="0.2">
      <c r="A1539">
        <v>58</v>
      </c>
      <c r="B1539">
        <v>9</v>
      </c>
      <c r="C1539" t="s">
        <v>16</v>
      </c>
      <c r="D1539">
        <v>0</v>
      </c>
      <c r="E1539">
        <v>0.70612925896421097</v>
      </c>
      <c r="F1539">
        <v>1</v>
      </c>
      <c r="G1539" s="1" t="s">
        <v>1888</v>
      </c>
      <c r="H1539" t="s">
        <v>1888</v>
      </c>
      <c r="I1539" t="s">
        <v>1888</v>
      </c>
    </row>
    <row r="1540" spans="1:9" x14ac:dyDescent="0.2">
      <c r="A1540">
        <v>71</v>
      </c>
      <c r="B1540">
        <v>11</v>
      </c>
      <c r="C1540" t="s">
        <v>8</v>
      </c>
      <c r="D1540">
        <v>0</v>
      </c>
      <c r="E1540">
        <v>0.97723450302146397</v>
      </c>
      <c r="F1540">
        <v>1</v>
      </c>
      <c r="G1540" s="1" t="s">
        <v>1889</v>
      </c>
      <c r="H1540" t="s">
        <v>1889</v>
      </c>
      <c r="I1540" t="s">
        <v>1889</v>
      </c>
    </row>
    <row r="1541" spans="1:9" x14ac:dyDescent="0.2">
      <c r="A1541">
        <v>46</v>
      </c>
      <c r="B1541">
        <v>10</v>
      </c>
      <c r="C1541" t="s">
        <v>8</v>
      </c>
      <c r="D1541">
        <v>0</v>
      </c>
      <c r="E1541">
        <v>0.94920860906131599</v>
      </c>
      <c r="F1541">
        <v>1</v>
      </c>
      <c r="G1541" s="1" t="s">
        <v>1890</v>
      </c>
      <c r="H1541" t="s">
        <v>1890</v>
      </c>
      <c r="I1541" t="s">
        <v>1890</v>
      </c>
    </row>
    <row r="1542" spans="1:9" x14ac:dyDescent="0.2">
      <c r="A1542">
        <v>76</v>
      </c>
      <c r="B1542">
        <v>11</v>
      </c>
      <c r="C1542" t="s">
        <v>16</v>
      </c>
      <c r="D1542">
        <v>2</v>
      </c>
      <c r="E1542">
        <v>0.93442723457701504</v>
      </c>
      <c r="F1542">
        <v>1</v>
      </c>
      <c r="G1542" s="1" t="s">
        <v>1891</v>
      </c>
      <c r="H1542" t="s">
        <v>1891</v>
      </c>
      <c r="I1542" t="s">
        <v>1891</v>
      </c>
    </row>
    <row r="1543" spans="1:9" x14ac:dyDescent="0.2">
      <c r="A1543">
        <v>30</v>
      </c>
      <c r="B1543">
        <v>3</v>
      </c>
      <c r="C1543" t="s">
        <v>10</v>
      </c>
      <c r="D1543">
        <v>0</v>
      </c>
      <c r="E1543">
        <v>0.54911684338003397</v>
      </c>
      <c r="F1543">
        <v>1</v>
      </c>
      <c r="G1543" s="1" t="s">
        <v>1892</v>
      </c>
      <c r="H1543" t="s">
        <v>1892</v>
      </c>
      <c r="I1543" t="s">
        <v>1892</v>
      </c>
    </row>
    <row r="1544" spans="1:9" x14ac:dyDescent="0.2">
      <c r="A1544">
        <v>25</v>
      </c>
      <c r="B1544">
        <v>7</v>
      </c>
      <c r="C1544" t="s">
        <v>10</v>
      </c>
      <c r="D1544">
        <v>0</v>
      </c>
      <c r="E1544">
        <v>0.95509848056826696</v>
      </c>
      <c r="F1544">
        <v>1</v>
      </c>
      <c r="G1544" s="1" t="s">
        <v>1893</v>
      </c>
      <c r="H1544" t="s">
        <v>1893</v>
      </c>
      <c r="I1544" t="s">
        <v>1893</v>
      </c>
    </row>
    <row r="1545" spans="1:9" x14ac:dyDescent="0.2">
      <c r="A1545">
        <v>20</v>
      </c>
      <c r="B1545">
        <v>10</v>
      </c>
      <c r="C1545" t="s">
        <v>10</v>
      </c>
      <c r="D1545">
        <v>1</v>
      </c>
      <c r="E1545">
        <v>0.88772944500669804</v>
      </c>
      <c r="F1545">
        <v>1</v>
      </c>
      <c r="G1545" s="1" t="s">
        <v>1894</v>
      </c>
      <c r="H1545" t="s">
        <v>1894</v>
      </c>
      <c r="I1545" t="s">
        <v>1894</v>
      </c>
    </row>
    <row r="1546" spans="1:9" x14ac:dyDescent="0.2">
      <c r="A1546">
        <v>75</v>
      </c>
      <c r="B1546">
        <v>6</v>
      </c>
      <c r="C1546" t="s">
        <v>8</v>
      </c>
      <c r="D1546">
        <v>1</v>
      </c>
      <c r="E1546">
        <v>0.553685340331867</v>
      </c>
      <c r="F1546">
        <v>1</v>
      </c>
      <c r="G1546" s="1" t="s">
        <v>1895</v>
      </c>
      <c r="H1546" t="s">
        <v>1895</v>
      </c>
      <c r="I1546" t="s">
        <v>1895</v>
      </c>
    </row>
    <row r="1547" spans="1:9" x14ac:dyDescent="0.2">
      <c r="A1547">
        <v>75</v>
      </c>
      <c r="B1547">
        <v>0</v>
      </c>
      <c r="C1547" t="s">
        <v>8</v>
      </c>
      <c r="D1547">
        <v>0</v>
      </c>
      <c r="E1547">
        <v>0.55019339383579802</v>
      </c>
      <c r="F1547">
        <v>1</v>
      </c>
      <c r="G1547" s="1" t="s">
        <v>1896</v>
      </c>
      <c r="H1547" t="s">
        <v>1896</v>
      </c>
      <c r="I1547" t="s">
        <v>1896</v>
      </c>
    </row>
    <row r="1548" spans="1:9" x14ac:dyDescent="0.2">
      <c r="A1548">
        <v>63</v>
      </c>
      <c r="B1548">
        <v>11</v>
      </c>
      <c r="C1548" t="s">
        <v>8</v>
      </c>
      <c r="D1548">
        <v>0</v>
      </c>
      <c r="E1548">
        <v>0.96560776373371504</v>
      </c>
      <c r="F1548">
        <v>1</v>
      </c>
      <c r="G1548" s="1" t="s">
        <v>1897</v>
      </c>
      <c r="H1548" t="s">
        <v>1897</v>
      </c>
      <c r="I1548" t="s">
        <v>1897</v>
      </c>
    </row>
    <row r="1549" spans="1:9" x14ac:dyDescent="0.2">
      <c r="A1549">
        <v>79</v>
      </c>
      <c r="B1549">
        <v>12</v>
      </c>
      <c r="C1549" t="s">
        <v>16</v>
      </c>
      <c r="D1549">
        <v>0</v>
      </c>
      <c r="E1549">
        <v>0.97118644963484302</v>
      </c>
      <c r="F1549">
        <v>1</v>
      </c>
      <c r="G1549" s="1" t="s">
        <v>1898</v>
      </c>
      <c r="H1549" t="s">
        <v>1898</v>
      </c>
      <c r="I1549" t="s">
        <v>1898</v>
      </c>
    </row>
    <row r="1550" spans="1:9" x14ac:dyDescent="0.2">
      <c r="A1550">
        <v>44</v>
      </c>
      <c r="B1550">
        <v>13</v>
      </c>
      <c r="C1550" t="s">
        <v>8</v>
      </c>
      <c r="D1550">
        <v>0</v>
      </c>
      <c r="E1550">
        <v>0.82106259989086505</v>
      </c>
      <c r="F1550">
        <v>1</v>
      </c>
      <c r="G1550" s="1" t="s">
        <v>1899</v>
      </c>
      <c r="H1550" t="s">
        <v>1899</v>
      </c>
      <c r="I1550" t="s">
        <v>1899</v>
      </c>
    </row>
    <row r="1551" spans="1:9" x14ac:dyDescent="0.2">
      <c r="A1551">
        <v>47</v>
      </c>
      <c r="B1551">
        <v>13</v>
      </c>
      <c r="C1551" t="s">
        <v>8</v>
      </c>
      <c r="D1551">
        <v>0</v>
      </c>
      <c r="E1551">
        <v>0.83615059638395905</v>
      </c>
      <c r="F1551">
        <v>1</v>
      </c>
      <c r="G1551" s="1" t="s">
        <v>1900</v>
      </c>
      <c r="H1551" t="s">
        <v>1900</v>
      </c>
      <c r="I1551" t="s">
        <v>1900</v>
      </c>
    </row>
    <row r="1552" spans="1:9" x14ac:dyDescent="0.2">
      <c r="A1552">
        <v>82</v>
      </c>
      <c r="B1552">
        <v>12</v>
      </c>
      <c r="C1552" t="s">
        <v>8</v>
      </c>
      <c r="D1552">
        <v>0</v>
      </c>
      <c r="E1552">
        <v>0.750788535457104</v>
      </c>
      <c r="F1552">
        <v>1</v>
      </c>
      <c r="G1552" s="1" t="s">
        <v>1901</v>
      </c>
      <c r="H1552" t="s">
        <v>1901</v>
      </c>
      <c r="I1552" t="s">
        <v>1901</v>
      </c>
    </row>
    <row r="1553" spans="1:9" x14ac:dyDescent="0.2">
      <c r="A1553">
        <v>52</v>
      </c>
      <c r="B1553">
        <v>11</v>
      </c>
      <c r="C1553" t="s">
        <v>8</v>
      </c>
      <c r="D1553">
        <v>0</v>
      </c>
      <c r="E1553">
        <v>0.83640336466487497</v>
      </c>
      <c r="F1553">
        <v>1</v>
      </c>
      <c r="G1553" s="1" t="s">
        <v>1902</v>
      </c>
      <c r="H1553" t="s">
        <v>1902</v>
      </c>
      <c r="I1553" t="s">
        <v>1902</v>
      </c>
    </row>
    <row r="1554" spans="1:9" x14ac:dyDescent="0.2">
      <c r="A1554">
        <v>49</v>
      </c>
      <c r="B1554">
        <v>14</v>
      </c>
      <c r="C1554" t="s">
        <v>10</v>
      </c>
      <c r="D1554">
        <v>0</v>
      </c>
      <c r="E1554">
        <v>0.92362566944211699</v>
      </c>
      <c r="F1554">
        <v>2</v>
      </c>
      <c r="G1554" s="1" t="s">
        <v>1903</v>
      </c>
      <c r="H1554" t="s">
        <v>1904</v>
      </c>
      <c r="I1554" t="s">
        <v>1903</v>
      </c>
    </row>
    <row r="1555" spans="1:9" x14ac:dyDescent="0.2">
      <c r="A1555">
        <v>29</v>
      </c>
      <c r="B1555">
        <v>4</v>
      </c>
      <c r="C1555" t="s">
        <v>16</v>
      </c>
      <c r="D1555">
        <v>1</v>
      </c>
      <c r="E1555">
        <v>0.66332254908047605</v>
      </c>
      <c r="F1555">
        <v>2</v>
      </c>
      <c r="G1555" s="1" t="s">
        <v>1905</v>
      </c>
      <c r="H1555" t="s">
        <v>1906</v>
      </c>
      <c r="I1555" t="s">
        <v>1905</v>
      </c>
    </row>
    <row r="1556" spans="1:9" x14ac:dyDescent="0.2">
      <c r="A1556">
        <v>39</v>
      </c>
      <c r="B1556">
        <v>9</v>
      </c>
      <c r="C1556" t="s">
        <v>16</v>
      </c>
      <c r="D1556">
        <v>0</v>
      </c>
      <c r="E1556">
        <v>0.85339088691398501</v>
      </c>
      <c r="F1556">
        <v>1</v>
      </c>
      <c r="G1556" s="1" t="s">
        <v>1907</v>
      </c>
      <c r="H1556" t="s">
        <v>1907</v>
      </c>
      <c r="I1556" t="s">
        <v>1907</v>
      </c>
    </row>
    <row r="1557" spans="1:9" x14ac:dyDescent="0.2">
      <c r="A1557">
        <v>64</v>
      </c>
      <c r="B1557">
        <v>7</v>
      </c>
      <c r="C1557" t="s">
        <v>8</v>
      </c>
      <c r="D1557">
        <v>0</v>
      </c>
      <c r="E1557">
        <v>0.80787501868326195</v>
      </c>
      <c r="F1557">
        <v>2</v>
      </c>
      <c r="G1557" s="1" t="s">
        <v>1908</v>
      </c>
      <c r="H1557" t="s">
        <v>1909</v>
      </c>
      <c r="I1557" t="s">
        <v>1908</v>
      </c>
    </row>
    <row r="1558" spans="1:9" x14ac:dyDescent="0.2">
      <c r="A1558">
        <v>66</v>
      </c>
      <c r="B1558">
        <v>4</v>
      </c>
      <c r="C1558" t="s">
        <v>8</v>
      </c>
      <c r="D1558">
        <v>1</v>
      </c>
      <c r="E1558">
        <v>0.79854545067064497</v>
      </c>
      <c r="F1558">
        <v>1</v>
      </c>
      <c r="G1558" s="1" t="s">
        <v>1910</v>
      </c>
      <c r="H1558" t="s">
        <v>1910</v>
      </c>
      <c r="I1558" t="s">
        <v>1910</v>
      </c>
    </row>
    <row r="1559" spans="1:9" x14ac:dyDescent="0.2">
      <c r="A1559">
        <v>82</v>
      </c>
      <c r="B1559">
        <v>11</v>
      </c>
      <c r="C1559" t="s">
        <v>8</v>
      </c>
      <c r="D1559">
        <v>0</v>
      </c>
      <c r="E1559">
        <v>0.54608348372857995</v>
      </c>
      <c r="F1559">
        <v>1</v>
      </c>
      <c r="G1559" s="1" t="s">
        <v>1911</v>
      </c>
      <c r="H1559" t="s">
        <v>1911</v>
      </c>
      <c r="I1559" t="s">
        <v>1911</v>
      </c>
    </row>
    <row r="1560" spans="1:9" x14ac:dyDescent="0.2">
      <c r="A1560">
        <v>55</v>
      </c>
      <c r="B1560">
        <v>8</v>
      </c>
      <c r="C1560" t="s">
        <v>16</v>
      </c>
      <c r="D1560">
        <v>3</v>
      </c>
      <c r="E1560">
        <v>0.55499760597012904</v>
      </c>
      <c r="F1560">
        <v>1</v>
      </c>
      <c r="G1560" s="1" t="s">
        <v>1912</v>
      </c>
      <c r="H1560" t="s">
        <v>1912</v>
      </c>
      <c r="I1560" t="s">
        <v>1912</v>
      </c>
    </row>
    <row r="1561" spans="1:9" x14ac:dyDescent="0.2">
      <c r="A1561">
        <v>52</v>
      </c>
      <c r="B1561">
        <v>6</v>
      </c>
      <c r="C1561" t="s">
        <v>8</v>
      </c>
      <c r="D1561">
        <v>0</v>
      </c>
      <c r="E1561">
        <v>0.85842333640903201</v>
      </c>
      <c r="F1561">
        <v>2</v>
      </c>
      <c r="G1561" s="1" t="s">
        <v>1913</v>
      </c>
      <c r="H1561" t="s">
        <v>1914</v>
      </c>
      <c r="I1561" t="s">
        <v>1913</v>
      </c>
    </row>
    <row r="1562" spans="1:9" x14ac:dyDescent="0.2">
      <c r="A1562">
        <v>51</v>
      </c>
      <c r="B1562">
        <v>15</v>
      </c>
      <c r="C1562" t="s">
        <v>10</v>
      </c>
      <c r="D1562">
        <v>0</v>
      </c>
      <c r="E1562">
        <v>0.89610927237663396</v>
      </c>
      <c r="F1562">
        <v>1</v>
      </c>
      <c r="G1562" s="1" t="s">
        <v>1915</v>
      </c>
      <c r="H1562" t="s">
        <v>1915</v>
      </c>
      <c r="I1562" t="s">
        <v>1915</v>
      </c>
    </row>
    <row r="1563" spans="1:9" x14ac:dyDescent="0.2">
      <c r="A1563">
        <v>76</v>
      </c>
      <c r="B1563">
        <v>10</v>
      </c>
      <c r="C1563" t="s">
        <v>8</v>
      </c>
      <c r="D1563">
        <v>0</v>
      </c>
      <c r="E1563">
        <v>0.762499905307777</v>
      </c>
      <c r="F1563">
        <v>1</v>
      </c>
      <c r="G1563" s="1" t="s">
        <v>1916</v>
      </c>
      <c r="H1563" t="s">
        <v>1916</v>
      </c>
      <c r="I1563" t="s">
        <v>1916</v>
      </c>
    </row>
    <row r="1564" spans="1:9" x14ac:dyDescent="0.2">
      <c r="A1564">
        <v>78</v>
      </c>
      <c r="B1564">
        <v>4</v>
      </c>
      <c r="C1564" t="s">
        <v>10</v>
      </c>
      <c r="D1564">
        <v>0</v>
      </c>
      <c r="E1564">
        <v>0.71059073053765998</v>
      </c>
      <c r="F1564">
        <v>1</v>
      </c>
      <c r="G1564" s="1" t="s">
        <v>1917</v>
      </c>
      <c r="H1564" t="s">
        <v>1917</v>
      </c>
      <c r="I1564" t="s">
        <v>1917</v>
      </c>
    </row>
    <row r="1565" spans="1:9" x14ac:dyDescent="0.2">
      <c r="A1565">
        <v>86</v>
      </c>
      <c r="B1565">
        <v>15</v>
      </c>
      <c r="C1565" t="s">
        <v>8</v>
      </c>
      <c r="D1565">
        <v>0</v>
      </c>
      <c r="E1565">
        <v>0.66559680539649002</v>
      </c>
      <c r="F1565">
        <v>2</v>
      </c>
      <c r="G1565" s="1" t="s">
        <v>1918</v>
      </c>
      <c r="H1565" t="s">
        <v>1919</v>
      </c>
      <c r="I1565" t="s">
        <v>1918</v>
      </c>
    </row>
    <row r="1566" spans="1:9" x14ac:dyDescent="0.2">
      <c r="A1566">
        <v>42</v>
      </c>
      <c r="B1566">
        <v>13</v>
      </c>
      <c r="C1566" t="s">
        <v>16</v>
      </c>
      <c r="D1566">
        <v>0</v>
      </c>
      <c r="E1566">
        <v>0.66373936471063599</v>
      </c>
      <c r="F1566">
        <v>1</v>
      </c>
      <c r="G1566" s="1" t="s">
        <v>1920</v>
      </c>
      <c r="H1566" t="s">
        <v>1920</v>
      </c>
      <c r="I1566" t="s">
        <v>1920</v>
      </c>
    </row>
    <row r="1567" spans="1:9" x14ac:dyDescent="0.2">
      <c r="A1567">
        <v>86</v>
      </c>
      <c r="B1567">
        <v>1</v>
      </c>
      <c r="C1567" t="s">
        <v>16</v>
      </c>
      <c r="D1567">
        <v>1</v>
      </c>
      <c r="E1567">
        <v>0.85322701069526397</v>
      </c>
      <c r="F1567">
        <v>1</v>
      </c>
      <c r="G1567" s="1" t="s">
        <v>1921</v>
      </c>
      <c r="H1567" t="s">
        <v>1921</v>
      </c>
      <c r="I1567" t="s">
        <v>1921</v>
      </c>
    </row>
    <row r="1568" spans="1:9" x14ac:dyDescent="0.2">
      <c r="A1568">
        <v>40</v>
      </c>
      <c r="B1568">
        <v>10</v>
      </c>
      <c r="C1568" t="s">
        <v>8</v>
      </c>
      <c r="D1568">
        <v>0</v>
      </c>
      <c r="E1568">
        <v>0.53867989790160198</v>
      </c>
      <c r="F1568">
        <v>2</v>
      </c>
      <c r="G1568" s="1" t="s">
        <v>1922</v>
      </c>
      <c r="H1568" t="s">
        <v>1923</v>
      </c>
      <c r="I1568" t="s">
        <v>1922</v>
      </c>
    </row>
    <row r="1569" spans="1:9" x14ac:dyDescent="0.2">
      <c r="A1569">
        <v>82</v>
      </c>
      <c r="B1569">
        <v>5</v>
      </c>
      <c r="C1569" t="s">
        <v>16</v>
      </c>
      <c r="D1569">
        <v>1</v>
      </c>
      <c r="E1569">
        <v>0.57698656315915298</v>
      </c>
      <c r="F1569">
        <v>1</v>
      </c>
      <c r="G1569" s="1" t="s">
        <v>1924</v>
      </c>
      <c r="H1569" t="s">
        <v>1924</v>
      </c>
      <c r="I1569" t="s">
        <v>1924</v>
      </c>
    </row>
    <row r="1570" spans="1:9" x14ac:dyDescent="0.2">
      <c r="A1570">
        <v>83</v>
      </c>
      <c r="B1570">
        <v>14</v>
      </c>
      <c r="C1570" t="s">
        <v>8</v>
      </c>
      <c r="D1570">
        <v>0</v>
      </c>
      <c r="E1570">
        <v>0.97836825565900698</v>
      </c>
      <c r="F1570">
        <v>1</v>
      </c>
      <c r="G1570" s="1" t="s">
        <v>1925</v>
      </c>
      <c r="H1570" t="s">
        <v>1925</v>
      </c>
      <c r="I1570" t="s">
        <v>1925</v>
      </c>
    </row>
    <row r="1571" spans="1:9" x14ac:dyDescent="0.2">
      <c r="A1571">
        <v>90</v>
      </c>
      <c r="B1571">
        <v>7</v>
      </c>
      <c r="C1571" t="s">
        <v>8</v>
      </c>
      <c r="D1571">
        <v>0</v>
      </c>
      <c r="E1571">
        <v>0.673424443579279</v>
      </c>
      <c r="F1571">
        <v>1</v>
      </c>
      <c r="G1571" s="1" t="s">
        <v>1926</v>
      </c>
      <c r="H1571" t="s">
        <v>1926</v>
      </c>
      <c r="I1571" t="s">
        <v>1926</v>
      </c>
    </row>
    <row r="1572" spans="1:9" x14ac:dyDescent="0.2">
      <c r="A1572">
        <v>66</v>
      </c>
      <c r="B1572">
        <v>7</v>
      </c>
      <c r="C1572" t="s">
        <v>16</v>
      </c>
      <c r="D1572">
        <v>0</v>
      </c>
      <c r="E1572">
        <v>0.813265352975577</v>
      </c>
      <c r="F1572">
        <v>1</v>
      </c>
      <c r="G1572" s="1" t="s">
        <v>1927</v>
      </c>
      <c r="H1572" t="s">
        <v>1927</v>
      </c>
      <c r="I1572" t="s">
        <v>1927</v>
      </c>
    </row>
    <row r="1573" spans="1:9" x14ac:dyDescent="0.2">
      <c r="A1573">
        <v>71</v>
      </c>
      <c r="B1573">
        <v>0</v>
      </c>
      <c r="C1573" t="s">
        <v>8</v>
      </c>
      <c r="D1573">
        <v>0</v>
      </c>
      <c r="E1573">
        <v>0.96266923297662299</v>
      </c>
      <c r="F1573">
        <v>2</v>
      </c>
      <c r="G1573" s="1" t="s">
        <v>1928</v>
      </c>
      <c r="H1573" t="s">
        <v>1929</v>
      </c>
      <c r="I1573" t="s">
        <v>1928</v>
      </c>
    </row>
    <row r="1574" spans="1:9" x14ac:dyDescent="0.2">
      <c r="A1574">
        <v>51</v>
      </c>
      <c r="B1574">
        <v>15</v>
      </c>
      <c r="C1574" t="s">
        <v>16</v>
      </c>
      <c r="D1574">
        <v>0</v>
      </c>
      <c r="E1574">
        <v>0.54884801106527403</v>
      </c>
      <c r="F1574">
        <v>1</v>
      </c>
      <c r="G1574" s="1" t="s">
        <v>1930</v>
      </c>
      <c r="H1574" t="s">
        <v>1930</v>
      </c>
      <c r="I1574" t="s">
        <v>1930</v>
      </c>
    </row>
    <row r="1575" spans="1:9" x14ac:dyDescent="0.2">
      <c r="A1575">
        <v>35</v>
      </c>
      <c r="B1575">
        <v>3</v>
      </c>
      <c r="C1575" t="s">
        <v>10</v>
      </c>
      <c r="D1575">
        <v>2</v>
      </c>
      <c r="E1575">
        <v>0.98681785480584905</v>
      </c>
      <c r="F1575">
        <v>1</v>
      </c>
      <c r="G1575" s="1" t="s">
        <v>1931</v>
      </c>
      <c r="H1575" t="s">
        <v>1931</v>
      </c>
      <c r="I1575" t="s">
        <v>1931</v>
      </c>
    </row>
    <row r="1576" spans="1:9" x14ac:dyDescent="0.2">
      <c r="A1576">
        <v>48</v>
      </c>
      <c r="B1576">
        <v>9</v>
      </c>
      <c r="C1576" t="s">
        <v>8</v>
      </c>
      <c r="D1576">
        <v>1</v>
      </c>
      <c r="E1576">
        <v>0.56997989560477402</v>
      </c>
      <c r="F1576">
        <v>1</v>
      </c>
      <c r="G1576" s="1" t="s">
        <v>1932</v>
      </c>
      <c r="H1576" t="s">
        <v>1932</v>
      </c>
      <c r="I1576" t="s">
        <v>1932</v>
      </c>
    </row>
    <row r="1577" spans="1:9" x14ac:dyDescent="0.2">
      <c r="A1577">
        <v>86</v>
      </c>
      <c r="B1577">
        <v>13</v>
      </c>
      <c r="C1577" t="s">
        <v>10</v>
      </c>
      <c r="D1577">
        <v>0</v>
      </c>
      <c r="E1577">
        <v>0.81756507523823496</v>
      </c>
      <c r="F1577">
        <v>1</v>
      </c>
      <c r="G1577" s="1" t="s">
        <v>1933</v>
      </c>
      <c r="H1577" t="s">
        <v>1933</v>
      </c>
      <c r="I1577" t="s">
        <v>1933</v>
      </c>
    </row>
    <row r="1578" spans="1:9" x14ac:dyDescent="0.2">
      <c r="A1578">
        <v>22</v>
      </c>
      <c r="B1578">
        <v>8</v>
      </c>
      <c r="C1578" t="s">
        <v>16</v>
      </c>
      <c r="D1578">
        <v>0</v>
      </c>
      <c r="E1578">
        <v>0.91544290084857505</v>
      </c>
      <c r="F1578">
        <v>1</v>
      </c>
      <c r="G1578" s="1" t="s">
        <v>1934</v>
      </c>
      <c r="H1578" t="s">
        <v>1934</v>
      </c>
      <c r="I1578" t="s">
        <v>1934</v>
      </c>
    </row>
    <row r="1579" spans="1:9" x14ac:dyDescent="0.2">
      <c r="A1579">
        <v>63</v>
      </c>
      <c r="B1579">
        <v>13</v>
      </c>
      <c r="C1579" t="s">
        <v>8</v>
      </c>
      <c r="D1579">
        <v>0</v>
      </c>
      <c r="E1579">
        <v>0.64111110207159105</v>
      </c>
      <c r="F1579">
        <v>1</v>
      </c>
      <c r="G1579" s="1" t="s">
        <v>1935</v>
      </c>
      <c r="H1579" t="s">
        <v>1935</v>
      </c>
      <c r="I1579" t="s">
        <v>1935</v>
      </c>
    </row>
    <row r="1580" spans="1:9" x14ac:dyDescent="0.2">
      <c r="A1580">
        <v>76</v>
      </c>
      <c r="B1580">
        <v>14</v>
      </c>
      <c r="C1580" t="s">
        <v>16</v>
      </c>
      <c r="D1580">
        <v>1</v>
      </c>
      <c r="E1580">
        <v>0.67065460840240099</v>
      </c>
      <c r="F1580">
        <v>1</v>
      </c>
      <c r="G1580" s="1" t="s">
        <v>1936</v>
      </c>
      <c r="H1580" t="s">
        <v>1936</v>
      </c>
      <c r="I1580" t="s">
        <v>1936</v>
      </c>
    </row>
    <row r="1581" spans="1:9" x14ac:dyDescent="0.2">
      <c r="A1581">
        <v>82</v>
      </c>
      <c r="B1581">
        <v>1</v>
      </c>
      <c r="C1581" t="s">
        <v>10</v>
      </c>
      <c r="D1581">
        <v>0</v>
      </c>
      <c r="E1581">
        <v>0.64263519982341699</v>
      </c>
      <c r="F1581">
        <v>1</v>
      </c>
      <c r="G1581" s="1" t="s">
        <v>1937</v>
      </c>
      <c r="H1581" t="s">
        <v>1937</v>
      </c>
      <c r="I1581" t="s">
        <v>1937</v>
      </c>
    </row>
    <row r="1582" spans="1:9" x14ac:dyDescent="0.2">
      <c r="A1582">
        <v>89</v>
      </c>
      <c r="B1582">
        <v>4</v>
      </c>
      <c r="C1582" t="s">
        <v>8</v>
      </c>
      <c r="D1582">
        <v>0</v>
      </c>
      <c r="E1582">
        <v>0.55146735289599702</v>
      </c>
      <c r="F1582">
        <v>1</v>
      </c>
      <c r="G1582" s="1" t="s">
        <v>1938</v>
      </c>
      <c r="H1582" t="s">
        <v>1938</v>
      </c>
      <c r="I1582" t="s">
        <v>1938</v>
      </c>
    </row>
    <row r="1583" spans="1:9" x14ac:dyDescent="0.2">
      <c r="A1583">
        <v>57</v>
      </c>
      <c r="B1583">
        <v>14</v>
      </c>
      <c r="C1583" t="s">
        <v>10</v>
      </c>
      <c r="D1583">
        <v>3</v>
      </c>
      <c r="E1583">
        <v>0.99120365397539001</v>
      </c>
      <c r="F1583">
        <v>2</v>
      </c>
      <c r="G1583" s="1" t="s">
        <v>1939</v>
      </c>
      <c r="H1583" t="s">
        <v>1940</v>
      </c>
      <c r="I1583" t="s">
        <v>1939</v>
      </c>
    </row>
    <row r="1584" spans="1:9" x14ac:dyDescent="0.2">
      <c r="A1584">
        <v>60</v>
      </c>
      <c r="B1584">
        <v>11</v>
      </c>
      <c r="C1584" t="s">
        <v>8</v>
      </c>
      <c r="D1584">
        <v>0</v>
      </c>
      <c r="E1584">
        <v>0.69291622610762704</v>
      </c>
      <c r="F1584">
        <v>1</v>
      </c>
      <c r="G1584" s="1" t="s">
        <v>1941</v>
      </c>
      <c r="H1584" t="s">
        <v>1941</v>
      </c>
      <c r="I1584" t="s">
        <v>1941</v>
      </c>
    </row>
    <row r="1585" spans="1:9" x14ac:dyDescent="0.2">
      <c r="A1585">
        <v>24</v>
      </c>
      <c r="B1585">
        <v>9</v>
      </c>
      <c r="C1585" t="s">
        <v>10</v>
      </c>
      <c r="D1585">
        <v>0</v>
      </c>
      <c r="E1585">
        <v>0.84405791293829702</v>
      </c>
      <c r="F1585">
        <v>1</v>
      </c>
      <c r="G1585" s="1" t="s">
        <v>1942</v>
      </c>
      <c r="H1585" t="s">
        <v>1942</v>
      </c>
      <c r="I1585" t="s">
        <v>1942</v>
      </c>
    </row>
    <row r="1586" spans="1:9" x14ac:dyDescent="0.2">
      <c r="A1586">
        <v>52</v>
      </c>
      <c r="B1586">
        <v>8</v>
      </c>
      <c r="C1586" t="s">
        <v>10</v>
      </c>
      <c r="D1586">
        <v>1</v>
      </c>
      <c r="E1586">
        <v>0.89052851533051602</v>
      </c>
      <c r="F1586">
        <v>2</v>
      </c>
      <c r="G1586" s="1" t="s">
        <v>1943</v>
      </c>
      <c r="H1586" t="s">
        <v>1944</v>
      </c>
      <c r="I1586" t="s">
        <v>1943</v>
      </c>
    </row>
    <row r="1587" spans="1:9" x14ac:dyDescent="0.2">
      <c r="A1587">
        <v>24</v>
      </c>
      <c r="B1587">
        <v>12</v>
      </c>
      <c r="C1587" t="s">
        <v>8</v>
      </c>
      <c r="D1587">
        <v>0</v>
      </c>
      <c r="E1587">
        <v>0.56853733432944897</v>
      </c>
      <c r="F1587">
        <v>2</v>
      </c>
      <c r="G1587" s="1" t="s">
        <v>1945</v>
      </c>
      <c r="H1587" t="s">
        <v>1946</v>
      </c>
      <c r="I1587" t="s">
        <v>1945</v>
      </c>
    </row>
    <row r="1588" spans="1:9" x14ac:dyDescent="0.2">
      <c r="A1588">
        <v>81</v>
      </c>
      <c r="B1588">
        <v>13</v>
      </c>
      <c r="C1588" t="s">
        <v>8</v>
      </c>
      <c r="D1588">
        <v>0</v>
      </c>
      <c r="E1588">
        <v>0.87868200719822198</v>
      </c>
      <c r="F1588">
        <v>1</v>
      </c>
      <c r="G1588" s="1" t="s">
        <v>1947</v>
      </c>
      <c r="H1588" t="s">
        <v>1947</v>
      </c>
      <c r="I1588" t="s">
        <v>1947</v>
      </c>
    </row>
    <row r="1589" spans="1:9" x14ac:dyDescent="0.2">
      <c r="A1589">
        <v>74</v>
      </c>
      <c r="B1589">
        <v>5</v>
      </c>
      <c r="C1589" t="s">
        <v>16</v>
      </c>
      <c r="D1589">
        <v>0</v>
      </c>
      <c r="E1589">
        <v>0.85669950139708795</v>
      </c>
      <c r="F1589">
        <v>1</v>
      </c>
      <c r="G1589" s="1" t="s">
        <v>1948</v>
      </c>
      <c r="H1589" t="s">
        <v>1948</v>
      </c>
      <c r="I1589" t="s">
        <v>1948</v>
      </c>
    </row>
    <row r="1590" spans="1:9" x14ac:dyDescent="0.2">
      <c r="A1590">
        <v>40</v>
      </c>
      <c r="B1590">
        <v>10</v>
      </c>
      <c r="C1590" t="s">
        <v>8</v>
      </c>
      <c r="D1590">
        <v>1</v>
      </c>
      <c r="E1590">
        <v>0.61461366072762802</v>
      </c>
      <c r="F1590">
        <v>1</v>
      </c>
      <c r="G1590" s="1" t="s">
        <v>1949</v>
      </c>
      <c r="H1590" t="s">
        <v>1949</v>
      </c>
      <c r="I1590" t="s">
        <v>1949</v>
      </c>
    </row>
    <row r="1591" spans="1:9" x14ac:dyDescent="0.2">
      <c r="A1591">
        <v>72</v>
      </c>
      <c r="B1591">
        <v>9</v>
      </c>
      <c r="C1591" t="s">
        <v>8</v>
      </c>
      <c r="D1591">
        <v>1</v>
      </c>
      <c r="E1591">
        <v>0.55517961399164095</v>
      </c>
      <c r="F1591">
        <v>1</v>
      </c>
      <c r="G1591" s="1" t="s">
        <v>1950</v>
      </c>
      <c r="H1591" t="s">
        <v>1950</v>
      </c>
      <c r="I1591" t="s">
        <v>1950</v>
      </c>
    </row>
    <row r="1592" spans="1:9" x14ac:dyDescent="0.2">
      <c r="A1592">
        <v>51</v>
      </c>
      <c r="B1592">
        <v>7</v>
      </c>
      <c r="C1592" t="s">
        <v>8</v>
      </c>
      <c r="D1592">
        <v>1</v>
      </c>
      <c r="E1592">
        <v>0.604518532170914</v>
      </c>
      <c r="F1592">
        <v>1</v>
      </c>
      <c r="G1592" s="1" t="s">
        <v>1951</v>
      </c>
      <c r="H1592" t="s">
        <v>1951</v>
      </c>
      <c r="I1592" t="s">
        <v>1951</v>
      </c>
    </row>
    <row r="1593" spans="1:9" x14ac:dyDescent="0.2">
      <c r="A1593">
        <v>46</v>
      </c>
      <c r="B1593">
        <v>7</v>
      </c>
      <c r="C1593" t="s">
        <v>8</v>
      </c>
      <c r="D1593">
        <v>1</v>
      </c>
      <c r="E1593">
        <v>0.64523233892396104</v>
      </c>
      <c r="F1593">
        <v>1</v>
      </c>
      <c r="G1593" s="1" t="s">
        <v>1952</v>
      </c>
      <c r="H1593" t="s">
        <v>1952</v>
      </c>
      <c r="I1593" t="s">
        <v>1952</v>
      </c>
    </row>
    <row r="1594" spans="1:9" x14ac:dyDescent="0.2">
      <c r="A1594">
        <v>53</v>
      </c>
      <c r="B1594">
        <v>11</v>
      </c>
      <c r="C1594" t="s">
        <v>16</v>
      </c>
      <c r="D1594">
        <v>0</v>
      </c>
      <c r="E1594">
        <v>0.57553682511206705</v>
      </c>
      <c r="F1594">
        <v>1</v>
      </c>
      <c r="G1594" s="1" t="s">
        <v>1953</v>
      </c>
      <c r="H1594" t="s">
        <v>1953</v>
      </c>
      <c r="I1594" t="s">
        <v>1953</v>
      </c>
    </row>
    <row r="1595" spans="1:9" x14ac:dyDescent="0.2">
      <c r="A1595">
        <v>84</v>
      </c>
      <c r="B1595">
        <v>7</v>
      </c>
      <c r="C1595" t="s">
        <v>16</v>
      </c>
      <c r="D1595">
        <v>0</v>
      </c>
      <c r="E1595">
        <v>0.91587135917507101</v>
      </c>
      <c r="F1595">
        <v>2</v>
      </c>
      <c r="G1595" s="1" t="s">
        <v>1954</v>
      </c>
      <c r="H1595" t="s">
        <v>1955</v>
      </c>
      <c r="I1595" t="s">
        <v>1954</v>
      </c>
    </row>
    <row r="1596" spans="1:9" x14ac:dyDescent="0.2">
      <c r="A1596">
        <v>47</v>
      </c>
      <c r="B1596">
        <v>12</v>
      </c>
      <c r="C1596" t="s">
        <v>16</v>
      </c>
      <c r="D1596">
        <v>2</v>
      </c>
      <c r="E1596">
        <v>0.740211784956045</v>
      </c>
      <c r="F1596">
        <v>1</v>
      </c>
      <c r="G1596" s="1" t="s">
        <v>1956</v>
      </c>
      <c r="H1596" t="s">
        <v>1956</v>
      </c>
      <c r="I1596" t="s">
        <v>1956</v>
      </c>
    </row>
    <row r="1597" spans="1:9" x14ac:dyDescent="0.2">
      <c r="A1597">
        <v>43</v>
      </c>
      <c r="B1597">
        <v>9</v>
      </c>
      <c r="C1597" t="s">
        <v>16</v>
      </c>
      <c r="D1597">
        <v>0</v>
      </c>
      <c r="E1597">
        <v>0.52750450442545105</v>
      </c>
      <c r="F1597">
        <v>1</v>
      </c>
      <c r="G1597" s="1" t="s">
        <v>1957</v>
      </c>
      <c r="H1597" t="s">
        <v>1957</v>
      </c>
      <c r="I1597" t="s">
        <v>1957</v>
      </c>
    </row>
    <row r="1598" spans="1:9" x14ac:dyDescent="0.2">
      <c r="A1598">
        <v>73</v>
      </c>
      <c r="B1598">
        <v>8</v>
      </c>
      <c r="C1598" t="s">
        <v>8</v>
      </c>
      <c r="D1598">
        <v>0</v>
      </c>
      <c r="E1598">
        <v>0.62935600895434596</v>
      </c>
      <c r="F1598">
        <v>1</v>
      </c>
      <c r="G1598" s="1" t="s">
        <v>1958</v>
      </c>
      <c r="H1598" t="s">
        <v>1958</v>
      </c>
      <c r="I1598" t="s">
        <v>1958</v>
      </c>
    </row>
    <row r="1599" spans="1:9" x14ac:dyDescent="0.2">
      <c r="A1599">
        <v>61</v>
      </c>
      <c r="B1599">
        <v>0</v>
      </c>
      <c r="C1599" t="s">
        <v>10</v>
      </c>
      <c r="D1599">
        <v>0</v>
      </c>
      <c r="E1599">
        <v>0.86132355534937199</v>
      </c>
      <c r="F1599">
        <v>1</v>
      </c>
      <c r="G1599" s="1" t="s">
        <v>1959</v>
      </c>
      <c r="H1599" t="s">
        <v>1959</v>
      </c>
      <c r="I1599" t="s">
        <v>1959</v>
      </c>
    </row>
    <row r="1600" spans="1:9" x14ac:dyDescent="0.2">
      <c r="A1600">
        <v>76</v>
      </c>
      <c r="B1600">
        <v>12</v>
      </c>
      <c r="C1600" t="s">
        <v>8</v>
      </c>
      <c r="D1600">
        <v>0</v>
      </c>
      <c r="E1600">
        <v>0.67819932999554999</v>
      </c>
      <c r="F1600">
        <v>2</v>
      </c>
      <c r="G1600" s="1" t="s">
        <v>1960</v>
      </c>
      <c r="H1600" t="s">
        <v>1961</v>
      </c>
      <c r="I1600" t="s">
        <v>1960</v>
      </c>
    </row>
    <row r="1601" spans="1:9" x14ac:dyDescent="0.2">
      <c r="A1601">
        <v>58</v>
      </c>
      <c r="B1601">
        <v>2</v>
      </c>
      <c r="C1601" t="s">
        <v>8</v>
      </c>
      <c r="D1601">
        <v>0</v>
      </c>
      <c r="E1601">
        <v>0.51123238401487503</v>
      </c>
      <c r="F1601">
        <v>1</v>
      </c>
      <c r="G1601" s="1" t="s">
        <v>1962</v>
      </c>
      <c r="H1601" t="s">
        <v>1962</v>
      </c>
      <c r="I1601" t="s">
        <v>1962</v>
      </c>
    </row>
    <row r="1602" spans="1:9" x14ac:dyDescent="0.2">
      <c r="A1602">
        <v>76</v>
      </c>
      <c r="B1602">
        <v>9</v>
      </c>
      <c r="C1602" t="s">
        <v>8</v>
      </c>
      <c r="D1602">
        <v>0</v>
      </c>
      <c r="E1602">
        <v>0.94903426559176296</v>
      </c>
      <c r="F1602">
        <v>1</v>
      </c>
      <c r="G1602" s="1" t="s">
        <v>1963</v>
      </c>
      <c r="H1602" t="s">
        <v>1963</v>
      </c>
      <c r="I1602" t="s">
        <v>1963</v>
      </c>
    </row>
    <row r="1603" spans="1:9" x14ac:dyDescent="0.2">
      <c r="A1603">
        <v>55</v>
      </c>
      <c r="B1603">
        <v>13</v>
      </c>
      <c r="C1603" t="s">
        <v>8</v>
      </c>
      <c r="D1603">
        <v>0</v>
      </c>
      <c r="E1603">
        <v>0.92377462412696298</v>
      </c>
      <c r="F1603">
        <v>1</v>
      </c>
      <c r="G1603" s="1" t="s">
        <v>1964</v>
      </c>
      <c r="H1603" t="s">
        <v>1964</v>
      </c>
      <c r="I1603" t="s">
        <v>1964</v>
      </c>
    </row>
    <row r="1604" spans="1:9" x14ac:dyDescent="0.2">
      <c r="A1604">
        <v>85</v>
      </c>
      <c r="B1604">
        <v>11</v>
      </c>
      <c r="C1604" t="s">
        <v>10</v>
      </c>
      <c r="D1604">
        <v>0</v>
      </c>
      <c r="E1604">
        <v>0.80309462046716396</v>
      </c>
      <c r="F1604">
        <v>1</v>
      </c>
      <c r="G1604" s="1" t="s">
        <v>1965</v>
      </c>
      <c r="H1604" t="s">
        <v>1965</v>
      </c>
      <c r="I1604" t="s">
        <v>1965</v>
      </c>
    </row>
    <row r="1605" spans="1:9" x14ac:dyDescent="0.2">
      <c r="A1605">
        <v>23</v>
      </c>
      <c r="B1605">
        <v>6</v>
      </c>
      <c r="C1605" t="s">
        <v>8</v>
      </c>
      <c r="D1605">
        <v>0</v>
      </c>
      <c r="E1605">
        <v>0.70792751410044696</v>
      </c>
      <c r="F1605">
        <v>1</v>
      </c>
      <c r="G1605" s="1" t="s">
        <v>1966</v>
      </c>
      <c r="H1605" t="s">
        <v>1966</v>
      </c>
      <c r="I1605" t="s">
        <v>1966</v>
      </c>
    </row>
    <row r="1606" spans="1:9" x14ac:dyDescent="0.2">
      <c r="A1606">
        <v>37</v>
      </c>
      <c r="B1606">
        <v>3</v>
      </c>
      <c r="C1606" t="s">
        <v>8</v>
      </c>
      <c r="D1606">
        <v>0</v>
      </c>
      <c r="E1606">
        <v>0.76700902194716003</v>
      </c>
      <c r="F1606">
        <v>1</v>
      </c>
      <c r="G1606" s="1" t="s">
        <v>1967</v>
      </c>
      <c r="H1606" t="s">
        <v>1967</v>
      </c>
      <c r="I1606" t="s">
        <v>1967</v>
      </c>
    </row>
    <row r="1607" spans="1:9" x14ac:dyDescent="0.2">
      <c r="A1607">
        <v>59</v>
      </c>
      <c r="B1607">
        <v>12</v>
      </c>
      <c r="C1607" t="s">
        <v>8</v>
      </c>
      <c r="D1607">
        <v>0</v>
      </c>
      <c r="E1607">
        <v>0.92337043571751598</v>
      </c>
      <c r="F1607">
        <v>1</v>
      </c>
      <c r="G1607" s="1" t="s">
        <v>1968</v>
      </c>
      <c r="H1607" t="s">
        <v>1968</v>
      </c>
      <c r="I1607" t="s">
        <v>1968</v>
      </c>
    </row>
    <row r="1608" spans="1:9" x14ac:dyDescent="0.2">
      <c r="A1608">
        <v>63</v>
      </c>
      <c r="B1608">
        <v>2</v>
      </c>
      <c r="C1608" t="s">
        <v>8</v>
      </c>
      <c r="D1608">
        <v>0</v>
      </c>
      <c r="E1608">
        <v>0.82572906964924198</v>
      </c>
      <c r="F1608">
        <v>1</v>
      </c>
      <c r="G1608" s="1" t="s">
        <v>1969</v>
      </c>
      <c r="H1608" t="s">
        <v>1969</v>
      </c>
      <c r="I1608" t="s">
        <v>1969</v>
      </c>
    </row>
    <row r="1609" spans="1:9" x14ac:dyDescent="0.2">
      <c r="A1609">
        <v>22</v>
      </c>
      <c r="B1609">
        <v>6</v>
      </c>
      <c r="C1609" t="s">
        <v>8</v>
      </c>
      <c r="D1609">
        <v>2</v>
      </c>
      <c r="E1609">
        <v>0.67280593793839205</v>
      </c>
      <c r="F1609">
        <v>1</v>
      </c>
      <c r="G1609" s="1" t="s">
        <v>1970</v>
      </c>
      <c r="H1609" t="s">
        <v>1970</v>
      </c>
      <c r="I1609" t="s">
        <v>1970</v>
      </c>
    </row>
    <row r="1610" spans="1:9" x14ac:dyDescent="0.2">
      <c r="A1610">
        <v>36</v>
      </c>
      <c r="B1610">
        <v>11</v>
      </c>
      <c r="C1610" t="s">
        <v>8</v>
      </c>
      <c r="D1610">
        <v>0</v>
      </c>
      <c r="E1610">
        <v>0.86666353477630798</v>
      </c>
      <c r="F1610">
        <v>1</v>
      </c>
      <c r="G1610" s="1" t="s">
        <v>1971</v>
      </c>
      <c r="H1610" t="s">
        <v>1971</v>
      </c>
      <c r="I1610" t="s">
        <v>1971</v>
      </c>
    </row>
    <row r="1611" spans="1:9" x14ac:dyDescent="0.2">
      <c r="A1611">
        <v>56</v>
      </c>
      <c r="B1611">
        <v>5</v>
      </c>
      <c r="C1611" t="s">
        <v>16</v>
      </c>
      <c r="D1611">
        <v>0</v>
      </c>
      <c r="E1611">
        <v>0.73469461966306004</v>
      </c>
      <c r="F1611">
        <v>1</v>
      </c>
      <c r="G1611" s="1" t="s">
        <v>1972</v>
      </c>
      <c r="H1611" t="s">
        <v>1972</v>
      </c>
      <c r="I1611" t="s">
        <v>1972</v>
      </c>
    </row>
    <row r="1612" spans="1:9" x14ac:dyDescent="0.2">
      <c r="A1612">
        <v>27</v>
      </c>
      <c r="B1612">
        <v>11</v>
      </c>
      <c r="C1612" t="s">
        <v>8</v>
      </c>
      <c r="D1612">
        <v>2</v>
      </c>
      <c r="E1612">
        <v>0.67800825904123496</v>
      </c>
      <c r="F1612">
        <v>1</v>
      </c>
      <c r="G1612" s="1" t="s">
        <v>1973</v>
      </c>
      <c r="H1612" t="s">
        <v>1973</v>
      </c>
      <c r="I1612" t="s">
        <v>1973</v>
      </c>
    </row>
    <row r="1613" spans="1:9" x14ac:dyDescent="0.2">
      <c r="A1613">
        <v>26</v>
      </c>
      <c r="B1613">
        <v>6</v>
      </c>
      <c r="C1613" t="s">
        <v>10</v>
      </c>
      <c r="D1613">
        <v>0</v>
      </c>
      <c r="E1613">
        <v>0.54110008000861898</v>
      </c>
      <c r="F1613">
        <v>1</v>
      </c>
      <c r="G1613" s="1" t="s">
        <v>1974</v>
      </c>
      <c r="H1613" t="s">
        <v>1974</v>
      </c>
      <c r="I1613" t="s">
        <v>1974</v>
      </c>
    </row>
    <row r="1614" spans="1:9" x14ac:dyDescent="0.2">
      <c r="A1614">
        <v>29</v>
      </c>
      <c r="B1614">
        <v>8</v>
      </c>
      <c r="C1614" t="s">
        <v>10</v>
      </c>
      <c r="D1614">
        <v>0</v>
      </c>
      <c r="E1614">
        <v>0.87982628005556796</v>
      </c>
      <c r="F1614">
        <v>1</v>
      </c>
      <c r="G1614" s="1" t="s">
        <v>1975</v>
      </c>
      <c r="H1614" t="s">
        <v>1975</v>
      </c>
      <c r="I1614" t="s">
        <v>1975</v>
      </c>
    </row>
    <row r="1615" spans="1:9" x14ac:dyDescent="0.2">
      <c r="A1615">
        <v>90</v>
      </c>
      <c r="B1615">
        <v>7</v>
      </c>
      <c r="C1615" t="s">
        <v>8</v>
      </c>
      <c r="D1615">
        <v>0</v>
      </c>
      <c r="E1615">
        <v>0.79195121675729796</v>
      </c>
      <c r="F1615">
        <v>1</v>
      </c>
      <c r="G1615" s="1" t="s">
        <v>1976</v>
      </c>
      <c r="H1615" t="s">
        <v>1976</v>
      </c>
      <c r="I1615" t="s">
        <v>1976</v>
      </c>
    </row>
    <row r="1616" spans="1:9" x14ac:dyDescent="0.2">
      <c r="A1616">
        <v>75</v>
      </c>
      <c r="B1616">
        <v>11</v>
      </c>
      <c r="C1616" t="s">
        <v>8</v>
      </c>
      <c r="D1616">
        <v>0</v>
      </c>
      <c r="E1616">
        <v>0.71040240477304895</v>
      </c>
      <c r="F1616">
        <v>1</v>
      </c>
      <c r="G1616" s="1" t="s">
        <v>1977</v>
      </c>
      <c r="H1616" t="s">
        <v>1977</v>
      </c>
      <c r="I1616" t="s">
        <v>1977</v>
      </c>
    </row>
    <row r="1617" spans="1:9" x14ac:dyDescent="0.2">
      <c r="A1617">
        <v>56</v>
      </c>
      <c r="B1617">
        <v>10</v>
      </c>
      <c r="C1617" t="s">
        <v>8</v>
      </c>
      <c r="D1617">
        <v>1</v>
      </c>
      <c r="E1617">
        <v>0.93651158700231496</v>
      </c>
      <c r="F1617">
        <v>1</v>
      </c>
      <c r="G1617" s="1" t="s">
        <v>1978</v>
      </c>
      <c r="H1617" t="s">
        <v>1978</v>
      </c>
      <c r="I1617" t="s">
        <v>1978</v>
      </c>
    </row>
    <row r="1618" spans="1:9" x14ac:dyDescent="0.2">
      <c r="A1618">
        <v>36</v>
      </c>
      <c r="B1618">
        <v>13</v>
      </c>
      <c r="C1618" t="s">
        <v>16</v>
      </c>
      <c r="D1618">
        <v>0</v>
      </c>
      <c r="E1618">
        <v>0.68629247811622895</v>
      </c>
      <c r="F1618">
        <v>2</v>
      </c>
      <c r="G1618" s="1" t="s">
        <v>1979</v>
      </c>
      <c r="H1618" t="s">
        <v>1980</v>
      </c>
      <c r="I1618" t="s">
        <v>1979</v>
      </c>
    </row>
    <row r="1619" spans="1:9" x14ac:dyDescent="0.2">
      <c r="A1619">
        <v>72</v>
      </c>
      <c r="B1619">
        <v>12</v>
      </c>
      <c r="C1619" t="s">
        <v>8</v>
      </c>
      <c r="D1619">
        <v>0</v>
      </c>
      <c r="E1619">
        <v>0.97193144401535403</v>
      </c>
      <c r="F1619">
        <v>2</v>
      </c>
      <c r="G1619" s="1" t="s">
        <v>1981</v>
      </c>
      <c r="H1619" t="s">
        <v>1982</v>
      </c>
      <c r="I1619" t="s">
        <v>1981</v>
      </c>
    </row>
    <row r="1620" spans="1:9" x14ac:dyDescent="0.2">
      <c r="A1620">
        <v>47</v>
      </c>
      <c r="B1620">
        <v>12</v>
      </c>
      <c r="C1620" t="s">
        <v>16</v>
      </c>
      <c r="D1620">
        <v>1</v>
      </c>
      <c r="E1620">
        <v>0.79461380885914001</v>
      </c>
      <c r="F1620">
        <v>3</v>
      </c>
      <c r="G1620" s="1" t="s">
        <v>1983</v>
      </c>
      <c r="H1620" t="s">
        <v>1984</v>
      </c>
      <c r="I1620" t="s">
        <v>1983</v>
      </c>
    </row>
    <row r="1621" spans="1:9" x14ac:dyDescent="0.2">
      <c r="A1621">
        <v>27</v>
      </c>
      <c r="B1621">
        <v>15</v>
      </c>
      <c r="C1621" t="s">
        <v>10</v>
      </c>
      <c r="D1621">
        <v>0</v>
      </c>
      <c r="E1621">
        <v>0.77033005049452197</v>
      </c>
      <c r="F1621">
        <v>1</v>
      </c>
      <c r="G1621" s="1" t="s">
        <v>1985</v>
      </c>
      <c r="H1621" t="s">
        <v>1985</v>
      </c>
      <c r="I1621" t="s">
        <v>1985</v>
      </c>
    </row>
    <row r="1622" spans="1:9" x14ac:dyDescent="0.2">
      <c r="A1622">
        <v>82</v>
      </c>
      <c r="B1622">
        <v>9</v>
      </c>
      <c r="C1622" t="s">
        <v>16</v>
      </c>
      <c r="D1622">
        <v>0</v>
      </c>
      <c r="E1622">
        <v>0.89265732292551503</v>
      </c>
      <c r="F1622">
        <v>1</v>
      </c>
      <c r="G1622" s="1" t="s">
        <v>1986</v>
      </c>
      <c r="H1622" t="s">
        <v>1986</v>
      </c>
      <c r="I1622" t="s">
        <v>1986</v>
      </c>
    </row>
    <row r="1623" spans="1:9" x14ac:dyDescent="0.2">
      <c r="A1623">
        <v>55</v>
      </c>
      <c r="B1623">
        <v>11</v>
      </c>
      <c r="C1623" t="s">
        <v>10</v>
      </c>
      <c r="D1623">
        <v>1</v>
      </c>
      <c r="E1623">
        <v>0.77163365774322301</v>
      </c>
      <c r="F1623">
        <v>1</v>
      </c>
      <c r="G1623" s="1" t="s">
        <v>1987</v>
      </c>
      <c r="H1623" t="s">
        <v>1987</v>
      </c>
      <c r="I1623" t="s">
        <v>1987</v>
      </c>
    </row>
    <row r="1624" spans="1:9" x14ac:dyDescent="0.2">
      <c r="A1624">
        <v>49</v>
      </c>
      <c r="B1624">
        <v>1</v>
      </c>
      <c r="C1624" t="s">
        <v>16</v>
      </c>
      <c r="D1624">
        <v>1</v>
      </c>
      <c r="E1624">
        <v>0.82353356794919796</v>
      </c>
      <c r="F1624">
        <v>2</v>
      </c>
      <c r="G1624" s="1" t="s">
        <v>1988</v>
      </c>
      <c r="H1624" t="s">
        <v>1989</v>
      </c>
      <c r="I1624" t="s">
        <v>1988</v>
      </c>
    </row>
    <row r="1625" spans="1:9" x14ac:dyDescent="0.2">
      <c r="A1625">
        <v>22</v>
      </c>
      <c r="B1625">
        <v>12</v>
      </c>
      <c r="C1625" t="s">
        <v>8</v>
      </c>
      <c r="D1625">
        <v>0</v>
      </c>
      <c r="E1625">
        <v>0.59203807415906295</v>
      </c>
      <c r="F1625">
        <v>1</v>
      </c>
      <c r="G1625" s="1" t="s">
        <v>1990</v>
      </c>
      <c r="H1625" t="s">
        <v>1990</v>
      </c>
      <c r="I1625" t="s">
        <v>1990</v>
      </c>
    </row>
    <row r="1626" spans="1:9" x14ac:dyDescent="0.2">
      <c r="A1626">
        <v>87</v>
      </c>
      <c r="B1626">
        <v>13</v>
      </c>
      <c r="C1626" t="s">
        <v>16</v>
      </c>
      <c r="D1626">
        <v>0</v>
      </c>
      <c r="E1626">
        <v>0.87336212198715701</v>
      </c>
      <c r="F1626">
        <v>2</v>
      </c>
      <c r="G1626" s="1" t="s">
        <v>1991</v>
      </c>
      <c r="H1626" t="s">
        <v>1992</v>
      </c>
      <c r="I1626" t="s">
        <v>1991</v>
      </c>
    </row>
    <row r="1627" spans="1:9" x14ac:dyDescent="0.2">
      <c r="A1627">
        <v>84</v>
      </c>
      <c r="B1627">
        <v>10</v>
      </c>
      <c r="C1627" t="s">
        <v>8</v>
      </c>
      <c r="D1627">
        <v>0</v>
      </c>
      <c r="E1627">
        <v>0.92428073205519501</v>
      </c>
      <c r="F1627">
        <v>1</v>
      </c>
      <c r="G1627" s="1" t="s">
        <v>1993</v>
      </c>
      <c r="H1627" t="s">
        <v>1993</v>
      </c>
      <c r="I1627" t="s">
        <v>1993</v>
      </c>
    </row>
    <row r="1628" spans="1:9" x14ac:dyDescent="0.2">
      <c r="A1628">
        <v>39</v>
      </c>
      <c r="B1628">
        <v>0</v>
      </c>
      <c r="C1628" t="s">
        <v>16</v>
      </c>
      <c r="D1628">
        <v>0</v>
      </c>
      <c r="E1628">
        <v>0.90030630270484802</v>
      </c>
      <c r="F1628">
        <v>1</v>
      </c>
      <c r="G1628" s="1" t="s">
        <v>1994</v>
      </c>
      <c r="H1628" t="s">
        <v>1994</v>
      </c>
      <c r="I1628" t="s">
        <v>1994</v>
      </c>
    </row>
    <row r="1629" spans="1:9" x14ac:dyDescent="0.2">
      <c r="A1629">
        <v>36</v>
      </c>
      <c r="B1629">
        <v>6</v>
      </c>
      <c r="C1629" t="s">
        <v>16</v>
      </c>
      <c r="D1629">
        <v>0</v>
      </c>
      <c r="E1629">
        <v>0.88732696138322398</v>
      </c>
      <c r="F1629">
        <v>1</v>
      </c>
      <c r="G1629" s="1" t="s">
        <v>1995</v>
      </c>
      <c r="H1629" t="s">
        <v>1995</v>
      </c>
      <c r="I1629" t="s">
        <v>1995</v>
      </c>
    </row>
    <row r="1630" spans="1:9" x14ac:dyDescent="0.2">
      <c r="A1630">
        <v>40</v>
      </c>
      <c r="B1630">
        <v>8</v>
      </c>
      <c r="C1630" t="s">
        <v>8</v>
      </c>
      <c r="D1630">
        <v>1</v>
      </c>
      <c r="E1630">
        <v>0.61800496000796601</v>
      </c>
      <c r="F1630">
        <v>1</v>
      </c>
      <c r="G1630" s="1" t="s">
        <v>1996</v>
      </c>
      <c r="H1630" t="s">
        <v>1996</v>
      </c>
      <c r="I1630" t="s">
        <v>1996</v>
      </c>
    </row>
    <row r="1631" spans="1:9" x14ac:dyDescent="0.2">
      <c r="A1631">
        <v>42</v>
      </c>
      <c r="B1631">
        <v>0</v>
      </c>
      <c r="C1631" t="s">
        <v>8</v>
      </c>
      <c r="D1631">
        <v>0</v>
      </c>
      <c r="E1631">
        <v>0.71474727417808004</v>
      </c>
      <c r="F1631">
        <v>2</v>
      </c>
      <c r="G1631" s="1" t="s">
        <v>1997</v>
      </c>
      <c r="H1631" t="s">
        <v>1998</v>
      </c>
      <c r="I1631" t="s">
        <v>1997</v>
      </c>
    </row>
    <row r="1632" spans="1:9" x14ac:dyDescent="0.2">
      <c r="A1632">
        <v>62</v>
      </c>
      <c r="B1632">
        <v>6</v>
      </c>
      <c r="C1632" t="s">
        <v>8</v>
      </c>
      <c r="D1632">
        <v>1</v>
      </c>
      <c r="E1632">
        <v>0.77530615252908297</v>
      </c>
      <c r="F1632">
        <v>2</v>
      </c>
      <c r="G1632" s="1" t="s">
        <v>1999</v>
      </c>
      <c r="H1632" t="s">
        <v>2000</v>
      </c>
      <c r="I1632" t="s">
        <v>1999</v>
      </c>
    </row>
    <row r="1633" spans="1:9" x14ac:dyDescent="0.2">
      <c r="A1633">
        <v>26</v>
      </c>
      <c r="B1633">
        <v>3</v>
      </c>
      <c r="C1633" t="s">
        <v>16</v>
      </c>
      <c r="D1633">
        <v>0</v>
      </c>
      <c r="E1633">
        <v>0.69760887487791501</v>
      </c>
      <c r="F1633">
        <v>1</v>
      </c>
      <c r="G1633" s="1" t="s">
        <v>2001</v>
      </c>
      <c r="H1633" t="s">
        <v>2001</v>
      </c>
      <c r="I1633" t="s">
        <v>2001</v>
      </c>
    </row>
    <row r="1634" spans="1:9" x14ac:dyDescent="0.2">
      <c r="A1634">
        <v>84</v>
      </c>
      <c r="B1634">
        <v>3</v>
      </c>
      <c r="C1634" t="s">
        <v>8</v>
      </c>
      <c r="D1634">
        <v>0</v>
      </c>
      <c r="E1634">
        <v>0.78997570101637404</v>
      </c>
      <c r="F1634">
        <v>1</v>
      </c>
      <c r="G1634" s="1" t="s">
        <v>2002</v>
      </c>
      <c r="H1634" t="s">
        <v>2002</v>
      </c>
      <c r="I1634" t="s">
        <v>2002</v>
      </c>
    </row>
    <row r="1635" spans="1:9" x14ac:dyDescent="0.2">
      <c r="A1635">
        <v>86</v>
      </c>
      <c r="B1635">
        <v>8</v>
      </c>
      <c r="C1635" t="s">
        <v>10</v>
      </c>
      <c r="D1635">
        <v>0</v>
      </c>
      <c r="E1635">
        <v>0.72673107427544903</v>
      </c>
      <c r="F1635">
        <v>2</v>
      </c>
      <c r="G1635" s="1" t="s">
        <v>2003</v>
      </c>
      <c r="H1635" t="s">
        <v>2004</v>
      </c>
      <c r="I1635" t="s">
        <v>2003</v>
      </c>
    </row>
    <row r="1636" spans="1:9" x14ac:dyDescent="0.2">
      <c r="A1636">
        <v>51</v>
      </c>
      <c r="B1636">
        <v>11</v>
      </c>
      <c r="C1636" t="s">
        <v>8</v>
      </c>
      <c r="D1636">
        <v>0</v>
      </c>
      <c r="E1636">
        <v>0.92488657590001799</v>
      </c>
      <c r="F1636">
        <v>2</v>
      </c>
      <c r="G1636" s="1" t="s">
        <v>2005</v>
      </c>
      <c r="H1636" t="s">
        <v>2006</v>
      </c>
      <c r="I1636" t="s">
        <v>2005</v>
      </c>
    </row>
    <row r="1637" spans="1:9" x14ac:dyDescent="0.2">
      <c r="A1637">
        <v>40</v>
      </c>
      <c r="B1637">
        <v>14</v>
      </c>
      <c r="C1637" t="s">
        <v>10</v>
      </c>
      <c r="D1637">
        <v>0</v>
      </c>
      <c r="E1637">
        <v>0.68981961207464304</v>
      </c>
      <c r="F1637">
        <v>2</v>
      </c>
      <c r="G1637" s="1" t="s">
        <v>2007</v>
      </c>
      <c r="H1637" t="s">
        <v>2008</v>
      </c>
      <c r="I1637" t="s">
        <v>2007</v>
      </c>
    </row>
    <row r="1638" spans="1:9" x14ac:dyDescent="0.2">
      <c r="A1638">
        <v>42</v>
      </c>
      <c r="B1638">
        <v>14</v>
      </c>
      <c r="C1638" t="s">
        <v>10</v>
      </c>
      <c r="D1638">
        <v>1</v>
      </c>
      <c r="E1638">
        <v>0.69823118369095005</v>
      </c>
      <c r="F1638">
        <v>1</v>
      </c>
      <c r="G1638" s="1" t="s">
        <v>2009</v>
      </c>
      <c r="H1638" t="s">
        <v>2009</v>
      </c>
      <c r="I1638" t="s">
        <v>2009</v>
      </c>
    </row>
    <row r="1639" spans="1:9" x14ac:dyDescent="0.2">
      <c r="A1639">
        <v>22</v>
      </c>
      <c r="B1639">
        <v>13</v>
      </c>
      <c r="C1639" t="s">
        <v>8</v>
      </c>
      <c r="D1639">
        <v>0</v>
      </c>
      <c r="E1639">
        <v>0.56021299061831098</v>
      </c>
      <c r="F1639">
        <v>1</v>
      </c>
      <c r="G1639" s="1" t="s">
        <v>2010</v>
      </c>
      <c r="H1639" t="s">
        <v>2010</v>
      </c>
      <c r="I1639" t="s">
        <v>2010</v>
      </c>
    </row>
    <row r="1640" spans="1:9" x14ac:dyDescent="0.2">
      <c r="A1640">
        <v>73</v>
      </c>
      <c r="B1640">
        <v>12</v>
      </c>
      <c r="C1640" t="s">
        <v>16</v>
      </c>
      <c r="D1640">
        <v>2</v>
      </c>
      <c r="E1640">
        <v>0.515861816704273</v>
      </c>
      <c r="F1640">
        <v>3</v>
      </c>
      <c r="G1640" s="1" t="s">
        <v>2011</v>
      </c>
      <c r="H1640" t="s">
        <v>2012</v>
      </c>
      <c r="I1640" t="s">
        <v>2011</v>
      </c>
    </row>
    <row r="1641" spans="1:9" x14ac:dyDescent="0.2">
      <c r="A1641">
        <v>82</v>
      </c>
      <c r="B1641">
        <v>1</v>
      </c>
      <c r="C1641" t="s">
        <v>10</v>
      </c>
      <c r="D1641">
        <v>0</v>
      </c>
      <c r="E1641">
        <v>0.87725719320587803</v>
      </c>
      <c r="F1641">
        <v>1</v>
      </c>
      <c r="G1641" s="1" t="s">
        <v>2013</v>
      </c>
      <c r="H1641" t="s">
        <v>2013</v>
      </c>
      <c r="I1641" t="s">
        <v>2013</v>
      </c>
    </row>
    <row r="1642" spans="1:9" x14ac:dyDescent="0.2">
      <c r="A1642">
        <v>78</v>
      </c>
      <c r="B1642">
        <v>12</v>
      </c>
      <c r="C1642" t="s">
        <v>8</v>
      </c>
      <c r="D1642">
        <v>0</v>
      </c>
      <c r="E1642">
        <v>0.72934509720653296</v>
      </c>
      <c r="F1642">
        <v>2</v>
      </c>
      <c r="G1642" s="1" t="s">
        <v>2014</v>
      </c>
      <c r="H1642" t="s">
        <v>2015</v>
      </c>
      <c r="I1642" t="s">
        <v>2014</v>
      </c>
    </row>
    <row r="1643" spans="1:9" x14ac:dyDescent="0.2">
      <c r="A1643">
        <v>75</v>
      </c>
      <c r="B1643">
        <v>13</v>
      </c>
      <c r="C1643" t="s">
        <v>8</v>
      </c>
      <c r="D1643">
        <v>0</v>
      </c>
      <c r="E1643">
        <v>0.58369865966960799</v>
      </c>
      <c r="F1643">
        <v>1</v>
      </c>
      <c r="G1643" s="1" t="s">
        <v>2016</v>
      </c>
      <c r="H1643" t="s">
        <v>2016</v>
      </c>
      <c r="I1643" t="s">
        <v>2016</v>
      </c>
    </row>
    <row r="1644" spans="1:9" x14ac:dyDescent="0.2">
      <c r="A1644">
        <v>25</v>
      </c>
      <c r="B1644">
        <v>5</v>
      </c>
      <c r="C1644" t="s">
        <v>8</v>
      </c>
      <c r="D1644">
        <v>0</v>
      </c>
      <c r="E1644">
        <v>0.85113477322738595</v>
      </c>
      <c r="F1644">
        <v>1</v>
      </c>
      <c r="G1644" s="1" t="s">
        <v>2017</v>
      </c>
      <c r="H1644" t="s">
        <v>2017</v>
      </c>
      <c r="I1644" t="s">
        <v>2017</v>
      </c>
    </row>
    <row r="1645" spans="1:9" x14ac:dyDescent="0.2">
      <c r="A1645">
        <v>18</v>
      </c>
      <c r="B1645">
        <v>12</v>
      </c>
      <c r="C1645" t="s">
        <v>8</v>
      </c>
      <c r="D1645">
        <v>1</v>
      </c>
      <c r="E1645">
        <v>0.97050299844704602</v>
      </c>
      <c r="F1645">
        <v>1</v>
      </c>
      <c r="G1645" s="1" t="s">
        <v>2018</v>
      </c>
      <c r="H1645" t="s">
        <v>2018</v>
      </c>
      <c r="I1645" t="s">
        <v>2018</v>
      </c>
    </row>
    <row r="1646" spans="1:9" x14ac:dyDescent="0.2">
      <c r="A1646">
        <v>46</v>
      </c>
      <c r="B1646">
        <v>1</v>
      </c>
      <c r="C1646" t="s">
        <v>10</v>
      </c>
      <c r="D1646">
        <v>0</v>
      </c>
      <c r="E1646">
        <v>0.56230463308747902</v>
      </c>
      <c r="F1646">
        <v>1</v>
      </c>
      <c r="G1646" s="1" t="s">
        <v>2019</v>
      </c>
      <c r="H1646" t="s">
        <v>2019</v>
      </c>
      <c r="I1646" t="s">
        <v>2019</v>
      </c>
    </row>
    <row r="1647" spans="1:9" x14ac:dyDescent="0.2">
      <c r="A1647">
        <v>29</v>
      </c>
      <c r="B1647">
        <v>14</v>
      </c>
      <c r="C1647" t="s">
        <v>8</v>
      </c>
      <c r="D1647">
        <v>1</v>
      </c>
      <c r="E1647">
        <v>0.75536902796011396</v>
      </c>
      <c r="F1647">
        <v>1</v>
      </c>
      <c r="G1647" s="1" t="s">
        <v>2020</v>
      </c>
      <c r="H1647" t="s">
        <v>2020</v>
      </c>
      <c r="I1647" t="s">
        <v>2020</v>
      </c>
    </row>
    <row r="1648" spans="1:9" x14ac:dyDescent="0.2">
      <c r="A1648">
        <v>62</v>
      </c>
      <c r="B1648">
        <v>13</v>
      </c>
      <c r="C1648" t="s">
        <v>16</v>
      </c>
      <c r="D1648">
        <v>0</v>
      </c>
      <c r="E1648">
        <v>0.90845684253144998</v>
      </c>
      <c r="F1648">
        <v>3</v>
      </c>
      <c r="G1648" s="1" t="s">
        <v>2021</v>
      </c>
      <c r="H1648" t="s">
        <v>2022</v>
      </c>
      <c r="I1648" t="s">
        <v>2021</v>
      </c>
    </row>
    <row r="1649" spans="1:9" x14ac:dyDescent="0.2">
      <c r="A1649">
        <v>68</v>
      </c>
      <c r="B1649">
        <v>3</v>
      </c>
      <c r="C1649" t="s">
        <v>8</v>
      </c>
      <c r="D1649">
        <v>0</v>
      </c>
      <c r="E1649">
        <v>0.81403365265577998</v>
      </c>
      <c r="F1649">
        <v>1</v>
      </c>
      <c r="G1649" s="1" t="s">
        <v>2023</v>
      </c>
      <c r="H1649" t="s">
        <v>2023</v>
      </c>
      <c r="I1649" t="s">
        <v>2023</v>
      </c>
    </row>
    <row r="1650" spans="1:9" x14ac:dyDescent="0.2">
      <c r="A1650">
        <v>84</v>
      </c>
      <c r="B1650">
        <v>9</v>
      </c>
      <c r="C1650" t="s">
        <v>8</v>
      </c>
      <c r="D1650">
        <v>0</v>
      </c>
      <c r="E1650">
        <v>0.969304436934181</v>
      </c>
      <c r="F1650">
        <v>1</v>
      </c>
      <c r="G1650" s="1" t="s">
        <v>2024</v>
      </c>
      <c r="H1650" t="s">
        <v>2024</v>
      </c>
      <c r="I1650" t="s">
        <v>2024</v>
      </c>
    </row>
    <row r="1651" spans="1:9" x14ac:dyDescent="0.2">
      <c r="A1651">
        <v>83</v>
      </c>
      <c r="B1651">
        <v>4</v>
      </c>
      <c r="C1651" t="s">
        <v>10</v>
      </c>
      <c r="D1651">
        <v>0</v>
      </c>
      <c r="E1651">
        <v>0.51148998166900095</v>
      </c>
      <c r="F1651">
        <v>1</v>
      </c>
      <c r="G1651" s="1" t="s">
        <v>2025</v>
      </c>
      <c r="H1651" t="s">
        <v>2025</v>
      </c>
      <c r="I1651" t="s">
        <v>2025</v>
      </c>
    </row>
    <row r="1652" spans="1:9" x14ac:dyDescent="0.2">
      <c r="A1652">
        <v>41</v>
      </c>
      <c r="B1652">
        <v>9</v>
      </c>
      <c r="C1652" t="s">
        <v>16</v>
      </c>
      <c r="D1652">
        <v>1</v>
      </c>
      <c r="E1652">
        <v>0.58334870927501503</v>
      </c>
      <c r="F1652">
        <v>1</v>
      </c>
      <c r="G1652" s="1" t="s">
        <v>2026</v>
      </c>
      <c r="H1652" t="s">
        <v>2026</v>
      </c>
      <c r="I1652" t="s">
        <v>2026</v>
      </c>
    </row>
    <row r="1653" spans="1:9" x14ac:dyDescent="0.2">
      <c r="A1653">
        <v>54</v>
      </c>
      <c r="B1653">
        <v>5</v>
      </c>
      <c r="C1653" t="s">
        <v>8</v>
      </c>
      <c r="D1653">
        <v>1</v>
      </c>
      <c r="E1653">
        <v>0.86988729424774602</v>
      </c>
      <c r="F1653">
        <v>1</v>
      </c>
      <c r="G1653" s="1" t="s">
        <v>2027</v>
      </c>
      <c r="H1653" t="s">
        <v>2027</v>
      </c>
      <c r="I1653" t="s">
        <v>2027</v>
      </c>
    </row>
    <row r="1654" spans="1:9" x14ac:dyDescent="0.2">
      <c r="A1654">
        <v>25</v>
      </c>
      <c r="B1654">
        <v>12</v>
      </c>
      <c r="C1654" t="s">
        <v>8</v>
      </c>
      <c r="D1654">
        <v>1</v>
      </c>
      <c r="E1654">
        <v>0.82893549266736999</v>
      </c>
      <c r="F1654">
        <v>1</v>
      </c>
      <c r="G1654" s="1" t="s">
        <v>2028</v>
      </c>
      <c r="H1654" t="s">
        <v>2028</v>
      </c>
      <c r="I1654" t="s">
        <v>2028</v>
      </c>
    </row>
    <row r="1655" spans="1:9" x14ac:dyDescent="0.2">
      <c r="A1655">
        <v>88</v>
      </c>
      <c r="B1655">
        <v>0</v>
      </c>
      <c r="C1655" t="s">
        <v>10</v>
      </c>
      <c r="D1655">
        <v>1</v>
      </c>
      <c r="E1655">
        <v>0.72435244696680501</v>
      </c>
      <c r="F1655">
        <v>1</v>
      </c>
      <c r="G1655" s="1" t="s">
        <v>2029</v>
      </c>
      <c r="H1655" t="s">
        <v>2029</v>
      </c>
      <c r="I1655" t="s">
        <v>2029</v>
      </c>
    </row>
    <row r="1656" spans="1:9" x14ac:dyDescent="0.2">
      <c r="A1656">
        <v>43</v>
      </c>
      <c r="B1656">
        <v>6</v>
      </c>
      <c r="C1656" t="s">
        <v>8</v>
      </c>
      <c r="D1656">
        <v>0</v>
      </c>
      <c r="E1656">
        <v>0.99863746168557599</v>
      </c>
      <c r="F1656">
        <v>1</v>
      </c>
      <c r="G1656" s="1" t="s">
        <v>2030</v>
      </c>
      <c r="H1656" t="s">
        <v>2030</v>
      </c>
      <c r="I1656" t="s">
        <v>2030</v>
      </c>
    </row>
    <row r="1657" spans="1:9" x14ac:dyDescent="0.2">
      <c r="A1657">
        <v>89</v>
      </c>
      <c r="B1657">
        <v>6</v>
      </c>
      <c r="C1657" t="s">
        <v>16</v>
      </c>
      <c r="D1657">
        <v>0</v>
      </c>
      <c r="E1657">
        <v>0.55988148064352605</v>
      </c>
      <c r="F1657">
        <v>1</v>
      </c>
      <c r="G1657" s="1" t="s">
        <v>2031</v>
      </c>
      <c r="H1657" t="s">
        <v>2031</v>
      </c>
      <c r="I1657" t="s">
        <v>2031</v>
      </c>
    </row>
    <row r="1658" spans="1:9" x14ac:dyDescent="0.2">
      <c r="A1658">
        <v>67</v>
      </c>
      <c r="B1658">
        <v>10</v>
      </c>
      <c r="C1658" t="s">
        <v>16</v>
      </c>
      <c r="D1658">
        <v>0</v>
      </c>
      <c r="E1658">
        <v>0.793018359225243</v>
      </c>
      <c r="F1658">
        <v>2</v>
      </c>
      <c r="G1658" s="1" t="s">
        <v>2032</v>
      </c>
      <c r="H1658" t="s">
        <v>2033</v>
      </c>
      <c r="I1658" t="s">
        <v>2032</v>
      </c>
    </row>
    <row r="1659" spans="1:9" x14ac:dyDescent="0.2">
      <c r="A1659">
        <v>53</v>
      </c>
      <c r="B1659">
        <v>12</v>
      </c>
      <c r="C1659" t="s">
        <v>16</v>
      </c>
      <c r="D1659">
        <v>1</v>
      </c>
      <c r="E1659">
        <v>0.99568398168776195</v>
      </c>
      <c r="F1659">
        <v>2</v>
      </c>
      <c r="G1659" s="1" t="s">
        <v>2034</v>
      </c>
      <c r="H1659" t="s">
        <v>2035</v>
      </c>
      <c r="I1659" t="s">
        <v>2034</v>
      </c>
    </row>
    <row r="1660" spans="1:9" x14ac:dyDescent="0.2">
      <c r="A1660">
        <v>85</v>
      </c>
      <c r="B1660">
        <v>14</v>
      </c>
      <c r="C1660" t="s">
        <v>8</v>
      </c>
      <c r="D1660">
        <v>0</v>
      </c>
      <c r="E1660">
        <v>0.50172620161902204</v>
      </c>
      <c r="F1660">
        <v>1</v>
      </c>
      <c r="G1660" s="1" t="s">
        <v>2036</v>
      </c>
      <c r="H1660" t="s">
        <v>2036</v>
      </c>
      <c r="I1660" t="s">
        <v>2036</v>
      </c>
    </row>
    <row r="1661" spans="1:9" x14ac:dyDescent="0.2">
      <c r="A1661">
        <v>67</v>
      </c>
      <c r="B1661">
        <v>2</v>
      </c>
      <c r="C1661" t="s">
        <v>8</v>
      </c>
      <c r="D1661">
        <v>0</v>
      </c>
      <c r="E1661">
        <v>0.988982441602275</v>
      </c>
      <c r="F1661">
        <v>1</v>
      </c>
      <c r="G1661" s="1" t="s">
        <v>2037</v>
      </c>
      <c r="H1661" t="s">
        <v>2037</v>
      </c>
      <c r="I1661" t="s">
        <v>2037</v>
      </c>
    </row>
    <row r="1662" spans="1:9" x14ac:dyDescent="0.2">
      <c r="A1662">
        <v>85</v>
      </c>
      <c r="B1662">
        <v>13</v>
      </c>
      <c r="C1662" t="s">
        <v>8</v>
      </c>
      <c r="D1662">
        <v>1</v>
      </c>
      <c r="E1662">
        <v>0.99596280383411795</v>
      </c>
      <c r="F1662">
        <v>2</v>
      </c>
      <c r="G1662" s="1" t="s">
        <v>2038</v>
      </c>
      <c r="H1662" t="s">
        <v>2039</v>
      </c>
      <c r="I1662" t="s">
        <v>2038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9334-E6A3-4B11-AF6E-FCE9499E7B67}">
  <dimension ref="A1:K1662"/>
  <sheetViews>
    <sheetView workbookViewId="0">
      <selection activeCell="P32" sqref="P32"/>
    </sheetView>
  </sheetViews>
  <sheetFormatPr defaultRowHeight="14.25" x14ac:dyDescent="0.2"/>
  <cols>
    <col min="2" max="2" width="11.75" customWidth="1"/>
    <col min="3" max="3" width="14.125" customWidth="1"/>
    <col min="4" max="4" width="13.25" customWidth="1"/>
    <col min="5" max="5" width="14.75" customWidth="1"/>
    <col min="6" max="6" width="13.25" customWidth="1"/>
    <col min="7" max="7" width="17.5" customWidth="1"/>
    <col min="8" max="8" width="19.125" customWidth="1"/>
    <col min="9" max="9" width="17.875" customWidth="1"/>
    <col min="10" max="10" width="14" customWidth="1"/>
    <col min="11" max="11" width="19.125" customWidth="1"/>
  </cols>
  <sheetData>
    <row r="1" spans="1:11" x14ac:dyDescent="0.2">
      <c r="A1" t="s">
        <v>2043</v>
      </c>
      <c r="B1" t="s">
        <v>2044</v>
      </c>
      <c r="C1" t="s">
        <v>2045</v>
      </c>
      <c r="D1" t="s">
        <v>2046</v>
      </c>
      <c r="E1" t="s">
        <v>2041</v>
      </c>
      <c r="F1" t="s">
        <v>2042</v>
      </c>
      <c r="G1" s="1" t="s">
        <v>2047</v>
      </c>
      <c r="H1" t="s">
        <v>2048</v>
      </c>
      <c r="I1" t="s">
        <v>2040</v>
      </c>
      <c r="J1" t="s">
        <v>2069</v>
      </c>
      <c r="K1" t="s">
        <v>2077</v>
      </c>
    </row>
    <row r="2" spans="1:11" x14ac:dyDescent="0.2">
      <c r="A2" s="4">
        <v>75</v>
      </c>
      <c r="B2" s="4">
        <v>15</v>
      </c>
      <c r="C2" t="s">
        <v>8</v>
      </c>
      <c r="D2" s="4">
        <v>0</v>
      </c>
      <c r="E2" s="3">
        <v>0.65111532679293305</v>
      </c>
      <c r="F2" s="4">
        <v>1</v>
      </c>
      <c r="G2" s="2">
        <v>1084.94</v>
      </c>
      <c r="H2" s="2">
        <v>1084.94</v>
      </c>
      <c r="I2" s="2">
        <v>1084.94</v>
      </c>
      <c r="J2" s="2" t="str">
        <f t="shared" ref="J2:J65" si="0" xml:space="preserve"> IF(A2&lt;25,"18-24",
 IF(A2&lt;35,"25-34",
 IF(A2&lt;45,"35-44",
 IF(A2&lt;55,"45-54", IF(A2&lt;65, "55-64", IF(A2&lt;75, "65-74", "75-90"))))))</f>
        <v>75-90</v>
      </c>
      <c r="K2" s="17" t="str">
        <f t="shared" ref="K2:K65" si="1" xml:space="preserve"> IF(B2 &lt; 3, "0-2", IF(B2 &lt; 6, "3-5", IF(B2 &lt; 9, "6-8", IF(B2 &lt; 12, "9-11", "12-15"))))</f>
        <v>12-15</v>
      </c>
    </row>
    <row r="3" spans="1:11" x14ac:dyDescent="0.2">
      <c r="A3" s="4">
        <v>47</v>
      </c>
      <c r="B3" s="4">
        <v>11</v>
      </c>
      <c r="C3" t="s">
        <v>10</v>
      </c>
      <c r="D3" s="4">
        <v>1</v>
      </c>
      <c r="E3" s="3">
        <v>0.71687950438354198</v>
      </c>
      <c r="F3" s="4">
        <v>2</v>
      </c>
      <c r="G3" s="2">
        <v>900.12</v>
      </c>
      <c r="H3" s="2">
        <v>450.06</v>
      </c>
      <c r="I3" s="2">
        <v>900.12</v>
      </c>
      <c r="J3" s="2" t="str">
        <f t="shared" si="0"/>
        <v>45-54</v>
      </c>
      <c r="K3" s="17" t="str">
        <f t="shared" si="1"/>
        <v>9-11</v>
      </c>
    </row>
    <row r="4" spans="1:11" x14ac:dyDescent="0.2">
      <c r="A4" s="4">
        <v>82</v>
      </c>
      <c r="B4" s="4">
        <v>10</v>
      </c>
      <c r="C4" t="s">
        <v>8</v>
      </c>
      <c r="D4" s="4">
        <v>2</v>
      </c>
      <c r="E4" s="3">
        <v>0.58026045572478302</v>
      </c>
      <c r="F4" s="4">
        <v>1</v>
      </c>
      <c r="G4" s="2">
        <v>4349.0200000000004</v>
      </c>
      <c r="H4" s="2">
        <v>4349.0200000000004</v>
      </c>
      <c r="I4" s="2">
        <v>4349.0200000000004</v>
      </c>
      <c r="J4" s="2" t="str">
        <f t="shared" si="0"/>
        <v>75-90</v>
      </c>
      <c r="K4" s="17" t="str">
        <f t="shared" si="1"/>
        <v>9-11</v>
      </c>
    </row>
    <row r="5" spans="1:11" x14ac:dyDescent="0.2">
      <c r="A5" s="4">
        <v>86</v>
      </c>
      <c r="B5" s="4">
        <v>4</v>
      </c>
      <c r="C5" t="s">
        <v>8</v>
      </c>
      <c r="D5" s="4">
        <v>0</v>
      </c>
      <c r="E5" s="3">
        <v>0.91151335567701597</v>
      </c>
      <c r="F5" s="4">
        <v>1</v>
      </c>
      <c r="G5" s="2">
        <v>1337.58</v>
      </c>
      <c r="H5" s="2">
        <v>1337.58</v>
      </c>
      <c r="I5" s="2">
        <v>1337.58</v>
      </c>
      <c r="J5" s="2" t="str">
        <f t="shared" si="0"/>
        <v>75-90</v>
      </c>
      <c r="K5" s="17" t="str">
        <f t="shared" si="1"/>
        <v>3-5</v>
      </c>
    </row>
    <row r="6" spans="1:11" x14ac:dyDescent="0.2">
      <c r="A6" s="4">
        <v>58</v>
      </c>
      <c r="B6" s="4">
        <v>12</v>
      </c>
      <c r="C6" t="s">
        <v>10</v>
      </c>
      <c r="D6" s="4">
        <v>0</v>
      </c>
      <c r="E6" s="3">
        <v>0.79452270199544694</v>
      </c>
      <c r="F6" s="4">
        <v>1</v>
      </c>
      <c r="G6" s="2">
        <v>1378.33</v>
      </c>
      <c r="H6" s="2">
        <v>1378.33</v>
      </c>
      <c r="I6" s="2">
        <v>1378.33</v>
      </c>
      <c r="J6" s="2" t="str">
        <f t="shared" si="0"/>
        <v>55-64</v>
      </c>
      <c r="K6" s="17" t="str">
        <f t="shared" si="1"/>
        <v>12-15</v>
      </c>
    </row>
    <row r="7" spans="1:11" x14ac:dyDescent="0.2">
      <c r="A7" s="4">
        <v>87</v>
      </c>
      <c r="B7" s="4">
        <v>5</v>
      </c>
      <c r="C7" t="s">
        <v>16</v>
      </c>
      <c r="D7" s="4">
        <v>0</v>
      </c>
      <c r="E7" s="3">
        <v>0.93558991258032598</v>
      </c>
      <c r="F7" s="4">
        <v>1</v>
      </c>
      <c r="G7" s="2">
        <v>1676.22</v>
      </c>
      <c r="H7" s="2">
        <v>1676.22</v>
      </c>
      <c r="I7" s="2">
        <v>1676.22</v>
      </c>
      <c r="J7" s="2" t="str">
        <f t="shared" si="0"/>
        <v>75-90</v>
      </c>
      <c r="K7" s="17" t="str">
        <f t="shared" si="1"/>
        <v>3-5</v>
      </c>
    </row>
    <row r="8" spans="1:11" x14ac:dyDescent="0.2">
      <c r="A8" s="4">
        <v>59</v>
      </c>
      <c r="B8" s="4">
        <v>15</v>
      </c>
      <c r="C8" t="s">
        <v>8</v>
      </c>
      <c r="D8" s="4">
        <v>1</v>
      </c>
      <c r="E8" s="3">
        <v>0.55298273055814195</v>
      </c>
      <c r="F8" s="4">
        <v>2</v>
      </c>
      <c r="G8" s="2">
        <v>1401.97</v>
      </c>
      <c r="H8" s="2">
        <v>700.99</v>
      </c>
      <c r="I8" s="2">
        <v>1401.97</v>
      </c>
      <c r="J8" s="2" t="str">
        <f t="shared" si="0"/>
        <v>55-64</v>
      </c>
      <c r="K8" s="17" t="str">
        <f t="shared" si="1"/>
        <v>12-15</v>
      </c>
    </row>
    <row r="9" spans="1:11" x14ac:dyDescent="0.2">
      <c r="A9" s="4">
        <v>83</v>
      </c>
      <c r="B9" s="4">
        <v>15</v>
      </c>
      <c r="C9" t="s">
        <v>8</v>
      </c>
      <c r="D9" s="4">
        <v>0</v>
      </c>
      <c r="E9" s="3">
        <v>0.89764232444576897</v>
      </c>
      <c r="F9" s="4">
        <v>2</v>
      </c>
      <c r="G9" s="2">
        <v>1395.13</v>
      </c>
      <c r="H9" s="2">
        <v>697.57</v>
      </c>
      <c r="I9" s="2">
        <v>1395.13</v>
      </c>
      <c r="J9" s="2" t="str">
        <f t="shared" si="0"/>
        <v>75-90</v>
      </c>
      <c r="K9" s="17" t="str">
        <f t="shared" si="1"/>
        <v>12-15</v>
      </c>
    </row>
    <row r="10" spans="1:11" x14ac:dyDescent="0.2">
      <c r="A10" s="4">
        <v>82</v>
      </c>
      <c r="B10" s="4">
        <v>15</v>
      </c>
      <c r="C10" t="s">
        <v>8</v>
      </c>
      <c r="D10" s="4">
        <v>0</v>
      </c>
      <c r="E10" s="3">
        <v>0.69570920569822203</v>
      </c>
      <c r="F10" s="4">
        <v>1</v>
      </c>
      <c r="G10" s="2">
        <v>3385.84</v>
      </c>
      <c r="H10" s="2">
        <v>3385.84</v>
      </c>
      <c r="I10" s="2">
        <v>3385.84</v>
      </c>
      <c r="J10" s="2" t="str">
        <f t="shared" si="0"/>
        <v>75-90</v>
      </c>
      <c r="K10" s="17" t="str">
        <f t="shared" si="1"/>
        <v>12-15</v>
      </c>
    </row>
    <row r="11" spans="1:11" x14ac:dyDescent="0.2">
      <c r="A11" s="4">
        <v>90</v>
      </c>
      <c r="B11" s="4">
        <v>6</v>
      </c>
      <c r="C11" t="s">
        <v>10</v>
      </c>
      <c r="D11" s="4">
        <v>0</v>
      </c>
      <c r="E11" s="3">
        <v>0.59898808773141399</v>
      </c>
      <c r="F11" s="4">
        <v>2</v>
      </c>
      <c r="G11" s="2">
        <v>3629.2</v>
      </c>
      <c r="H11" s="2">
        <v>1814.6</v>
      </c>
      <c r="I11" s="2">
        <v>3629.2</v>
      </c>
      <c r="J11" s="2" t="str">
        <f t="shared" si="0"/>
        <v>75-90</v>
      </c>
      <c r="K11" s="17" t="str">
        <f t="shared" si="1"/>
        <v>6-8</v>
      </c>
    </row>
    <row r="12" spans="1:11" x14ac:dyDescent="0.2">
      <c r="A12" s="4">
        <v>65</v>
      </c>
      <c r="B12" s="4">
        <v>10</v>
      </c>
      <c r="C12" t="s">
        <v>16</v>
      </c>
      <c r="D12" s="4">
        <v>1</v>
      </c>
      <c r="E12" s="3">
        <v>0.93099966982845195</v>
      </c>
      <c r="F12" s="4">
        <v>3</v>
      </c>
      <c r="G12" s="2">
        <v>1300.32</v>
      </c>
      <c r="H12" s="2">
        <v>433.44</v>
      </c>
      <c r="I12" s="2">
        <v>1300.32</v>
      </c>
      <c r="J12" s="2" t="str">
        <f t="shared" si="0"/>
        <v>65-74</v>
      </c>
      <c r="K12" s="17" t="str">
        <f t="shared" si="1"/>
        <v>9-11</v>
      </c>
    </row>
    <row r="13" spans="1:11" x14ac:dyDescent="0.2">
      <c r="A13" s="4">
        <v>57</v>
      </c>
      <c r="B13" s="4">
        <v>5</v>
      </c>
      <c r="C13" t="s">
        <v>8</v>
      </c>
      <c r="D13" s="4">
        <v>0</v>
      </c>
      <c r="E13" s="3">
        <v>0.57867345144040905</v>
      </c>
      <c r="F13" s="4">
        <v>1</v>
      </c>
      <c r="G13" s="2">
        <v>654.41</v>
      </c>
      <c r="H13" s="2">
        <v>654.41</v>
      </c>
      <c r="I13" s="2">
        <v>654.41</v>
      </c>
      <c r="J13" s="2" t="str">
        <f t="shared" si="0"/>
        <v>55-64</v>
      </c>
      <c r="K13" s="17" t="str">
        <f t="shared" si="1"/>
        <v>3-5</v>
      </c>
    </row>
    <row r="14" spans="1:11" x14ac:dyDescent="0.2">
      <c r="A14" s="4">
        <v>83</v>
      </c>
      <c r="B14" s="4">
        <v>10</v>
      </c>
      <c r="C14" t="s">
        <v>16</v>
      </c>
      <c r="D14" s="4">
        <v>0</v>
      </c>
      <c r="E14" s="3">
        <v>0.85070176713634305</v>
      </c>
      <c r="F14" s="4">
        <v>1</v>
      </c>
      <c r="G14" s="2">
        <v>986.28</v>
      </c>
      <c r="H14" s="2">
        <v>986.28</v>
      </c>
      <c r="I14" s="2">
        <v>986.28</v>
      </c>
      <c r="J14" s="2" t="str">
        <f t="shared" si="0"/>
        <v>75-90</v>
      </c>
      <c r="K14" s="17" t="str">
        <f t="shared" si="1"/>
        <v>9-11</v>
      </c>
    </row>
    <row r="15" spans="1:11" x14ac:dyDescent="0.2">
      <c r="A15" s="4">
        <v>41</v>
      </c>
      <c r="B15" s="4">
        <v>11</v>
      </c>
      <c r="C15" t="s">
        <v>8</v>
      </c>
      <c r="D15" s="4">
        <v>0</v>
      </c>
      <c r="E15" s="3">
        <v>0.62027452653273896</v>
      </c>
      <c r="F15" s="4">
        <v>1</v>
      </c>
      <c r="G15" s="2">
        <v>292.75</v>
      </c>
      <c r="H15" s="2">
        <v>292.75</v>
      </c>
      <c r="I15" s="2">
        <v>292.75</v>
      </c>
      <c r="J15" s="2" t="str">
        <f t="shared" si="0"/>
        <v>35-44</v>
      </c>
      <c r="K15" s="17" t="str">
        <f t="shared" si="1"/>
        <v>9-11</v>
      </c>
    </row>
    <row r="16" spans="1:11" x14ac:dyDescent="0.2">
      <c r="A16" s="4">
        <v>35</v>
      </c>
      <c r="B16" s="4">
        <v>13</v>
      </c>
      <c r="C16" t="s">
        <v>8</v>
      </c>
      <c r="D16" s="4">
        <v>0</v>
      </c>
      <c r="E16" s="3">
        <v>0.74428722739685305</v>
      </c>
      <c r="F16" s="4">
        <v>1</v>
      </c>
      <c r="G16" s="2">
        <v>493.28</v>
      </c>
      <c r="H16" s="2">
        <v>493.28</v>
      </c>
      <c r="I16" s="2">
        <v>493.28</v>
      </c>
      <c r="J16" s="2" t="str">
        <f t="shared" si="0"/>
        <v>35-44</v>
      </c>
      <c r="K16" s="17" t="str">
        <f t="shared" si="1"/>
        <v>12-15</v>
      </c>
    </row>
    <row r="17" spans="1:11" x14ac:dyDescent="0.2">
      <c r="A17" s="4">
        <v>48</v>
      </c>
      <c r="B17" s="4">
        <v>15</v>
      </c>
      <c r="C17" t="s">
        <v>8</v>
      </c>
      <c r="D17" s="4">
        <v>0</v>
      </c>
      <c r="E17" s="3">
        <v>0.99091912899166301</v>
      </c>
      <c r="F17" s="4">
        <v>1</v>
      </c>
      <c r="G17" s="2">
        <v>499.44</v>
      </c>
      <c r="H17" s="2">
        <v>499.44</v>
      </c>
      <c r="I17" s="2">
        <v>499.44</v>
      </c>
      <c r="J17" s="2" t="str">
        <f t="shared" si="0"/>
        <v>45-54</v>
      </c>
      <c r="K17" s="17" t="str">
        <f t="shared" si="1"/>
        <v>12-15</v>
      </c>
    </row>
    <row r="18" spans="1:11" x14ac:dyDescent="0.2">
      <c r="A18" s="4">
        <v>29</v>
      </c>
      <c r="B18" s="4">
        <v>4</v>
      </c>
      <c r="C18" t="s">
        <v>8</v>
      </c>
      <c r="D18" s="4">
        <v>1</v>
      </c>
      <c r="E18" s="3">
        <v>0.97911363583989397</v>
      </c>
      <c r="F18" s="4">
        <v>1</v>
      </c>
      <c r="G18" s="2">
        <v>590.61</v>
      </c>
      <c r="H18" s="2">
        <v>590.61</v>
      </c>
      <c r="I18" s="2">
        <v>590.61</v>
      </c>
      <c r="J18" s="2" t="str">
        <f t="shared" si="0"/>
        <v>25-34</v>
      </c>
      <c r="K18" s="17" t="str">
        <f t="shared" si="1"/>
        <v>3-5</v>
      </c>
    </row>
    <row r="19" spans="1:11" x14ac:dyDescent="0.2">
      <c r="A19" s="4">
        <v>28</v>
      </c>
      <c r="B19" s="4">
        <v>13</v>
      </c>
      <c r="C19" t="s">
        <v>8</v>
      </c>
      <c r="D19" s="4">
        <v>0</v>
      </c>
      <c r="E19" s="3">
        <v>0.774889929685742</v>
      </c>
      <c r="F19" s="4">
        <v>2</v>
      </c>
      <c r="G19" s="2">
        <v>567.54999999999995</v>
      </c>
      <c r="H19" s="2">
        <v>283.77</v>
      </c>
      <c r="I19" s="2">
        <v>567.54999999999995</v>
      </c>
      <c r="J19" s="2" t="str">
        <f t="shared" si="0"/>
        <v>25-34</v>
      </c>
      <c r="K19" s="17" t="str">
        <f t="shared" si="1"/>
        <v>12-15</v>
      </c>
    </row>
    <row r="20" spans="1:11" x14ac:dyDescent="0.2">
      <c r="A20" s="4">
        <v>35</v>
      </c>
      <c r="B20" s="4">
        <v>12</v>
      </c>
      <c r="C20" t="s">
        <v>8</v>
      </c>
      <c r="D20" s="4">
        <v>0</v>
      </c>
      <c r="E20" s="3">
        <v>0.75714224437251698</v>
      </c>
      <c r="F20" s="4">
        <v>1</v>
      </c>
      <c r="G20" s="2">
        <v>720.87</v>
      </c>
      <c r="H20" s="2">
        <v>720.87</v>
      </c>
      <c r="I20" s="2">
        <v>720.87</v>
      </c>
      <c r="J20" s="2" t="str">
        <f t="shared" si="0"/>
        <v>35-44</v>
      </c>
      <c r="K20" s="17" t="str">
        <f t="shared" si="1"/>
        <v>12-15</v>
      </c>
    </row>
    <row r="21" spans="1:11" x14ac:dyDescent="0.2">
      <c r="A21" s="4">
        <v>37</v>
      </c>
      <c r="B21" s="4">
        <v>1</v>
      </c>
      <c r="C21" t="s">
        <v>8</v>
      </c>
      <c r="D21" s="4">
        <v>1</v>
      </c>
      <c r="E21" s="3">
        <v>0.92827308794949204</v>
      </c>
      <c r="F21" s="4">
        <v>1</v>
      </c>
      <c r="G21" s="2">
        <v>721.97</v>
      </c>
      <c r="H21" s="2">
        <v>721.97</v>
      </c>
      <c r="I21" s="2">
        <v>721.97</v>
      </c>
      <c r="J21" s="2" t="str">
        <f t="shared" si="0"/>
        <v>35-44</v>
      </c>
      <c r="K21" s="17" t="str">
        <f t="shared" si="1"/>
        <v>0-2</v>
      </c>
    </row>
    <row r="22" spans="1:11" x14ac:dyDescent="0.2">
      <c r="A22" s="4">
        <v>80</v>
      </c>
      <c r="B22" s="4">
        <v>13</v>
      </c>
      <c r="C22" t="s">
        <v>8</v>
      </c>
      <c r="D22" s="4">
        <v>0</v>
      </c>
      <c r="E22" s="3">
        <v>0.99301113595720403</v>
      </c>
      <c r="F22" s="4">
        <v>1</v>
      </c>
      <c r="G22" s="2">
        <v>1920.17</v>
      </c>
      <c r="H22" s="2">
        <v>1920.17</v>
      </c>
      <c r="I22" s="2">
        <v>1920.17</v>
      </c>
      <c r="J22" s="2" t="str">
        <f t="shared" si="0"/>
        <v>75-90</v>
      </c>
      <c r="K22" s="17" t="str">
        <f t="shared" si="1"/>
        <v>12-15</v>
      </c>
    </row>
    <row r="23" spans="1:11" x14ac:dyDescent="0.2">
      <c r="A23" s="4">
        <v>50</v>
      </c>
      <c r="B23" s="4">
        <v>3</v>
      </c>
      <c r="C23" t="s">
        <v>10</v>
      </c>
      <c r="D23" s="4">
        <v>0</v>
      </c>
      <c r="E23" s="3">
        <v>0.705553260282613</v>
      </c>
      <c r="F23" s="4">
        <v>1</v>
      </c>
      <c r="G23" s="2">
        <v>793.13</v>
      </c>
      <c r="H23" s="2">
        <v>793.13</v>
      </c>
      <c r="I23" s="2">
        <v>793.13</v>
      </c>
      <c r="J23" s="2" t="str">
        <f t="shared" si="0"/>
        <v>45-54</v>
      </c>
      <c r="K23" s="17" t="str">
        <f t="shared" si="1"/>
        <v>3-5</v>
      </c>
    </row>
    <row r="24" spans="1:11" x14ac:dyDescent="0.2">
      <c r="A24" s="4">
        <v>76</v>
      </c>
      <c r="B24" s="4">
        <v>12</v>
      </c>
      <c r="C24" t="s">
        <v>10</v>
      </c>
      <c r="D24" s="4">
        <v>1</v>
      </c>
      <c r="E24" s="3">
        <v>0.67646142921876196</v>
      </c>
      <c r="F24" s="4">
        <v>1</v>
      </c>
      <c r="G24" s="2">
        <v>1285.47</v>
      </c>
      <c r="H24" s="2">
        <v>1285.47</v>
      </c>
      <c r="I24" s="2">
        <v>1285.47</v>
      </c>
      <c r="J24" s="2" t="str">
        <f t="shared" si="0"/>
        <v>75-90</v>
      </c>
      <c r="K24" s="17" t="str">
        <f t="shared" si="1"/>
        <v>12-15</v>
      </c>
    </row>
    <row r="25" spans="1:11" x14ac:dyDescent="0.2">
      <c r="A25" s="4">
        <v>72</v>
      </c>
      <c r="B25" s="4">
        <v>13</v>
      </c>
      <c r="C25" t="s">
        <v>8</v>
      </c>
      <c r="D25" s="4">
        <v>0</v>
      </c>
      <c r="E25" s="3">
        <v>0.51503362855874002</v>
      </c>
      <c r="F25" s="4">
        <v>1</v>
      </c>
      <c r="G25" s="2">
        <v>647.41</v>
      </c>
      <c r="H25" s="2">
        <v>647.41</v>
      </c>
      <c r="I25" s="2">
        <v>647.41</v>
      </c>
      <c r="J25" s="2" t="str">
        <f t="shared" si="0"/>
        <v>65-74</v>
      </c>
      <c r="K25" s="17" t="str">
        <f t="shared" si="1"/>
        <v>12-15</v>
      </c>
    </row>
    <row r="26" spans="1:11" x14ac:dyDescent="0.2">
      <c r="A26" s="4">
        <v>72</v>
      </c>
      <c r="B26" s="4">
        <v>10</v>
      </c>
      <c r="C26" t="s">
        <v>8</v>
      </c>
      <c r="D26" s="4">
        <v>1</v>
      </c>
      <c r="E26" s="3">
        <v>0.83705900656059395</v>
      </c>
      <c r="F26" s="4">
        <v>1</v>
      </c>
      <c r="G26" s="2">
        <v>1532.38</v>
      </c>
      <c r="H26" s="2">
        <v>1532.38</v>
      </c>
      <c r="I26" s="2">
        <v>1532.38</v>
      </c>
      <c r="J26" s="2" t="str">
        <f t="shared" si="0"/>
        <v>65-74</v>
      </c>
      <c r="K26" s="17" t="str">
        <f t="shared" si="1"/>
        <v>9-11</v>
      </c>
    </row>
    <row r="27" spans="1:11" x14ac:dyDescent="0.2">
      <c r="A27" s="4">
        <v>69</v>
      </c>
      <c r="B27" s="4">
        <v>8</v>
      </c>
      <c r="C27" t="s">
        <v>8</v>
      </c>
      <c r="D27" s="4">
        <v>1</v>
      </c>
      <c r="E27" s="3">
        <v>0.65121764701325402</v>
      </c>
      <c r="F27" s="4">
        <v>3</v>
      </c>
      <c r="G27" s="2">
        <v>784.64</v>
      </c>
      <c r="H27" s="2">
        <v>261.55</v>
      </c>
      <c r="I27" s="2">
        <v>784.64</v>
      </c>
      <c r="J27" s="2" t="str">
        <f t="shared" si="0"/>
        <v>65-74</v>
      </c>
      <c r="K27" s="17" t="str">
        <f t="shared" si="1"/>
        <v>6-8</v>
      </c>
    </row>
    <row r="28" spans="1:11" x14ac:dyDescent="0.2">
      <c r="A28" s="4">
        <v>52</v>
      </c>
      <c r="B28" s="4">
        <v>5</v>
      </c>
      <c r="C28" t="s">
        <v>8</v>
      </c>
      <c r="D28" s="4">
        <v>0</v>
      </c>
      <c r="E28" s="3">
        <v>0.96968010102864399</v>
      </c>
      <c r="F28" s="4">
        <v>1</v>
      </c>
      <c r="G28" s="2">
        <v>174.47</v>
      </c>
      <c r="H28" s="2">
        <v>174.47</v>
      </c>
      <c r="I28" s="2">
        <v>174.47</v>
      </c>
      <c r="J28" s="2" t="str">
        <f t="shared" si="0"/>
        <v>45-54</v>
      </c>
      <c r="K28" s="17" t="str">
        <f t="shared" si="1"/>
        <v>3-5</v>
      </c>
    </row>
    <row r="29" spans="1:11" x14ac:dyDescent="0.2">
      <c r="A29" s="4">
        <v>62</v>
      </c>
      <c r="B29" s="4">
        <v>12</v>
      </c>
      <c r="C29" t="s">
        <v>10</v>
      </c>
      <c r="D29" s="4">
        <v>0</v>
      </c>
      <c r="E29" s="3">
        <v>0.83959366288036097</v>
      </c>
      <c r="F29" s="4">
        <v>1</v>
      </c>
      <c r="G29" s="2">
        <v>1896.82</v>
      </c>
      <c r="H29" s="2">
        <v>1896.82</v>
      </c>
      <c r="I29" s="2">
        <v>1896.82</v>
      </c>
      <c r="J29" s="2" t="str">
        <f t="shared" si="0"/>
        <v>55-64</v>
      </c>
      <c r="K29" s="17" t="str">
        <f t="shared" si="1"/>
        <v>12-15</v>
      </c>
    </row>
    <row r="30" spans="1:11" x14ac:dyDescent="0.2">
      <c r="A30" s="4">
        <v>36</v>
      </c>
      <c r="B30" s="4">
        <v>0</v>
      </c>
      <c r="C30" t="s">
        <v>10</v>
      </c>
      <c r="D30" s="4">
        <v>0</v>
      </c>
      <c r="E30" s="3">
        <v>0.88657760852947798</v>
      </c>
      <c r="F30" s="4">
        <v>1</v>
      </c>
      <c r="G30" s="2">
        <v>368.66</v>
      </c>
      <c r="H30" s="2">
        <v>368.66</v>
      </c>
      <c r="I30" s="2">
        <v>368.66</v>
      </c>
      <c r="J30" s="2" t="str">
        <f t="shared" si="0"/>
        <v>35-44</v>
      </c>
      <c r="K30" s="17" t="str">
        <f t="shared" si="1"/>
        <v>0-2</v>
      </c>
    </row>
    <row r="31" spans="1:11" x14ac:dyDescent="0.2">
      <c r="A31" s="4">
        <v>65</v>
      </c>
      <c r="B31" s="4">
        <v>8</v>
      </c>
      <c r="C31" t="s">
        <v>8</v>
      </c>
      <c r="D31" s="4">
        <v>0</v>
      </c>
      <c r="E31" s="3">
        <v>0.72061545529868498</v>
      </c>
      <c r="F31" s="4">
        <v>1</v>
      </c>
      <c r="G31" s="2">
        <v>1086.01</v>
      </c>
      <c r="H31" s="2">
        <v>1086.01</v>
      </c>
      <c r="I31" s="2">
        <v>1086.01</v>
      </c>
      <c r="J31" s="2" t="str">
        <f t="shared" si="0"/>
        <v>65-74</v>
      </c>
      <c r="K31" s="17" t="str">
        <f t="shared" si="1"/>
        <v>6-8</v>
      </c>
    </row>
    <row r="32" spans="1:11" x14ac:dyDescent="0.2">
      <c r="A32" s="4">
        <v>41</v>
      </c>
      <c r="B32" s="4">
        <v>11</v>
      </c>
      <c r="C32" t="s">
        <v>8</v>
      </c>
      <c r="D32" s="4">
        <v>1</v>
      </c>
      <c r="E32" s="3">
        <v>0.89769467222504296</v>
      </c>
      <c r="F32" s="4">
        <v>1</v>
      </c>
      <c r="G32" s="2">
        <v>1352.6</v>
      </c>
      <c r="H32" s="2">
        <v>1352.6</v>
      </c>
      <c r="I32" s="2">
        <v>1352.6</v>
      </c>
      <c r="J32" s="2" t="str">
        <f t="shared" si="0"/>
        <v>35-44</v>
      </c>
      <c r="K32" s="17" t="str">
        <f t="shared" si="1"/>
        <v>9-11</v>
      </c>
    </row>
    <row r="33" spans="1:11" x14ac:dyDescent="0.2">
      <c r="A33" s="4">
        <v>74</v>
      </c>
      <c r="B33" s="4">
        <v>10</v>
      </c>
      <c r="C33" t="s">
        <v>10</v>
      </c>
      <c r="D33" s="4">
        <v>0</v>
      </c>
      <c r="E33" s="3">
        <v>0.61373866908252195</v>
      </c>
      <c r="F33" s="4">
        <v>1</v>
      </c>
      <c r="G33" s="2">
        <v>859.41</v>
      </c>
      <c r="H33" s="2">
        <v>859.41</v>
      </c>
      <c r="I33" s="2">
        <v>859.41</v>
      </c>
      <c r="J33" s="2" t="str">
        <f t="shared" si="0"/>
        <v>65-74</v>
      </c>
      <c r="K33" s="17" t="str">
        <f t="shared" si="1"/>
        <v>9-11</v>
      </c>
    </row>
    <row r="34" spans="1:11" x14ac:dyDescent="0.2">
      <c r="A34" s="4">
        <v>53</v>
      </c>
      <c r="B34" s="4">
        <v>12</v>
      </c>
      <c r="C34" t="s">
        <v>16</v>
      </c>
      <c r="D34" s="4">
        <v>0</v>
      </c>
      <c r="E34" s="3">
        <v>0.88598283461760696</v>
      </c>
      <c r="F34" s="4">
        <v>1</v>
      </c>
      <c r="G34" s="2">
        <v>490.52</v>
      </c>
      <c r="H34" s="2">
        <v>490.52</v>
      </c>
      <c r="I34" s="2">
        <v>490.52</v>
      </c>
      <c r="J34" s="2" t="str">
        <f t="shared" si="0"/>
        <v>45-54</v>
      </c>
      <c r="K34" s="17" t="str">
        <f t="shared" si="1"/>
        <v>12-15</v>
      </c>
    </row>
    <row r="35" spans="1:11" x14ac:dyDescent="0.2">
      <c r="A35" s="4">
        <v>82</v>
      </c>
      <c r="B35" s="4">
        <v>6</v>
      </c>
      <c r="C35" t="s">
        <v>16</v>
      </c>
      <c r="D35" s="4">
        <v>1</v>
      </c>
      <c r="E35" s="3">
        <v>0.75378692673984904</v>
      </c>
      <c r="F35" s="4">
        <v>2</v>
      </c>
      <c r="G35" s="2">
        <v>1885.42</v>
      </c>
      <c r="H35" s="2">
        <v>942.71</v>
      </c>
      <c r="I35" s="2">
        <v>1885.42</v>
      </c>
      <c r="J35" s="2" t="str">
        <f t="shared" si="0"/>
        <v>75-90</v>
      </c>
      <c r="K35" s="17" t="str">
        <f t="shared" si="1"/>
        <v>6-8</v>
      </c>
    </row>
    <row r="36" spans="1:11" x14ac:dyDescent="0.2">
      <c r="A36" s="4">
        <v>84</v>
      </c>
      <c r="B36" s="4">
        <v>2</v>
      </c>
      <c r="C36" t="s">
        <v>8</v>
      </c>
      <c r="D36" s="4">
        <v>0</v>
      </c>
      <c r="E36" s="3">
        <v>0.80762801493983705</v>
      </c>
      <c r="F36" s="4">
        <v>1</v>
      </c>
      <c r="G36" s="2">
        <v>2350.19</v>
      </c>
      <c r="H36" s="2">
        <v>2350.19</v>
      </c>
      <c r="I36" s="2">
        <v>2350.19</v>
      </c>
      <c r="J36" s="2" t="str">
        <f t="shared" si="0"/>
        <v>75-90</v>
      </c>
      <c r="K36" s="17" t="str">
        <f t="shared" si="1"/>
        <v>0-2</v>
      </c>
    </row>
    <row r="37" spans="1:11" x14ac:dyDescent="0.2">
      <c r="A37" s="4">
        <v>29</v>
      </c>
      <c r="B37" s="4">
        <v>12</v>
      </c>
      <c r="C37" t="s">
        <v>10</v>
      </c>
      <c r="D37" s="4">
        <v>0</v>
      </c>
      <c r="E37" s="3">
        <v>0.78558389795944095</v>
      </c>
      <c r="F37" s="4">
        <v>1</v>
      </c>
      <c r="G37" s="2">
        <v>336.8</v>
      </c>
      <c r="H37" s="2">
        <v>336.8</v>
      </c>
      <c r="I37" s="2">
        <v>336.8</v>
      </c>
      <c r="J37" s="2" t="str">
        <f t="shared" si="0"/>
        <v>25-34</v>
      </c>
      <c r="K37" s="17" t="str">
        <f t="shared" si="1"/>
        <v>12-15</v>
      </c>
    </row>
    <row r="38" spans="1:11" x14ac:dyDescent="0.2">
      <c r="A38" s="4">
        <v>85</v>
      </c>
      <c r="B38" s="4">
        <v>1</v>
      </c>
      <c r="C38" t="s">
        <v>8</v>
      </c>
      <c r="D38" s="4">
        <v>0</v>
      </c>
      <c r="E38" s="3">
        <v>0.80171568412333705</v>
      </c>
      <c r="F38" s="4">
        <v>2</v>
      </c>
      <c r="G38" s="2">
        <v>791.99</v>
      </c>
      <c r="H38" s="2">
        <v>395.99</v>
      </c>
      <c r="I38" s="2">
        <v>791.99</v>
      </c>
      <c r="J38" s="2" t="str">
        <f t="shared" si="0"/>
        <v>75-90</v>
      </c>
      <c r="K38" s="17" t="str">
        <f t="shared" si="1"/>
        <v>0-2</v>
      </c>
    </row>
    <row r="39" spans="1:11" x14ac:dyDescent="0.2">
      <c r="A39" s="4">
        <v>86</v>
      </c>
      <c r="B39" s="4">
        <v>1</v>
      </c>
      <c r="C39" t="s">
        <v>10</v>
      </c>
      <c r="D39" s="4">
        <v>0</v>
      </c>
      <c r="E39" s="3">
        <v>0.538857830921188</v>
      </c>
      <c r="F39" s="4">
        <v>1</v>
      </c>
      <c r="G39" s="2">
        <v>1240.01</v>
      </c>
      <c r="H39" s="2">
        <v>1240.01</v>
      </c>
      <c r="I39" s="2">
        <v>1240.01</v>
      </c>
      <c r="J39" s="2" t="str">
        <f t="shared" si="0"/>
        <v>75-90</v>
      </c>
      <c r="K39" s="17" t="str">
        <f t="shared" si="1"/>
        <v>0-2</v>
      </c>
    </row>
    <row r="40" spans="1:11" x14ac:dyDescent="0.2">
      <c r="A40" s="4">
        <v>70</v>
      </c>
      <c r="B40" s="4">
        <v>3</v>
      </c>
      <c r="C40" t="s">
        <v>10</v>
      </c>
      <c r="D40" s="4">
        <v>1</v>
      </c>
      <c r="E40" s="3">
        <v>0.78029774490278203</v>
      </c>
      <c r="F40" s="4">
        <v>1</v>
      </c>
      <c r="G40" s="2">
        <v>5106.88</v>
      </c>
      <c r="H40" s="2">
        <v>5106.88</v>
      </c>
      <c r="I40" s="2">
        <v>5106.88</v>
      </c>
      <c r="J40" s="2" t="str">
        <f t="shared" si="0"/>
        <v>65-74</v>
      </c>
      <c r="K40" s="17" t="str">
        <f t="shared" si="1"/>
        <v>3-5</v>
      </c>
    </row>
    <row r="41" spans="1:11" x14ac:dyDescent="0.2">
      <c r="A41" s="4">
        <v>60</v>
      </c>
      <c r="B41" s="4">
        <v>9</v>
      </c>
      <c r="C41" t="s">
        <v>16</v>
      </c>
      <c r="D41" s="4">
        <v>0</v>
      </c>
      <c r="E41" s="3">
        <v>0.79895769385620996</v>
      </c>
      <c r="F41" s="4">
        <v>3</v>
      </c>
      <c r="G41" s="2">
        <v>619.47</v>
      </c>
      <c r="H41" s="2">
        <v>206.49</v>
      </c>
      <c r="I41" s="2">
        <v>619.47</v>
      </c>
      <c r="J41" s="2" t="str">
        <f t="shared" si="0"/>
        <v>55-64</v>
      </c>
      <c r="K41" s="17" t="str">
        <f t="shared" si="1"/>
        <v>9-11</v>
      </c>
    </row>
    <row r="42" spans="1:11" x14ac:dyDescent="0.2">
      <c r="A42" s="4">
        <v>41</v>
      </c>
      <c r="B42" s="4">
        <v>13</v>
      </c>
      <c r="C42" t="s">
        <v>10</v>
      </c>
      <c r="D42" s="4">
        <v>1</v>
      </c>
      <c r="E42" s="3">
        <v>0.80853295396082103</v>
      </c>
      <c r="F42" s="4">
        <v>1</v>
      </c>
      <c r="G42" s="2">
        <v>919.09</v>
      </c>
      <c r="H42" s="2">
        <v>919.09</v>
      </c>
      <c r="I42" s="2">
        <v>919.09</v>
      </c>
      <c r="J42" s="2" t="str">
        <f t="shared" si="0"/>
        <v>35-44</v>
      </c>
      <c r="K42" s="17" t="str">
        <f t="shared" si="1"/>
        <v>12-15</v>
      </c>
    </row>
    <row r="43" spans="1:11" x14ac:dyDescent="0.2">
      <c r="A43" s="4">
        <v>89</v>
      </c>
      <c r="B43" s="4">
        <v>7</v>
      </c>
      <c r="C43" t="s">
        <v>16</v>
      </c>
      <c r="D43" s="4">
        <v>0</v>
      </c>
      <c r="E43" s="3">
        <v>0.94790463091339905</v>
      </c>
      <c r="F43" s="4">
        <v>3</v>
      </c>
      <c r="G43" s="2">
        <v>1828.81</v>
      </c>
      <c r="H43" s="2">
        <v>609.6</v>
      </c>
      <c r="I43" s="2">
        <v>1828.81</v>
      </c>
      <c r="J43" s="2" t="str">
        <f t="shared" si="0"/>
        <v>75-90</v>
      </c>
      <c r="K43" s="17" t="str">
        <f t="shared" si="1"/>
        <v>6-8</v>
      </c>
    </row>
    <row r="44" spans="1:11" x14ac:dyDescent="0.2">
      <c r="A44" s="4">
        <v>66</v>
      </c>
      <c r="B44" s="4">
        <v>8</v>
      </c>
      <c r="C44" t="s">
        <v>10</v>
      </c>
      <c r="D44" s="4">
        <v>1</v>
      </c>
      <c r="E44" s="3">
        <v>0.93939215433783796</v>
      </c>
      <c r="F44" s="4">
        <v>1</v>
      </c>
      <c r="G44" s="2">
        <v>1066.1099999999999</v>
      </c>
      <c r="H44" s="2">
        <v>1066.1099999999999</v>
      </c>
      <c r="I44" s="2">
        <v>1066.1099999999999</v>
      </c>
      <c r="J44" s="2" t="str">
        <f t="shared" si="0"/>
        <v>65-74</v>
      </c>
      <c r="K44" s="17" t="str">
        <f t="shared" si="1"/>
        <v>6-8</v>
      </c>
    </row>
    <row r="45" spans="1:11" x14ac:dyDescent="0.2">
      <c r="A45" s="4">
        <v>71</v>
      </c>
      <c r="B45" s="4">
        <v>4</v>
      </c>
      <c r="C45" t="s">
        <v>8</v>
      </c>
      <c r="D45" s="4">
        <v>0</v>
      </c>
      <c r="E45" s="3">
        <v>0.54574177763424803</v>
      </c>
      <c r="F45" s="4">
        <v>1</v>
      </c>
      <c r="G45" s="2">
        <v>1502.58</v>
      </c>
      <c r="H45" s="2">
        <v>1502.58</v>
      </c>
      <c r="I45" s="2">
        <v>1502.58</v>
      </c>
      <c r="J45" s="2" t="str">
        <f t="shared" si="0"/>
        <v>65-74</v>
      </c>
      <c r="K45" s="17" t="str">
        <f t="shared" si="1"/>
        <v>3-5</v>
      </c>
    </row>
    <row r="46" spans="1:11" x14ac:dyDescent="0.2">
      <c r="A46" s="4">
        <v>47</v>
      </c>
      <c r="B46" s="4">
        <v>5</v>
      </c>
      <c r="C46" t="s">
        <v>8</v>
      </c>
      <c r="D46" s="4">
        <v>1</v>
      </c>
      <c r="E46" s="3">
        <v>0.74874647019896701</v>
      </c>
      <c r="F46" s="4">
        <v>1</v>
      </c>
      <c r="G46" s="2">
        <v>707.95</v>
      </c>
      <c r="H46" s="2">
        <v>707.95</v>
      </c>
      <c r="I46" s="2">
        <v>707.95</v>
      </c>
      <c r="J46" s="2" t="str">
        <f t="shared" si="0"/>
        <v>45-54</v>
      </c>
      <c r="K46" s="17" t="str">
        <f t="shared" si="1"/>
        <v>3-5</v>
      </c>
    </row>
    <row r="47" spans="1:11" x14ac:dyDescent="0.2">
      <c r="A47" s="4">
        <v>79</v>
      </c>
      <c r="B47" s="4">
        <v>4</v>
      </c>
      <c r="C47" t="s">
        <v>16</v>
      </c>
      <c r="D47" s="4">
        <v>0</v>
      </c>
      <c r="E47" s="3">
        <v>0.629552491474897</v>
      </c>
      <c r="F47" s="4">
        <v>2</v>
      </c>
      <c r="G47" s="2">
        <v>2871.82</v>
      </c>
      <c r="H47" s="2">
        <v>1435.91</v>
      </c>
      <c r="I47" s="2">
        <v>2871.82</v>
      </c>
      <c r="J47" s="2" t="str">
        <f t="shared" si="0"/>
        <v>75-90</v>
      </c>
      <c r="K47" s="17" t="str">
        <f t="shared" si="1"/>
        <v>3-5</v>
      </c>
    </row>
    <row r="48" spans="1:11" x14ac:dyDescent="0.2">
      <c r="A48" s="4">
        <v>79</v>
      </c>
      <c r="B48" s="4">
        <v>12</v>
      </c>
      <c r="C48" t="s">
        <v>8</v>
      </c>
      <c r="D48" s="4">
        <v>0</v>
      </c>
      <c r="E48" s="3">
        <v>0.91522858978714805</v>
      </c>
      <c r="F48" s="4">
        <v>1</v>
      </c>
      <c r="G48" s="2">
        <v>928.79</v>
      </c>
      <c r="H48" s="2">
        <v>928.79</v>
      </c>
      <c r="I48" s="2">
        <v>928.79</v>
      </c>
      <c r="J48" s="2" t="str">
        <f t="shared" si="0"/>
        <v>75-90</v>
      </c>
      <c r="K48" s="17" t="str">
        <f t="shared" si="1"/>
        <v>12-15</v>
      </c>
    </row>
    <row r="49" spans="1:11" x14ac:dyDescent="0.2">
      <c r="A49" s="4">
        <v>46</v>
      </c>
      <c r="B49" s="4">
        <v>4</v>
      </c>
      <c r="C49" t="s">
        <v>16</v>
      </c>
      <c r="D49" s="4">
        <v>0</v>
      </c>
      <c r="E49" s="3">
        <v>0.99132974492385995</v>
      </c>
      <c r="F49" s="4">
        <v>1</v>
      </c>
      <c r="G49" s="2">
        <v>344.72</v>
      </c>
      <c r="H49" s="2">
        <v>344.72</v>
      </c>
      <c r="I49" s="2">
        <v>344.72</v>
      </c>
      <c r="J49" s="2" t="str">
        <f t="shared" si="0"/>
        <v>45-54</v>
      </c>
      <c r="K49" s="17" t="str">
        <f t="shared" si="1"/>
        <v>3-5</v>
      </c>
    </row>
    <row r="50" spans="1:11" x14ac:dyDescent="0.2">
      <c r="A50" s="4">
        <v>59</v>
      </c>
      <c r="B50" s="4">
        <v>12</v>
      </c>
      <c r="C50" t="s">
        <v>16</v>
      </c>
      <c r="D50" s="4">
        <v>2</v>
      </c>
      <c r="E50" s="3">
        <v>0.59704329341184303</v>
      </c>
      <c r="F50" s="4">
        <v>1</v>
      </c>
      <c r="G50" s="2">
        <v>4363.21</v>
      </c>
      <c r="H50" s="2">
        <v>4363.21</v>
      </c>
      <c r="I50" s="2">
        <v>4363.21</v>
      </c>
      <c r="J50" s="2" t="str">
        <f t="shared" si="0"/>
        <v>55-64</v>
      </c>
      <c r="K50" s="17" t="str">
        <f t="shared" si="1"/>
        <v>12-15</v>
      </c>
    </row>
    <row r="51" spans="1:11" x14ac:dyDescent="0.2">
      <c r="A51" s="4">
        <v>54</v>
      </c>
      <c r="B51" s="4">
        <v>13</v>
      </c>
      <c r="C51" t="s">
        <v>16</v>
      </c>
      <c r="D51" s="4">
        <v>0</v>
      </c>
      <c r="E51" s="3">
        <v>0.55029511940665499</v>
      </c>
      <c r="F51" s="4">
        <v>1</v>
      </c>
      <c r="G51" s="2">
        <v>1881.91</v>
      </c>
      <c r="H51" s="2">
        <v>1881.91</v>
      </c>
      <c r="I51" s="2">
        <v>1881.91</v>
      </c>
      <c r="J51" s="2" t="str">
        <f t="shared" si="0"/>
        <v>45-54</v>
      </c>
      <c r="K51" s="17" t="str">
        <f t="shared" si="1"/>
        <v>12-15</v>
      </c>
    </row>
    <row r="52" spans="1:11" x14ac:dyDescent="0.2">
      <c r="A52" s="4">
        <v>44</v>
      </c>
      <c r="B52" s="4">
        <v>11</v>
      </c>
      <c r="C52" t="s">
        <v>8</v>
      </c>
      <c r="D52" s="4">
        <v>0</v>
      </c>
      <c r="E52" s="3">
        <v>0.77941272454336297</v>
      </c>
      <c r="F52" s="4">
        <v>1</v>
      </c>
      <c r="G52" s="2">
        <v>721.29</v>
      </c>
      <c r="H52" s="2">
        <v>721.29</v>
      </c>
      <c r="I52" s="2">
        <v>721.29</v>
      </c>
      <c r="J52" s="2" t="str">
        <f t="shared" si="0"/>
        <v>35-44</v>
      </c>
      <c r="K52" s="17" t="str">
        <f t="shared" si="1"/>
        <v>9-11</v>
      </c>
    </row>
    <row r="53" spans="1:11" x14ac:dyDescent="0.2">
      <c r="A53" s="4">
        <v>34</v>
      </c>
      <c r="B53" s="4">
        <v>10</v>
      </c>
      <c r="C53" t="s">
        <v>8</v>
      </c>
      <c r="D53" s="4">
        <v>0</v>
      </c>
      <c r="E53" s="3">
        <v>0.61551692150533199</v>
      </c>
      <c r="F53" s="4">
        <v>1</v>
      </c>
      <c r="G53" s="2">
        <v>775.44</v>
      </c>
      <c r="H53" s="2">
        <v>775.44</v>
      </c>
      <c r="I53" s="2">
        <v>775.44</v>
      </c>
      <c r="J53" s="2" t="str">
        <f t="shared" si="0"/>
        <v>25-34</v>
      </c>
      <c r="K53" s="17" t="str">
        <f t="shared" si="1"/>
        <v>9-11</v>
      </c>
    </row>
    <row r="54" spans="1:11" x14ac:dyDescent="0.2">
      <c r="A54" s="4">
        <v>48</v>
      </c>
      <c r="B54" s="4">
        <v>10</v>
      </c>
      <c r="C54" t="s">
        <v>16</v>
      </c>
      <c r="D54" s="4">
        <v>1</v>
      </c>
      <c r="E54" s="3">
        <v>0.65291596320457801</v>
      </c>
      <c r="F54" s="4">
        <v>1</v>
      </c>
      <c r="G54" s="2">
        <v>1195.55</v>
      </c>
      <c r="H54" s="2">
        <v>1195.55</v>
      </c>
      <c r="I54" s="2">
        <v>1195.55</v>
      </c>
      <c r="J54" s="2" t="str">
        <f t="shared" si="0"/>
        <v>45-54</v>
      </c>
      <c r="K54" s="17" t="str">
        <f t="shared" si="1"/>
        <v>9-11</v>
      </c>
    </row>
    <row r="55" spans="1:11" x14ac:dyDescent="0.2">
      <c r="A55" s="4">
        <v>37</v>
      </c>
      <c r="B55" s="4">
        <v>7</v>
      </c>
      <c r="C55" t="s">
        <v>16</v>
      </c>
      <c r="D55" s="4">
        <v>0</v>
      </c>
      <c r="E55" s="3">
        <v>0.87438498274423204</v>
      </c>
      <c r="F55" s="4">
        <v>1</v>
      </c>
      <c r="G55" s="2">
        <v>587.02</v>
      </c>
      <c r="H55" s="2">
        <v>587.02</v>
      </c>
      <c r="I55" s="2">
        <v>587.02</v>
      </c>
      <c r="J55" s="2" t="str">
        <f t="shared" si="0"/>
        <v>35-44</v>
      </c>
      <c r="K55" s="17" t="str">
        <f t="shared" si="1"/>
        <v>6-8</v>
      </c>
    </row>
    <row r="56" spans="1:11" x14ac:dyDescent="0.2">
      <c r="A56" s="4">
        <v>62</v>
      </c>
      <c r="B56" s="4">
        <v>7</v>
      </c>
      <c r="C56" t="s">
        <v>10</v>
      </c>
      <c r="D56" s="4">
        <v>0</v>
      </c>
      <c r="E56" s="3">
        <v>0.861051668180153</v>
      </c>
      <c r="F56" s="4">
        <v>1</v>
      </c>
      <c r="G56" s="2">
        <v>903.56</v>
      </c>
      <c r="H56" s="2">
        <v>903.56</v>
      </c>
      <c r="I56" s="2">
        <v>903.56</v>
      </c>
      <c r="J56" s="2" t="str">
        <f t="shared" si="0"/>
        <v>55-64</v>
      </c>
      <c r="K56" s="17" t="str">
        <f t="shared" si="1"/>
        <v>6-8</v>
      </c>
    </row>
    <row r="57" spans="1:11" x14ac:dyDescent="0.2">
      <c r="A57" s="4">
        <v>81</v>
      </c>
      <c r="B57" s="4">
        <v>11</v>
      </c>
      <c r="C57" t="s">
        <v>16</v>
      </c>
      <c r="D57" s="4">
        <v>2</v>
      </c>
      <c r="E57" s="3">
        <v>0.90167695004492998</v>
      </c>
      <c r="F57" s="4">
        <v>1</v>
      </c>
      <c r="G57" s="2">
        <v>2960.05</v>
      </c>
      <c r="H57" s="2">
        <v>2960.05</v>
      </c>
      <c r="I57" s="2">
        <v>2960.05</v>
      </c>
      <c r="J57" s="2" t="str">
        <f t="shared" si="0"/>
        <v>75-90</v>
      </c>
      <c r="K57" s="17" t="str">
        <f t="shared" si="1"/>
        <v>9-11</v>
      </c>
    </row>
    <row r="58" spans="1:11" x14ac:dyDescent="0.2">
      <c r="A58" s="4">
        <v>60</v>
      </c>
      <c r="B58" s="4">
        <v>4</v>
      </c>
      <c r="C58" t="s">
        <v>8</v>
      </c>
      <c r="D58" s="4">
        <v>1</v>
      </c>
      <c r="E58" s="3">
        <v>0.81084354303311601</v>
      </c>
      <c r="F58" s="4">
        <v>1</v>
      </c>
      <c r="G58" s="2">
        <v>1091.02</v>
      </c>
      <c r="H58" s="2">
        <v>1091.02</v>
      </c>
      <c r="I58" s="2">
        <v>1091.02</v>
      </c>
      <c r="J58" s="2" t="str">
        <f t="shared" si="0"/>
        <v>55-64</v>
      </c>
      <c r="K58" s="17" t="str">
        <f t="shared" si="1"/>
        <v>3-5</v>
      </c>
    </row>
    <row r="59" spans="1:11" x14ac:dyDescent="0.2">
      <c r="A59" s="4">
        <v>40</v>
      </c>
      <c r="B59" s="4">
        <v>11</v>
      </c>
      <c r="C59" t="s">
        <v>8</v>
      </c>
      <c r="D59" s="4">
        <v>0</v>
      </c>
      <c r="E59" s="3">
        <v>0.67931016453076198</v>
      </c>
      <c r="F59" s="4">
        <v>2</v>
      </c>
      <c r="G59" s="2">
        <v>518.12</v>
      </c>
      <c r="H59" s="2">
        <v>259.06</v>
      </c>
      <c r="I59" s="2">
        <v>518.12</v>
      </c>
      <c r="J59" s="2" t="str">
        <f t="shared" si="0"/>
        <v>35-44</v>
      </c>
      <c r="K59" s="17" t="str">
        <f t="shared" si="1"/>
        <v>9-11</v>
      </c>
    </row>
    <row r="60" spans="1:11" x14ac:dyDescent="0.2">
      <c r="A60" s="4">
        <v>69</v>
      </c>
      <c r="B60" s="4">
        <v>2</v>
      </c>
      <c r="C60" t="s">
        <v>8</v>
      </c>
      <c r="D60" s="4">
        <v>1</v>
      </c>
      <c r="E60" s="3">
        <v>0.75531891034915999</v>
      </c>
      <c r="F60" s="4">
        <v>1</v>
      </c>
      <c r="G60" s="2">
        <v>979.79</v>
      </c>
      <c r="H60" s="2">
        <v>979.79</v>
      </c>
      <c r="I60" s="2">
        <v>979.79</v>
      </c>
      <c r="J60" s="2" t="str">
        <f t="shared" si="0"/>
        <v>65-74</v>
      </c>
      <c r="K60" s="17" t="str">
        <f t="shared" si="1"/>
        <v>0-2</v>
      </c>
    </row>
    <row r="61" spans="1:11" x14ac:dyDescent="0.2">
      <c r="A61" s="4">
        <v>53</v>
      </c>
      <c r="B61" s="4">
        <v>15</v>
      </c>
      <c r="C61" t="s">
        <v>16</v>
      </c>
      <c r="D61" s="4">
        <v>0</v>
      </c>
      <c r="E61" s="3">
        <v>0.95315245038364105</v>
      </c>
      <c r="F61" s="4">
        <v>1</v>
      </c>
      <c r="G61" s="2">
        <v>828.54</v>
      </c>
      <c r="H61" s="2">
        <v>828.54</v>
      </c>
      <c r="I61" s="2">
        <v>828.54</v>
      </c>
      <c r="J61" s="2" t="str">
        <f t="shared" si="0"/>
        <v>45-54</v>
      </c>
      <c r="K61" s="17" t="str">
        <f t="shared" si="1"/>
        <v>12-15</v>
      </c>
    </row>
    <row r="62" spans="1:11" x14ac:dyDescent="0.2">
      <c r="A62" s="4">
        <v>59</v>
      </c>
      <c r="B62" s="4">
        <v>0</v>
      </c>
      <c r="C62" t="s">
        <v>8</v>
      </c>
      <c r="D62" s="4">
        <v>0</v>
      </c>
      <c r="E62" s="3">
        <v>0.87106551195029203</v>
      </c>
      <c r="F62" s="4">
        <v>1</v>
      </c>
      <c r="G62" s="2">
        <v>439.5</v>
      </c>
      <c r="H62" s="2">
        <v>439.5</v>
      </c>
      <c r="I62" s="2">
        <v>439.5</v>
      </c>
      <c r="J62" s="2" t="str">
        <f t="shared" si="0"/>
        <v>55-64</v>
      </c>
      <c r="K62" s="17" t="str">
        <f t="shared" si="1"/>
        <v>0-2</v>
      </c>
    </row>
    <row r="63" spans="1:11" x14ac:dyDescent="0.2">
      <c r="A63" s="4">
        <v>84</v>
      </c>
      <c r="B63" s="4">
        <v>15</v>
      </c>
      <c r="C63" t="s">
        <v>16</v>
      </c>
      <c r="D63" s="4">
        <v>0</v>
      </c>
      <c r="E63" s="3">
        <v>0.92160588654223796</v>
      </c>
      <c r="F63" s="4">
        <v>2</v>
      </c>
      <c r="G63" s="2">
        <v>1828.6</v>
      </c>
      <c r="H63" s="2">
        <v>914.3</v>
      </c>
      <c r="I63" s="2">
        <v>1828.6</v>
      </c>
      <c r="J63" s="2" t="str">
        <f t="shared" si="0"/>
        <v>75-90</v>
      </c>
      <c r="K63" s="17" t="str">
        <f t="shared" si="1"/>
        <v>12-15</v>
      </c>
    </row>
    <row r="64" spans="1:11" x14ac:dyDescent="0.2">
      <c r="A64" s="4">
        <v>89</v>
      </c>
      <c r="B64" s="4">
        <v>4</v>
      </c>
      <c r="C64" t="s">
        <v>16</v>
      </c>
      <c r="D64" s="4">
        <v>1</v>
      </c>
      <c r="E64" s="3">
        <v>0.55578605399932701</v>
      </c>
      <c r="F64" s="4">
        <v>1</v>
      </c>
      <c r="G64" s="2">
        <v>4752.6400000000003</v>
      </c>
      <c r="H64" s="2">
        <v>4752.6400000000003</v>
      </c>
      <c r="I64" s="2">
        <v>4752.6400000000003</v>
      </c>
      <c r="J64" s="2" t="str">
        <f t="shared" si="0"/>
        <v>75-90</v>
      </c>
      <c r="K64" s="17" t="str">
        <f t="shared" si="1"/>
        <v>3-5</v>
      </c>
    </row>
    <row r="65" spans="1:11" x14ac:dyDescent="0.2">
      <c r="A65" s="4">
        <v>63</v>
      </c>
      <c r="B65" s="4">
        <v>9</v>
      </c>
      <c r="C65" t="s">
        <v>16</v>
      </c>
      <c r="D65" s="4">
        <v>0</v>
      </c>
      <c r="E65" s="3">
        <v>0.82195019361097399</v>
      </c>
      <c r="F65" s="4">
        <v>1</v>
      </c>
      <c r="G65" s="2">
        <v>793.88</v>
      </c>
      <c r="H65" s="2">
        <v>793.88</v>
      </c>
      <c r="I65" s="2">
        <v>793.88</v>
      </c>
      <c r="J65" s="2" t="str">
        <f t="shared" si="0"/>
        <v>55-64</v>
      </c>
      <c r="K65" s="17" t="str">
        <f t="shared" si="1"/>
        <v>9-11</v>
      </c>
    </row>
    <row r="66" spans="1:11" x14ac:dyDescent="0.2">
      <c r="A66" s="4">
        <v>85</v>
      </c>
      <c r="B66" s="4">
        <v>5</v>
      </c>
      <c r="C66" t="s">
        <v>16</v>
      </c>
      <c r="D66" s="4">
        <v>0</v>
      </c>
      <c r="E66" s="3">
        <v>0.82995675585698303</v>
      </c>
      <c r="F66" s="4">
        <v>1</v>
      </c>
      <c r="G66" s="2">
        <v>1512.6</v>
      </c>
      <c r="H66" s="2">
        <v>1512.6</v>
      </c>
      <c r="I66" s="2">
        <v>1512.6</v>
      </c>
      <c r="J66" s="2" t="str">
        <f t="shared" ref="J66:J129" si="2" xml:space="preserve"> IF(A66&lt;25,"18-24",
 IF(A66&lt;35,"25-34",
 IF(A66&lt;45,"35-44",
 IF(A66&lt;55,"45-54", IF(A66&lt;65, "55-64", IF(A66&lt;75, "65-74", "75-90"))))))</f>
        <v>75-90</v>
      </c>
      <c r="K66" s="17" t="str">
        <f t="shared" ref="K66:K129" si="3" xml:space="preserve"> IF(B66 &lt; 3, "0-2", IF(B66 &lt; 6, "3-5", IF(B66 &lt; 9, "6-8", IF(B66 &lt; 12, "9-11", "12-15"))))</f>
        <v>3-5</v>
      </c>
    </row>
    <row r="67" spans="1:11" x14ac:dyDescent="0.2">
      <c r="A67" s="4">
        <v>87</v>
      </c>
      <c r="B67" s="4">
        <v>5</v>
      </c>
      <c r="C67" t="s">
        <v>8</v>
      </c>
      <c r="D67" s="4">
        <v>0</v>
      </c>
      <c r="E67" s="3">
        <v>0.738948980928399</v>
      </c>
      <c r="F67" s="4">
        <v>1</v>
      </c>
      <c r="G67" s="2">
        <v>881.94</v>
      </c>
      <c r="H67" s="2">
        <v>881.94</v>
      </c>
      <c r="I67" s="2">
        <v>881.94</v>
      </c>
      <c r="J67" s="2" t="str">
        <f t="shared" si="2"/>
        <v>75-90</v>
      </c>
      <c r="K67" s="17" t="str">
        <f t="shared" si="3"/>
        <v>3-5</v>
      </c>
    </row>
    <row r="68" spans="1:11" x14ac:dyDescent="0.2">
      <c r="A68" s="4">
        <v>81</v>
      </c>
      <c r="B68" s="4">
        <v>7</v>
      </c>
      <c r="C68" t="s">
        <v>8</v>
      </c>
      <c r="D68" s="4">
        <v>0</v>
      </c>
      <c r="E68" s="3">
        <v>0.57346509536728296</v>
      </c>
      <c r="F68" s="4">
        <v>2</v>
      </c>
      <c r="G68" s="2">
        <v>1361.05</v>
      </c>
      <c r="H68" s="2">
        <v>680.52</v>
      </c>
      <c r="I68" s="2">
        <v>1361.05</v>
      </c>
      <c r="J68" s="2" t="str">
        <f t="shared" si="2"/>
        <v>75-90</v>
      </c>
      <c r="K68" s="17" t="str">
        <f t="shared" si="3"/>
        <v>6-8</v>
      </c>
    </row>
    <row r="69" spans="1:11" x14ac:dyDescent="0.2">
      <c r="A69" s="4">
        <v>53</v>
      </c>
      <c r="B69" s="4">
        <v>15</v>
      </c>
      <c r="C69" t="s">
        <v>8</v>
      </c>
      <c r="D69" s="4">
        <v>0</v>
      </c>
      <c r="E69" s="3">
        <v>0.610677823075093</v>
      </c>
      <c r="F69" s="4">
        <v>1</v>
      </c>
      <c r="G69" s="2">
        <v>504.27</v>
      </c>
      <c r="H69" s="2">
        <v>504.27</v>
      </c>
      <c r="I69" s="2">
        <v>504.27</v>
      </c>
      <c r="J69" s="2" t="str">
        <f t="shared" si="2"/>
        <v>45-54</v>
      </c>
      <c r="K69" s="17" t="str">
        <f t="shared" si="3"/>
        <v>12-15</v>
      </c>
    </row>
    <row r="70" spans="1:11" x14ac:dyDescent="0.2">
      <c r="A70" s="4">
        <v>68</v>
      </c>
      <c r="B70" s="4">
        <v>7</v>
      </c>
      <c r="C70" t="s">
        <v>10</v>
      </c>
      <c r="D70" s="4">
        <v>2</v>
      </c>
      <c r="E70" s="3">
        <v>0.84325021773111097</v>
      </c>
      <c r="F70" s="4">
        <v>2</v>
      </c>
      <c r="G70" s="2">
        <v>1915.72</v>
      </c>
      <c r="H70" s="2">
        <v>957.86</v>
      </c>
      <c r="I70" s="2">
        <v>1915.72</v>
      </c>
      <c r="J70" s="2" t="str">
        <f t="shared" si="2"/>
        <v>65-74</v>
      </c>
      <c r="K70" s="17" t="str">
        <f t="shared" si="3"/>
        <v>6-8</v>
      </c>
    </row>
    <row r="71" spans="1:11" x14ac:dyDescent="0.2">
      <c r="A71" s="4">
        <v>38</v>
      </c>
      <c r="B71" s="4">
        <v>0</v>
      </c>
      <c r="C71" t="s">
        <v>16</v>
      </c>
      <c r="D71" s="4">
        <v>1</v>
      </c>
      <c r="E71" s="3">
        <v>0.62520923698320996</v>
      </c>
      <c r="F71" s="4">
        <v>1</v>
      </c>
      <c r="G71" s="2">
        <v>1030.23</v>
      </c>
      <c r="H71" s="2">
        <v>1030.23</v>
      </c>
      <c r="I71" s="2">
        <v>1030.23</v>
      </c>
      <c r="J71" s="2" t="str">
        <f t="shared" si="2"/>
        <v>35-44</v>
      </c>
      <c r="K71" s="17" t="str">
        <f t="shared" si="3"/>
        <v>0-2</v>
      </c>
    </row>
    <row r="72" spans="1:11" x14ac:dyDescent="0.2">
      <c r="A72" s="4">
        <v>22</v>
      </c>
      <c r="B72" s="4">
        <v>4</v>
      </c>
      <c r="C72" t="s">
        <v>8</v>
      </c>
      <c r="D72" s="4">
        <v>0</v>
      </c>
      <c r="E72" s="3">
        <v>0.77206845849286798</v>
      </c>
      <c r="F72" s="4">
        <v>1</v>
      </c>
      <c r="G72" s="2">
        <v>221.75</v>
      </c>
      <c r="H72" s="2">
        <v>221.75</v>
      </c>
      <c r="I72" s="2">
        <v>221.75</v>
      </c>
      <c r="J72" s="2" t="str">
        <f t="shared" si="2"/>
        <v>18-24</v>
      </c>
      <c r="K72" s="17" t="str">
        <f t="shared" si="3"/>
        <v>3-5</v>
      </c>
    </row>
    <row r="73" spans="1:11" x14ac:dyDescent="0.2">
      <c r="A73" s="4">
        <v>49</v>
      </c>
      <c r="B73" s="4">
        <v>9</v>
      </c>
      <c r="C73" t="s">
        <v>8</v>
      </c>
      <c r="D73" s="4">
        <v>0</v>
      </c>
      <c r="E73" s="3">
        <v>0.99073705403134205</v>
      </c>
      <c r="F73" s="4">
        <v>1</v>
      </c>
      <c r="G73" s="2">
        <v>325.17</v>
      </c>
      <c r="H73" s="2">
        <v>325.17</v>
      </c>
      <c r="I73" s="2">
        <v>325.17</v>
      </c>
      <c r="J73" s="2" t="str">
        <f t="shared" si="2"/>
        <v>45-54</v>
      </c>
      <c r="K73" s="17" t="str">
        <f t="shared" si="3"/>
        <v>9-11</v>
      </c>
    </row>
    <row r="74" spans="1:11" x14ac:dyDescent="0.2">
      <c r="A74" s="4">
        <v>37</v>
      </c>
      <c r="B74" s="4">
        <v>0</v>
      </c>
      <c r="C74" t="s">
        <v>8</v>
      </c>
      <c r="D74" s="4">
        <v>1</v>
      </c>
      <c r="E74" s="3">
        <v>0.77853115263860695</v>
      </c>
      <c r="F74" s="4">
        <v>1</v>
      </c>
      <c r="G74" s="2">
        <v>386.2</v>
      </c>
      <c r="H74" s="2">
        <v>386.2</v>
      </c>
      <c r="I74" s="2">
        <v>386.2</v>
      </c>
      <c r="J74" s="2" t="str">
        <f t="shared" si="2"/>
        <v>35-44</v>
      </c>
      <c r="K74" s="17" t="str">
        <f t="shared" si="3"/>
        <v>0-2</v>
      </c>
    </row>
    <row r="75" spans="1:11" x14ac:dyDescent="0.2">
      <c r="A75" s="4">
        <v>78</v>
      </c>
      <c r="B75" s="4">
        <v>9</v>
      </c>
      <c r="C75" t="s">
        <v>8</v>
      </c>
      <c r="D75" s="4">
        <v>0</v>
      </c>
      <c r="E75" s="3">
        <v>0.88949898525606796</v>
      </c>
      <c r="F75" s="4">
        <v>2</v>
      </c>
      <c r="G75" s="2">
        <v>1070.1400000000001</v>
      </c>
      <c r="H75" s="2">
        <v>535.07000000000005</v>
      </c>
      <c r="I75" s="2">
        <v>1070.1400000000001</v>
      </c>
      <c r="J75" s="2" t="str">
        <f t="shared" si="2"/>
        <v>75-90</v>
      </c>
      <c r="K75" s="17" t="str">
        <f t="shared" si="3"/>
        <v>9-11</v>
      </c>
    </row>
    <row r="76" spans="1:11" x14ac:dyDescent="0.2">
      <c r="A76" s="4">
        <v>57</v>
      </c>
      <c r="B76" s="4">
        <v>13</v>
      </c>
      <c r="C76" t="s">
        <v>16</v>
      </c>
      <c r="D76" s="4">
        <v>1</v>
      </c>
      <c r="E76" s="3">
        <v>0.50566426967270695</v>
      </c>
      <c r="F76" s="4">
        <v>1</v>
      </c>
      <c r="G76" s="2">
        <v>1704.94</v>
      </c>
      <c r="H76" s="2">
        <v>1704.94</v>
      </c>
      <c r="I76" s="2">
        <v>1704.94</v>
      </c>
      <c r="J76" s="2" t="str">
        <f t="shared" si="2"/>
        <v>55-64</v>
      </c>
      <c r="K76" s="17" t="str">
        <f t="shared" si="3"/>
        <v>12-15</v>
      </c>
    </row>
    <row r="77" spans="1:11" x14ac:dyDescent="0.2">
      <c r="A77" s="4">
        <v>30</v>
      </c>
      <c r="B77" s="4">
        <v>10</v>
      </c>
      <c r="C77" t="s">
        <v>16</v>
      </c>
      <c r="D77" s="4">
        <v>0</v>
      </c>
      <c r="E77" s="3">
        <v>0.65758309420198202</v>
      </c>
      <c r="F77" s="4">
        <v>1</v>
      </c>
      <c r="G77" s="2">
        <v>747.73</v>
      </c>
      <c r="H77" s="2">
        <v>747.73</v>
      </c>
      <c r="I77" s="2">
        <v>747.73</v>
      </c>
      <c r="J77" s="2" t="str">
        <f t="shared" si="2"/>
        <v>25-34</v>
      </c>
      <c r="K77" s="17" t="str">
        <f t="shared" si="3"/>
        <v>9-11</v>
      </c>
    </row>
    <row r="78" spans="1:11" x14ac:dyDescent="0.2">
      <c r="A78" s="4">
        <v>70</v>
      </c>
      <c r="B78" s="4">
        <v>7</v>
      </c>
      <c r="C78" t="s">
        <v>8</v>
      </c>
      <c r="D78" s="4">
        <v>0</v>
      </c>
      <c r="E78" s="3">
        <v>0.90718335320707399</v>
      </c>
      <c r="F78" s="4">
        <v>2</v>
      </c>
      <c r="G78" s="2">
        <v>857.79</v>
      </c>
      <c r="H78" s="2">
        <v>428.89</v>
      </c>
      <c r="I78" s="2">
        <v>857.79</v>
      </c>
      <c r="J78" s="2" t="str">
        <f t="shared" si="2"/>
        <v>65-74</v>
      </c>
      <c r="K78" s="17" t="str">
        <f t="shared" si="3"/>
        <v>6-8</v>
      </c>
    </row>
    <row r="79" spans="1:11" x14ac:dyDescent="0.2">
      <c r="A79" s="4">
        <v>34</v>
      </c>
      <c r="B79" s="4">
        <v>7</v>
      </c>
      <c r="C79" t="s">
        <v>16</v>
      </c>
      <c r="D79" s="4">
        <v>1</v>
      </c>
      <c r="E79" s="3">
        <v>0.75179499795194704</v>
      </c>
      <c r="F79" s="4">
        <v>1</v>
      </c>
      <c r="G79" s="2">
        <v>1199.8399999999999</v>
      </c>
      <c r="H79" s="2">
        <v>1199.8399999999999</v>
      </c>
      <c r="I79" s="2">
        <v>1199.8399999999999</v>
      </c>
      <c r="J79" s="2" t="str">
        <f t="shared" si="2"/>
        <v>25-34</v>
      </c>
      <c r="K79" s="17" t="str">
        <f t="shared" si="3"/>
        <v>6-8</v>
      </c>
    </row>
    <row r="80" spans="1:11" x14ac:dyDescent="0.2">
      <c r="A80" s="4">
        <v>56</v>
      </c>
      <c r="B80" s="4">
        <v>6</v>
      </c>
      <c r="C80" t="s">
        <v>8</v>
      </c>
      <c r="D80" s="4">
        <v>0</v>
      </c>
      <c r="E80" s="3">
        <v>0.58848821208812296</v>
      </c>
      <c r="F80" s="4">
        <v>1</v>
      </c>
      <c r="G80" s="2">
        <v>770.66</v>
      </c>
      <c r="H80" s="2">
        <v>770.66</v>
      </c>
      <c r="I80" s="2">
        <v>770.66</v>
      </c>
      <c r="J80" s="2" t="str">
        <f t="shared" si="2"/>
        <v>55-64</v>
      </c>
      <c r="K80" s="17" t="str">
        <f t="shared" si="3"/>
        <v>6-8</v>
      </c>
    </row>
    <row r="81" spans="1:11" x14ac:dyDescent="0.2">
      <c r="A81" s="4">
        <v>30</v>
      </c>
      <c r="B81" s="4">
        <v>13</v>
      </c>
      <c r="C81" t="s">
        <v>16</v>
      </c>
      <c r="D81" s="4">
        <v>1</v>
      </c>
      <c r="E81" s="3">
        <v>0.92735348688438501</v>
      </c>
      <c r="F81" s="4">
        <v>2</v>
      </c>
      <c r="G81" s="2">
        <v>1275.9000000000001</v>
      </c>
      <c r="H81" s="2">
        <v>637.95000000000005</v>
      </c>
      <c r="I81" s="2">
        <v>1275.9000000000001</v>
      </c>
      <c r="J81" s="2" t="str">
        <f t="shared" si="2"/>
        <v>25-34</v>
      </c>
      <c r="K81" s="17" t="str">
        <f t="shared" si="3"/>
        <v>12-15</v>
      </c>
    </row>
    <row r="82" spans="1:11" x14ac:dyDescent="0.2">
      <c r="A82" s="4">
        <v>47</v>
      </c>
      <c r="B82" s="4">
        <v>8</v>
      </c>
      <c r="C82" t="s">
        <v>8</v>
      </c>
      <c r="D82" s="4">
        <v>0</v>
      </c>
      <c r="E82" s="3">
        <v>0.80164284550119203</v>
      </c>
      <c r="F82" s="4">
        <v>1</v>
      </c>
      <c r="G82" s="2">
        <v>464.64</v>
      </c>
      <c r="H82" s="2">
        <v>464.64</v>
      </c>
      <c r="I82" s="2">
        <v>464.64</v>
      </c>
      <c r="J82" s="2" t="str">
        <f t="shared" si="2"/>
        <v>45-54</v>
      </c>
      <c r="K82" s="17" t="str">
        <f t="shared" si="3"/>
        <v>6-8</v>
      </c>
    </row>
    <row r="83" spans="1:11" x14ac:dyDescent="0.2">
      <c r="A83" s="4">
        <v>81</v>
      </c>
      <c r="B83" s="4">
        <v>9</v>
      </c>
      <c r="C83" t="s">
        <v>8</v>
      </c>
      <c r="D83" s="4">
        <v>0</v>
      </c>
      <c r="E83" s="3">
        <v>0.53679222310893204</v>
      </c>
      <c r="F83" s="4">
        <v>1</v>
      </c>
      <c r="G83" s="2">
        <v>1856.09</v>
      </c>
      <c r="H83" s="2">
        <v>1856.09</v>
      </c>
      <c r="I83" s="2">
        <v>1856.09</v>
      </c>
      <c r="J83" s="2" t="str">
        <f t="shared" si="2"/>
        <v>75-90</v>
      </c>
      <c r="K83" s="17" t="str">
        <f t="shared" si="3"/>
        <v>9-11</v>
      </c>
    </row>
    <row r="84" spans="1:11" x14ac:dyDescent="0.2">
      <c r="A84" s="4">
        <v>86</v>
      </c>
      <c r="B84" s="4">
        <v>1</v>
      </c>
      <c r="C84" t="s">
        <v>16</v>
      </c>
      <c r="D84" s="4">
        <v>3</v>
      </c>
      <c r="E84" s="3">
        <v>0.62750854284968205</v>
      </c>
      <c r="F84" s="4">
        <v>3</v>
      </c>
      <c r="G84" s="2">
        <v>7898.01</v>
      </c>
      <c r="H84" s="2">
        <v>2632.67</v>
      </c>
      <c r="I84" s="2">
        <v>7898.01</v>
      </c>
      <c r="J84" s="2" t="str">
        <f t="shared" si="2"/>
        <v>75-90</v>
      </c>
      <c r="K84" s="17" t="str">
        <f t="shared" si="3"/>
        <v>0-2</v>
      </c>
    </row>
    <row r="85" spans="1:11" x14ac:dyDescent="0.2">
      <c r="A85" s="4">
        <v>55</v>
      </c>
      <c r="B85" s="4">
        <v>2</v>
      </c>
      <c r="C85" t="s">
        <v>8</v>
      </c>
      <c r="D85" s="4">
        <v>0</v>
      </c>
      <c r="E85" s="3">
        <v>0.50886638660449501</v>
      </c>
      <c r="F85" s="4">
        <v>1</v>
      </c>
      <c r="G85" s="2">
        <v>243.15</v>
      </c>
      <c r="H85" s="2">
        <v>243.15</v>
      </c>
      <c r="I85" s="2">
        <v>243.15</v>
      </c>
      <c r="J85" s="2" t="str">
        <f t="shared" si="2"/>
        <v>55-64</v>
      </c>
      <c r="K85" s="17" t="str">
        <f t="shared" si="3"/>
        <v>0-2</v>
      </c>
    </row>
    <row r="86" spans="1:11" x14ac:dyDescent="0.2">
      <c r="A86" s="4">
        <v>43</v>
      </c>
      <c r="B86" s="4">
        <v>5</v>
      </c>
      <c r="C86" t="s">
        <v>8</v>
      </c>
      <c r="D86" s="4">
        <v>1</v>
      </c>
      <c r="E86" s="3">
        <v>0.85632037743926004</v>
      </c>
      <c r="F86" s="4">
        <v>1</v>
      </c>
      <c r="G86" s="2">
        <v>654.86</v>
      </c>
      <c r="H86" s="2">
        <v>654.86</v>
      </c>
      <c r="I86" s="2">
        <v>654.86</v>
      </c>
      <c r="J86" s="2" t="str">
        <f t="shared" si="2"/>
        <v>35-44</v>
      </c>
      <c r="K86" s="17" t="str">
        <f t="shared" si="3"/>
        <v>3-5</v>
      </c>
    </row>
    <row r="87" spans="1:11" x14ac:dyDescent="0.2">
      <c r="A87" s="4">
        <v>23</v>
      </c>
      <c r="B87" s="4">
        <v>13</v>
      </c>
      <c r="C87" t="s">
        <v>10</v>
      </c>
      <c r="D87" s="4">
        <v>0</v>
      </c>
      <c r="E87" s="3">
        <v>0.78970194153953299</v>
      </c>
      <c r="F87" s="4">
        <v>1</v>
      </c>
      <c r="G87" s="2">
        <v>782.24</v>
      </c>
      <c r="H87" s="2">
        <v>782.24</v>
      </c>
      <c r="I87" s="2">
        <v>782.24</v>
      </c>
      <c r="J87" s="2" t="str">
        <f t="shared" si="2"/>
        <v>18-24</v>
      </c>
      <c r="K87" s="17" t="str">
        <f t="shared" si="3"/>
        <v>12-15</v>
      </c>
    </row>
    <row r="88" spans="1:11" x14ac:dyDescent="0.2">
      <c r="A88" s="4">
        <v>71</v>
      </c>
      <c r="B88" s="4">
        <v>2</v>
      </c>
      <c r="C88" t="s">
        <v>8</v>
      </c>
      <c r="D88" s="4">
        <v>0</v>
      </c>
      <c r="E88" s="3">
        <v>0.82096712815109596</v>
      </c>
      <c r="F88" s="4">
        <v>1</v>
      </c>
      <c r="G88" s="2">
        <v>653.37</v>
      </c>
      <c r="H88" s="2">
        <v>653.37</v>
      </c>
      <c r="I88" s="2">
        <v>653.37</v>
      </c>
      <c r="J88" s="2" t="str">
        <f t="shared" si="2"/>
        <v>65-74</v>
      </c>
      <c r="K88" s="17" t="str">
        <f t="shared" si="3"/>
        <v>0-2</v>
      </c>
    </row>
    <row r="89" spans="1:11" x14ac:dyDescent="0.2">
      <c r="A89" s="4">
        <v>88</v>
      </c>
      <c r="B89" s="4">
        <v>9</v>
      </c>
      <c r="C89" t="s">
        <v>8</v>
      </c>
      <c r="D89" s="4">
        <v>0</v>
      </c>
      <c r="E89" s="3">
        <v>0.87630027323029902</v>
      </c>
      <c r="F89" s="4">
        <v>2</v>
      </c>
      <c r="G89" s="2">
        <v>1609.11</v>
      </c>
      <c r="H89" s="2">
        <v>804.56</v>
      </c>
      <c r="I89" s="2">
        <v>1609.11</v>
      </c>
      <c r="J89" s="2" t="str">
        <f t="shared" si="2"/>
        <v>75-90</v>
      </c>
      <c r="K89" s="17" t="str">
        <f t="shared" si="3"/>
        <v>9-11</v>
      </c>
    </row>
    <row r="90" spans="1:11" x14ac:dyDescent="0.2">
      <c r="A90" s="4">
        <v>23</v>
      </c>
      <c r="B90" s="4">
        <v>8</v>
      </c>
      <c r="C90" t="s">
        <v>8</v>
      </c>
      <c r="D90" s="4">
        <v>2</v>
      </c>
      <c r="E90" s="3">
        <v>0.62686660001054395</v>
      </c>
      <c r="F90" s="4">
        <v>2</v>
      </c>
      <c r="G90" s="2">
        <v>453.99</v>
      </c>
      <c r="H90" s="2">
        <v>226.99</v>
      </c>
      <c r="I90" s="2">
        <v>453.99</v>
      </c>
      <c r="J90" s="2" t="str">
        <f t="shared" si="2"/>
        <v>18-24</v>
      </c>
      <c r="K90" s="17" t="str">
        <f t="shared" si="3"/>
        <v>6-8</v>
      </c>
    </row>
    <row r="91" spans="1:11" x14ac:dyDescent="0.2">
      <c r="A91" s="4">
        <v>73</v>
      </c>
      <c r="B91" s="4">
        <v>2</v>
      </c>
      <c r="C91" t="s">
        <v>16</v>
      </c>
      <c r="D91" s="4">
        <v>0</v>
      </c>
      <c r="E91" s="3">
        <v>0.84526191710028797</v>
      </c>
      <c r="F91" s="4">
        <v>1</v>
      </c>
      <c r="G91" s="2">
        <v>588.41</v>
      </c>
      <c r="H91" s="2">
        <v>588.41</v>
      </c>
      <c r="I91" s="2">
        <v>588.41</v>
      </c>
      <c r="J91" s="2" t="str">
        <f t="shared" si="2"/>
        <v>65-74</v>
      </c>
      <c r="K91" s="17" t="str">
        <f t="shared" si="3"/>
        <v>0-2</v>
      </c>
    </row>
    <row r="92" spans="1:11" x14ac:dyDescent="0.2">
      <c r="A92" s="4">
        <v>23</v>
      </c>
      <c r="B92" s="4">
        <v>7</v>
      </c>
      <c r="C92" t="s">
        <v>8</v>
      </c>
      <c r="D92" s="4">
        <v>0</v>
      </c>
      <c r="E92" s="3">
        <v>0.748309765476733</v>
      </c>
      <c r="F92" s="4">
        <v>1</v>
      </c>
      <c r="G92" s="2">
        <v>323.69</v>
      </c>
      <c r="H92" s="2">
        <v>323.69</v>
      </c>
      <c r="I92" s="2">
        <v>323.69</v>
      </c>
      <c r="J92" s="2" t="str">
        <f t="shared" si="2"/>
        <v>18-24</v>
      </c>
      <c r="K92" s="17" t="str">
        <f t="shared" si="3"/>
        <v>6-8</v>
      </c>
    </row>
    <row r="93" spans="1:11" x14ac:dyDescent="0.2">
      <c r="A93" s="4">
        <v>77</v>
      </c>
      <c r="B93" s="4">
        <v>15</v>
      </c>
      <c r="C93" t="s">
        <v>8</v>
      </c>
      <c r="D93" s="4">
        <v>0</v>
      </c>
      <c r="E93" s="3">
        <v>0.75038690085057203</v>
      </c>
      <c r="F93" s="4">
        <v>1</v>
      </c>
      <c r="G93" s="2">
        <v>1363.95</v>
      </c>
      <c r="H93" s="2">
        <v>1363.95</v>
      </c>
      <c r="I93" s="2">
        <v>1363.95</v>
      </c>
      <c r="J93" s="2" t="str">
        <f t="shared" si="2"/>
        <v>75-90</v>
      </c>
      <c r="K93" s="17" t="str">
        <f t="shared" si="3"/>
        <v>12-15</v>
      </c>
    </row>
    <row r="94" spans="1:11" x14ac:dyDescent="0.2">
      <c r="A94" s="4">
        <v>74</v>
      </c>
      <c r="B94" s="4">
        <v>10</v>
      </c>
      <c r="C94" t="s">
        <v>8</v>
      </c>
      <c r="D94" s="4">
        <v>0</v>
      </c>
      <c r="E94" s="3">
        <v>0.77344800776336298</v>
      </c>
      <c r="F94" s="4">
        <v>1</v>
      </c>
      <c r="G94" s="2">
        <v>2159.7199999999998</v>
      </c>
      <c r="H94" s="2">
        <v>2159.7199999999998</v>
      </c>
      <c r="I94" s="2">
        <v>2159.7199999999998</v>
      </c>
      <c r="J94" s="2" t="str">
        <f t="shared" si="2"/>
        <v>65-74</v>
      </c>
      <c r="K94" s="17" t="str">
        <f t="shared" si="3"/>
        <v>9-11</v>
      </c>
    </row>
    <row r="95" spans="1:11" x14ac:dyDescent="0.2">
      <c r="A95" s="4">
        <v>19</v>
      </c>
      <c r="B95" s="4">
        <v>13</v>
      </c>
      <c r="C95" t="s">
        <v>10</v>
      </c>
      <c r="D95" s="4">
        <v>0</v>
      </c>
      <c r="E95" s="3">
        <v>0.77371832623612102</v>
      </c>
      <c r="F95" s="4">
        <v>1</v>
      </c>
      <c r="G95" s="2">
        <v>661.77</v>
      </c>
      <c r="H95" s="2">
        <v>661.77</v>
      </c>
      <c r="I95" s="2">
        <v>661.77</v>
      </c>
      <c r="J95" s="2" t="str">
        <f t="shared" si="2"/>
        <v>18-24</v>
      </c>
      <c r="K95" s="17" t="str">
        <f t="shared" si="3"/>
        <v>12-15</v>
      </c>
    </row>
    <row r="96" spans="1:11" x14ac:dyDescent="0.2">
      <c r="A96" s="4">
        <v>74</v>
      </c>
      <c r="B96" s="4">
        <v>2</v>
      </c>
      <c r="C96" t="s">
        <v>16</v>
      </c>
      <c r="D96" s="4">
        <v>1</v>
      </c>
      <c r="E96" s="3">
        <v>0.90850637131370604</v>
      </c>
      <c r="F96" s="4">
        <v>1</v>
      </c>
      <c r="G96" s="2">
        <v>1045.96</v>
      </c>
      <c r="H96" s="2">
        <v>1045.96</v>
      </c>
      <c r="I96" s="2">
        <v>1045.96</v>
      </c>
      <c r="J96" s="2" t="str">
        <f t="shared" si="2"/>
        <v>65-74</v>
      </c>
      <c r="K96" s="17" t="str">
        <f t="shared" si="3"/>
        <v>0-2</v>
      </c>
    </row>
    <row r="97" spans="1:11" x14ac:dyDescent="0.2">
      <c r="A97" s="4">
        <v>71</v>
      </c>
      <c r="B97" s="4">
        <v>4</v>
      </c>
      <c r="C97" t="s">
        <v>10</v>
      </c>
      <c r="D97" s="4">
        <v>0</v>
      </c>
      <c r="E97" s="3">
        <v>0.713988733943552</v>
      </c>
      <c r="F97" s="4">
        <v>2</v>
      </c>
      <c r="G97" s="2">
        <v>1061.3</v>
      </c>
      <c r="H97" s="2">
        <v>530.65</v>
      </c>
      <c r="I97" s="2">
        <v>1061.3</v>
      </c>
      <c r="J97" s="2" t="str">
        <f t="shared" si="2"/>
        <v>65-74</v>
      </c>
      <c r="K97" s="17" t="str">
        <f t="shared" si="3"/>
        <v>3-5</v>
      </c>
    </row>
    <row r="98" spans="1:11" x14ac:dyDescent="0.2">
      <c r="A98" s="4">
        <v>53</v>
      </c>
      <c r="B98" s="4">
        <v>5</v>
      </c>
      <c r="C98" t="s">
        <v>8</v>
      </c>
      <c r="D98" s="4">
        <v>0</v>
      </c>
      <c r="E98" s="3">
        <v>0.58292277448344998</v>
      </c>
      <c r="F98" s="4">
        <v>1</v>
      </c>
      <c r="G98" s="2">
        <v>596.03</v>
      </c>
      <c r="H98" s="2">
        <v>596.03</v>
      </c>
      <c r="I98" s="2">
        <v>596.03</v>
      </c>
      <c r="J98" s="2" t="str">
        <f t="shared" si="2"/>
        <v>45-54</v>
      </c>
      <c r="K98" s="17" t="str">
        <f t="shared" si="3"/>
        <v>3-5</v>
      </c>
    </row>
    <row r="99" spans="1:11" x14ac:dyDescent="0.2">
      <c r="A99" s="4">
        <v>53</v>
      </c>
      <c r="B99" s="4">
        <v>8</v>
      </c>
      <c r="C99" t="s">
        <v>16</v>
      </c>
      <c r="D99" s="4">
        <v>0</v>
      </c>
      <c r="E99" s="3">
        <v>0.68377158290240903</v>
      </c>
      <c r="F99" s="4">
        <v>1</v>
      </c>
      <c r="G99" s="2">
        <v>914.72</v>
      </c>
      <c r="H99" s="2">
        <v>914.72</v>
      </c>
      <c r="I99" s="2">
        <v>914.72</v>
      </c>
      <c r="J99" s="2" t="str">
        <f t="shared" si="2"/>
        <v>45-54</v>
      </c>
      <c r="K99" s="17" t="str">
        <f t="shared" si="3"/>
        <v>6-8</v>
      </c>
    </row>
    <row r="100" spans="1:11" x14ac:dyDescent="0.2">
      <c r="A100" s="4">
        <v>39</v>
      </c>
      <c r="B100" s="4">
        <v>13</v>
      </c>
      <c r="C100" t="s">
        <v>8</v>
      </c>
      <c r="D100" s="4">
        <v>1</v>
      </c>
      <c r="E100" s="3">
        <v>0.74344746186398003</v>
      </c>
      <c r="F100" s="4">
        <v>1</v>
      </c>
      <c r="G100" s="2">
        <v>1089.1199999999999</v>
      </c>
      <c r="H100" s="2">
        <v>1089.1199999999999</v>
      </c>
      <c r="I100" s="2">
        <v>1089.1199999999999</v>
      </c>
      <c r="J100" s="2" t="str">
        <f t="shared" si="2"/>
        <v>35-44</v>
      </c>
      <c r="K100" s="17" t="str">
        <f t="shared" si="3"/>
        <v>12-15</v>
      </c>
    </row>
    <row r="101" spans="1:11" x14ac:dyDescent="0.2">
      <c r="A101" s="4">
        <v>84</v>
      </c>
      <c r="B101" s="4">
        <v>6</v>
      </c>
      <c r="C101" t="s">
        <v>8</v>
      </c>
      <c r="D101" s="4">
        <v>0</v>
      </c>
      <c r="E101" s="3">
        <v>0.85743390710558698</v>
      </c>
      <c r="F101" s="4">
        <v>2</v>
      </c>
      <c r="G101" s="2">
        <v>1513.35</v>
      </c>
      <c r="H101" s="2">
        <v>756.67</v>
      </c>
      <c r="I101" s="2">
        <v>1513.35</v>
      </c>
      <c r="J101" s="2" t="str">
        <f t="shared" si="2"/>
        <v>75-90</v>
      </c>
      <c r="K101" s="17" t="str">
        <f t="shared" si="3"/>
        <v>6-8</v>
      </c>
    </row>
    <row r="102" spans="1:11" x14ac:dyDescent="0.2">
      <c r="A102" s="4">
        <v>71</v>
      </c>
      <c r="B102" s="4">
        <v>10</v>
      </c>
      <c r="C102" t="s">
        <v>16</v>
      </c>
      <c r="D102" s="4">
        <v>0</v>
      </c>
      <c r="E102" s="3">
        <v>0.84257255948614296</v>
      </c>
      <c r="F102" s="4">
        <v>1</v>
      </c>
      <c r="G102" s="2">
        <v>1084.92</v>
      </c>
      <c r="H102" s="2">
        <v>1084.92</v>
      </c>
      <c r="I102" s="2">
        <v>1084.92</v>
      </c>
      <c r="J102" s="2" t="str">
        <f t="shared" si="2"/>
        <v>65-74</v>
      </c>
      <c r="K102" s="17" t="str">
        <f t="shared" si="3"/>
        <v>9-11</v>
      </c>
    </row>
    <row r="103" spans="1:11" x14ac:dyDescent="0.2">
      <c r="A103" s="4">
        <v>64</v>
      </c>
      <c r="B103" s="4">
        <v>0</v>
      </c>
      <c r="C103" t="s">
        <v>8</v>
      </c>
      <c r="D103" s="4">
        <v>0</v>
      </c>
      <c r="E103" s="3">
        <v>0.93592614971566901</v>
      </c>
      <c r="F103" s="4">
        <v>1</v>
      </c>
      <c r="G103" s="2">
        <v>321.33</v>
      </c>
      <c r="H103" s="2">
        <v>321.33</v>
      </c>
      <c r="I103" s="2">
        <v>321.33</v>
      </c>
      <c r="J103" s="2" t="str">
        <f t="shared" si="2"/>
        <v>55-64</v>
      </c>
      <c r="K103" s="17" t="str">
        <f t="shared" si="3"/>
        <v>0-2</v>
      </c>
    </row>
    <row r="104" spans="1:11" x14ac:dyDescent="0.2">
      <c r="A104" s="4">
        <v>89</v>
      </c>
      <c r="B104" s="4">
        <v>2</v>
      </c>
      <c r="C104" t="s">
        <v>10</v>
      </c>
      <c r="D104" s="4">
        <v>0</v>
      </c>
      <c r="E104" s="3">
        <v>0.67851213854737602</v>
      </c>
      <c r="F104" s="4">
        <v>1</v>
      </c>
      <c r="G104" s="2">
        <v>1486.49</v>
      </c>
      <c r="H104" s="2">
        <v>1486.49</v>
      </c>
      <c r="I104" s="2">
        <v>1486.49</v>
      </c>
      <c r="J104" s="2" t="str">
        <f t="shared" si="2"/>
        <v>75-90</v>
      </c>
      <c r="K104" s="17" t="str">
        <f t="shared" si="3"/>
        <v>0-2</v>
      </c>
    </row>
    <row r="105" spans="1:11" x14ac:dyDescent="0.2">
      <c r="A105" s="4">
        <v>35</v>
      </c>
      <c r="B105" s="4">
        <v>3</v>
      </c>
      <c r="C105" t="s">
        <v>8</v>
      </c>
      <c r="D105" s="4">
        <v>0</v>
      </c>
      <c r="E105" s="3">
        <v>0.96857614314649298</v>
      </c>
      <c r="F105" s="4">
        <v>1</v>
      </c>
      <c r="G105" s="2">
        <v>355.21</v>
      </c>
      <c r="H105" s="2">
        <v>355.21</v>
      </c>
      <c r="I105" s="2">
        <v>355.21</v>
      </c>
      <c r="J105" s="2" t="str">
        <f t="shared" si="2"/>
        <v>35-44</v>
      </c>
      <c r="K105" s="17" t="str">
        <f t="shared" si="3"/>
        <v>3-5</v>
      </c>
    </row>
    <row r="106" spans="1:11" x14ac:dyDescent="0.2">
      <c r="A106" s="4">
        <v>63</v>
      </c>
      <c r="B106" s="4">
        <v>1</v>
      </c>
      <c r="C106" t="s">
        <v>8</v>
      </c>
      <c r="D106" s="4">
        <v>0</v>
      </c>
      <c r="E106" s="3">
        <v>0.933514052652754</v>
      </c>
      <c r="F106" s="4">
        <v>1</v>
      </c>
      <c r="G106" s="2">
        <v>381.06</v>
      </c>
      <c r="H106" s="2">
        <v>381.06</v>
      </c>
      <c r="I106" s="2">
        <v>381.06</v>
      </c>
      <c r="J106" s="2" t="str">
        <f t="shared" si="2"/>
        <v>55-64</v>
      </c>
      <c r="K106" s="17" t="str">
        <f t="shared" si="3"/>
        <v>0-2</v>
      </c>
    </row>
    <row r="107" spans="1:11" x14ac:dyDescent="0.2">
      <c r="A107" s="4">
        <v>88</v>
      </c>
      <c r="B107" s="4">
        <v>3</v>
      </c>
      <c r="C107" t="s">
        <v>8</v>
      </c>
      <c r="D107" s="4">
        <v>0</v>
      </c>
      <c r="E107" s="3">
        <v>0.63217531901318602</v>
      </c>
      <c r="F107" s="4">
        <v>1</v>
      </c>
      <c r="G107" s="2">
        <v>852.9</v>
      </c>
      <c r="H107" s="2">
        <v>852.9</v>
      </c>
      <c r="I107" s="2">
        <v>852.9</v>
      </c>
      <c r="J107" s="2" t="str">
        <f t="shared" si="2"/>
        <v>75-90</v>
      </c>
      <c r="K107" s="17" t="str">
        <f t="shared" si="3"/>
        <v>3-5</v>
      </c>
    </row>
    <row r="108" spans="1:11" x14ac:dyDescent="0.2">
      <c r="A108" s="4">
        <v>63</v>
      </c>
      <c r="B108" s="4">
        <v>5</v>
      </c>
      <c r="C108" t="s">
        <v>16</v>
      </c>
      <c r="D108" s="4">
        <v>1</v>
      </c>
      <c r="E108" s="3">
        <v>0.98796362604480203</v>
      </c>
      <c r="F108" s="4">
        <v>1</v>
      </c>
      <c r="G108" s="2">
        <v>2597.35</v>
      </c>
      <c r="H108" s="2">
        <v>2597.35</v>
      </c>
      <c r="I108" s="2">
        <v>2597.35</v>
      </c>
      <c r="J108" s="2" t="str">
        <f t="shared" si="2"/>
        <v>55-64</v>
      </c>
      <c r="K108" s="17" t="str">
        <f t="shared" si="3"/>
        <v>3-5</v>
      </c>
    </row>
    <row r="109" spans="1:11" x14ac:dyDescent="0.2">
      <c r="A109" s="4">
        <v>48</v>
      </c>
      <c r="B109" s="4">
        <v>2</v>
      </c>
      <c r="C109" t="s">
        <v>8</v>
      </c>
      <c r="D109" s="4">
        <v>0</v>
      </c>
      <c r="E109" s="3">
        <v>0.81329139834269903</v>
      </c>
      <c r="F109" s="4">
        <v>1</v>
      </c>
      <c r="G109" s="2">
        <v>235.54</v>
      </c>
      <c r="H109" s="2">
        <v>235.54</v>
      </c>
      <c r="I109" s="2">
        <v>235.54</v>
      </c>
      <c r="J109" s="2" t="str">
        <f t="shared" si="2"/>
        <v>45-54</v>
      </c>
      <c r="K109" s="17" t="str">
        <f t="shared" si="3"/>
        <v>0-2</v>
      </c>
    </row>
    <row r="110" spans="1:11" x14ac:dyDescent="0.2">
      <c r="A110" s="4">
        <v>78</v>
      </c>
      <c r="B110" s="4">
        <v>14</v>
      </c>
      <c r="C110" t="s">
        <v>10</v>
      </c>
      <c r="D110" s="4">
        <v>1</v>
      </c>
      <c r="E110" s="3">
        <v>0.65541656047571495</v>
      </c>
      <c r="F110" s="4">
        <v>1</v>
      </c>
      <c r="G110" s="2">
        <v>3383.57</v>
      </c>
      <c r="H110" s="2">
        <v>3383.57</v>
      </c>
      <c r="I110" s="2">
        <v>3383.57</v>
      </c>
      <c r="J110" s="2" t="str">
        <f t="shared" si="2"/>
        <v>75-90</v>
      </c>
      <c r="K110" s="17" t="str">
        <f t="shared" si="3"/>
        <v>12-15</v>
      </c>
    </row>
    <row r="111" spans="1:11" x14ac:dyDescent="0.2">
      <c r="A111" s="4">
        <v>83</v>
      </c>
      <c r="B111" s="4">
        <v>3</v>
      </c>
      <c r="C111" t="s">
        <v>10</v>
      </c>
      <c r="D111" s="4">
        <v>1</v>
      </c>
      <c r="E111" s="3">
        <v>0.56350178993307098</v>
      </c>
      <c r="F111" s="4">
        <v>2</v>
      </c>
      <c r="G111" s="2">
        <v>2623.13</v>
      </c>
      <c r="H111" s="2">
        <v>1311.56</v>
      </c>
      <c r="I111" s="2">
        <v>2623.13</v>
      </c>
      <c r="J111" s="2" t="str">
        <f t="shared" si="2"/>
        <v>75-90</v>
      </c>
      <c r="K111" s="17" t="str">
        <f t="shared" si="3"/>
        <v>3-5</v>
      </c>
    </row>
    <row r="112" spans="1:11" x14ac:dyDescent="0.2">
      <c r="A112" s="4">
        <v>40</v>
      </c>
      <c r="B112" s="4">
        <v>12</v>
      </c>
      <c r="C112" t="s">
        <v>8</v>
      </c>
      <c r="D112" s="4">
        <v>0</v>
      </c>
      <c r="E112" s="3">
        <v>0.50415755610447399</v>
      </c>
      <c r="F112" s="4">
        <v>1</v>
      </c>
      <c r="G112" s="2">
        <v>698.56</v>
      </c>
      <c r="H112" s="2">
        <v>698.56</v>
      </c>
      <c r="I112" s="2">
        <v>698.56</v>
      </c>
      <c r="J112" s="2" t="str">
        <f t="shared" si="2"/>
        <v>35-44</v>
      </c>
      <c r="K112" s="17" t="str">
        <f t="shared" si="3"/>
        <v>12-15</v>
      </c>
    </row>
    <row r="113" spans="1:11" x14ac:dyDescent="0.2">
      <c r="A113" s="4">
        <v>74</v>
      </c>
      <c r="B113" s="4">
        <v>11</v>
      </c>
      <c r="C113" t="s">
        <v>8</v>
      </c>
      <c r="D113" s="4">
        <v>0</v>
      </c>
      <c r="E113" s="3">
        <v>0.73212157201487604</v>
      </c>
      <c r="F113" s="4">
        <v>1</v>
      </c>
      <c r="G113" s="2">
        <v>1065.54</v>
      </c>
      <c r="H113" s="2">
        <v>1065.54</v>
      </c>
      <c r="I113" s="2">
        <v>1065.54</v>
      </c>
      <c r="J113" s="2" t="str">
        <f t="shared" si="2"/>
        <v>65-74</v>
      </c>
      <c r="K113" s="17" t="str">
        <f t="shared" si="3"/>
        <v>9-11</v>
      </c>
    </row>
    <row r="114" spans="1:11" x14ac:dyDescent="0.2">
      <c r="A114" s="4">
        <v>88</v>
      </c>
      <c r="B114" s="4">
        <v>12</v>
      </c>
      <c r="C114" t="s">
        <v>16</v>
      </c>
      <c r="D114" s="4">
        <v>0</v>
      </c>
      <c r="E114" s="3">
        <v>0.62895711418241296</v>
      </c>
      <c r="F114" s="4">
        <v>1</v>
      </c>
      <c r="G114" s="2">
        <v>3120.19</v>
      </c>
      <c r="H114" s="2">
        <v>3120.19</v>
      </c>
      <c r="I114" s="2">
        <v>3120.19</v>
      </c>
      <c r="J114" s="2" t="str">
        <f t="shared" si="2"/>
        <v>75-90</v>
      </c>
      <c r="K114" s="17" t="str">
        <f t="shared" si="3"/>
        <v>12-15</v>
      </c>
    </row>
    <row r="115" spans="1:11" x14ac:dyDescent="0.2">
      <c r="A115" s="4">
        <v>33</v>
      </c>
      <c r="B115" s="4">
        <v>10</v>
      </c>
      <c r="C115" t="s">
        <v>16</v>
      </c>
      <c r="D115" s="4">
        <v>0</v>
      </c>
      <c r="E115" s="3">
        <v>0.61527055187616497</v>
      </c>
      <c r="F115" s="4">
        <v>1</v>
      </c>
      <c r="G115" s="2">
        <v>239.82</v>
      </c>
      <c r="H115" s="2">
        <v>239.82</v>
      </c>
      <c r="I115" s="2">
        <v>239.82</v>
      </c>
      <c r="J115" s="2" t="str">
        <f t="shared" si="2"/>
        <v>25-34</v>
      </c>
      <c r="K115" s="17" t="str">
        <f t="shared" si="3"/>
        <v>9-11</v>
      </c>
    </row>
    <row r="116" spans="1:11" x14ac:dyDescent="0.2">
      <c r="A116" s="4">
        <v>88</v>
      </c>
      <c r="B116" s="4">
        <v>11</v>
      </c>
      <c r="C116" t="s">
        <v>10</v>
      </c>
      <c r="D116" s="4">
        <v>2</v>
      </c>
      <c r="E116" s="3">
        <v>0.58432733011432003</v>
      </c>
      <c r="F116" s="4">
        <v>1</v>
      </c>
      <c r="G116" s="2">
        <v>2093.35</v>
      </c>
      <c r="H116" s="2">
        <v>2093.35</v>
      </c>
      <c r="I116" s="2">
        <v>2093.35</v>
      </c>
      <c r="J116" s="2" t="str">
        <f t="shared" si="2"/>
        <v>75-90</v>
      </c>
      <c r="K116" s="17" t="str">
        <f t="shared" si="3"/>
        <v>9-11</v>
      </c>
    </row>
    <row r="117" spans="1:11" x14ac:dyDescent="0.2">
      <c r="A117" s="4">
        <v>70</v>
      </c>
      <c r="B117" s="4">
        <v>0</v>
      </c>
      <c r="C117" t="s">
        <v>8</v>
      </c>
      <c r="D117" s="4">
        <v>0</v>
      </c>
      <c r="E117" s="3">
        <v>0.86184959812089801</v>
      </c>
      <c r="F117" s="4">
        <v>1</v>
      </c>
      <c r="G117" s="2">
        <v>363.07</v>
      </c>
      <c r="H117" s="2">
        <v>363.07</v>
      </c>
      <c r="I117" s="2">
        <v>363.07</v>
      </c>
      <c r="J117" s="2" t="str">
        <f t="shared" si="2"/>
        <v>65-74</v>
      </c>
      <c r="K117" s="17" t="str">
        <f t="shared" si="3"/>
        <v>0-2</v>
      </c>
    </row>
    <row r="118" spans="1:11" x14ac:dyDescent="0.2">
      <c r="A118" s="4">
        <v>26</v>
      </c>
      <c r="B118" s="4">
        <v>9</v>
      </c>
      <c r="C118" t="s">
        <v>10</v>
      </c>
      <c r="D118" s="4">
        <v>1</v>
      </c>
      <c r="E118" s="3">
        <v>0.77274514350574497</v>
      </c>
      <c r="F118" s="4">
        <v>1</v>
      </c>
      <c r="G118" s="2">
        <v>749.69</v>
      </c>
      <c r="H118" s="2">
        <v>749.69</v>
      </c>
      <c r="I118" s="2">
        <v>749.69</v>
      </c>
      <c r="J118" s="2" t="str">
        <f t="shared" si="2"/>
        <v>25-34</v>
      </c>
      <c r="K118" s="17" t="str">
        <f t="shared" si="3"/>
        <v>9-11</v>
      </c>
    </row>
    <row r="119" spans="1:11" x14ac:dyDescent="0.2">
      <c r="A119" s="4">
        <v>37</v>
      </c>
      <c r="B119" s="4">
        <v>5</v>
      </c>
      <c r="C119" t="s">
        <v>10</v>
      </c>
      <c r="D119" s="4">
        <v>1</v>
      </c>
      <c r="E119" s="3">
        <v>0.96210743580013502</v>
      </c>
      <c r="F119" s="4">
        <v>1</v>
      </c>
      <c r="G119" s="2">
        <v>735</v>
      </c>
      <c r="H119" s="2">
        <v>735</v>
      </c>
      <c r="I119" s="2">
        <v>735</v>
      </c>
      <c r="J119" s="2" t="str">
        <f t="shared" si="2"/>
        <v>35-44</v>
      </c>
      <c r="K119" s="17" t="str">
        <f t="shared" si="3"/>
        <v>3-5</v>
      </c>
    </row>
    <row r="120" spans="1:11" x14ac:dyDescent="0.2">
      <c r="A120" s="4">
        <v>83</v>
      </c>
      <c r="B120" s="4">
        <v>6</v>
      </c>
      <c r="C120" t="s">
        <v>8</v>
      </c>
      <c r="D120" s="4">
        <v>3</v>
      </c>
      <c r="E120" s="3">
        <v>0.67568333388771895</v>
      </c>
      <c r="F120" s="4">
        <v>2</v>
      </c>
      <c r="G120" s="2">
        <v>3110.7</v>
      </c>
      <c r="H120" s="2">
        <v>1555.35</v>
      </c>
      <c r="I120" s="2">
        <v>3110.7</v>
      </c>
      <c r="J120" s="2" t="str">
        <f t="shared" si="2"/>
        <v>75-90</v>
      </c>
      <c r="K120" s="17" t="str">
        <f t="shared" si="3"/>
        <v>6-8</v>
      </c>
    </row>
    <row r="121" spans="1:11" x14ac:dyDescent="0.2">
      <c r="A121" s="4">
        <v>46</v>
      </c>
      <c r="B121" s="4">
        <v>1</v>
      </c>
      <c r="C121" t="s">
        <v>10</v>
      </c>
      <c r="D121" s="4">
        <v>0</v>
      </c>
      <c r="E121" s="3">
        <v>0.91256454016547695</v>
      </c>
      <c r="F121" s="4">
        <v>1</v>
      </c>
      <c r="G121" s="2">
        <v>475.99</v>
      </c>
      <c r="H121" s="2">
        <v>475.99</v>
      </c>
      <c r="I121" s="2">
        <v>475.99</v>
      </c>
      <c r="J121" s="2" t="str">
        <f t="shared" si="2"/>
        <v>45-54</v>
      </c>
      <c r="K121" s="17" t="str">
        <f t="shared" si="3"/>
        <v>0-2</v>
      </c>
    </row>
    <row r="122" spans="1:11" x14ac:dyDescent="0.2">
      <c r="A122" s="4">
        <v>50</v>
      </c>
      <c r="B122" s="4">
        <v>10</v>
      </c>
      <c r="C122" t="s">
        <v>16</v>
      </c>
      <c r="D122" s="4">
        <v>0</v>
      </c>
      <c r="E122" s="3">
        <v>0.80612748384010002</v>
      </c>
      <c r="F122" s="4">
        <v>1</v>
      </c>
      <c r="G122" s="2">
        <v>1242.24</v>
      </c>
      <c r="H122" s="2">
        <v>1242.24</v>
      </c>
      <c r="I122" s="2">
        <v>1242.24</v>
      </c>
      <c r="J122" s="2" t="str">
        <f t="shared" si="2"/>
        <v>45-54</v>
      </c>
      <c r="K122" s="17" t="str">
        <f t="shared" si="3"/>
        <v>9-11</v>
      </c>
    </row>
    <row r="123" spans="1:11" x14ac:dyDescent="0.2">
      <c r="A123" s="4">
        <v>42</v>
      </c>
      <c r="B123" s="4">
        <v>3</v>
      </c>
      <c r="C123" t="s">
        <v>8</v>
      </c>
      <c r="D123" s="4">
        <v>1</v>
      </c>
      <c r="E123" s="3">
        <v>0.64818763814400904</v>
      </c>
      <c r="F123" s="4">
        <v>1</v>
      </c>
      <c r="G123" s="2">
        <v>287.29000000000002</v>
      </c>
      <c r="H123" s="2">
        <v>287.29000000000002</v>
      </c>
      <c r="I123" s="2">
        <v>287.29000000000002</v>
      </c>
      <c r="J123" s="2" t="str">
        <f t="shared" si="2"/>
        <v>35-44</v>
      </c>
      <c r="K123" s="17" t="str">
        <f t="shared" si="3"/>
        <v>3-5</v>
      </c>
    </row>
    <row r="124" spans="1:11" x14ac:dyDescent="0.2">
      <c r="A124" s="4">
        <v>33</v>
      </c>
      <c r="B124" s="4">
        <v>10</v>
      </c>
      <c r="C124" t="s">
        <v>8</v>
      </c>
      <c r="D124" s="4">
        <v>0</v>
      </c>
      <c r="E124" s="3">
        <v>0.79745267296675604</v>
      </c>
      <c r="F124" s="4">
        <v>1</v>
      </c>
      <c r="G124" s="2">
        <v>324.37</v>
      </c>
      <c r="H124" s="2">
        <v>324.37</v>
      </c>
      <c r="I124" s="2">
        <v>324.37</v>
      </c>
      <c r="J124" s="2" t="str">
        <f t="shared" si="2"/>
        <v>25-34</v>
      </c>
      <c r="K124" s="17" t="str">
        <f t="shared" si="3"/>
        <v>9-11</v>
      </c>
    </row>
    <row r="125" spans="1:11" x14ac:dyDescent="0.2">
      <c r="A125" s="4">
        <v>54</v>
      </c>
      <c r="B125" s="4">
        <v>8</v>
      </c>
      <c r="C125" t="s">
        <v>8</v>
      </c>
      <c r="D125" s="4">
        <v>1</v>
      </c>
      <c r="E125" s="3">
        <v>0.61685202107764803</v>
      </c>
      <c r="F125" s="4">
        <v>1</v>
      </c>
      <c r="G125" s="2">
        <v>1404.76</v>
      </c>
      <c r="H125" s="2">
        <v>1404.76</v>
      </c>
      <c r="I125" s="2">
        <v>1404.76</v>
      </c>
      <c r="J125" s="2" t="str">
        <f t="shared" si="2"/>
        <v>45-54</v>
      </c>
      <c r="K125" s="17" t="str">
        <f t="shared" si="3"/>
        <v>6-8</v>
      </c>
    </row>
    <row r="126" spans="1:11" x14ac:dyDescent="0.2">
      <c r="A126" s="4">
        <v>86</v>
      </c>
      <c r="B126" s="4">
        <v>2</v>
      </c>
      <c r="C126" t="s">
        <v>8</v>
      </c>
      <c r="D126" s="4">
        <v>1</v>
      </c>
      <c r="E126" s="3">
        <v>0.92355879454407797</v>
      </c>
      <c r="F126" s="4">
        <v>1</v>
      </c>
      <c r="G126" s="2">
        <v>2784.53</v>
      </c>
      <c r="H126" s="2">
        <v>2784.53</v>
      </c>
      <c r="I126" s="2">
        <v>2784.53</v>
      </c>
      <c r="J126" s="2" t="str">
        <f t="shared" si="2"/>
        <v>75-90</v>
      </c>
      <c r="K126" s="17" t="str">
        <f t="shared" si="3"/>
        <v>0-2</v>
      </c>
    </row>
    <row r="127" spans="1:11" x14ac:dyDescent="0.2">
      <c r="A127" s="4">
        <v>41</v>
      </c>
      <c r="B127" s="4">
        <v>6</v>
      </c>
      <c r="C127" t="s">
        <v>8</v>
      </c>
      <c r="D127" s="4">
        <v>0</v>
      </c>
      <c r="E127" s="3">
        <v>0.65245102508924901</v>
      </c>
      <c r="F127" s="4">
        <v>1</v>
      </c>
      <c r="G127" s="2">
        <v>400.84</v>
      </c>
      <c r="H127" s="2">
        <v>400.84</v>
      </c>
      <c r="I127" s="2">
        <v>400.84</v>
      </c>
      <c r="J127" s="2" t="str">
        <f t="shared" si="2"/>
        <v>35-44</v>
      </c>
      <c r="K127" s="17" t="str">
        <f t="shared" si="3"/>
        <v>6-8</v>
      </c>
    </row>
    <row r="128" spans="1:11" x14ac:dyDescent="0.2">
      <c r="A128" s="4">
        <v>52</v>
      </c>
      <c r="B128" s="4">
        <v>4</v>
      </c>
      <c r="C128" t="s">
        <v>10</v>
      </c>
      <c r="D128" s="4">
        <v>2</v>
      </c>
      <c r="E128" s="3">
        <v>0.66866902110632498</v>
      </c>
      <c r="F128" s="4">
        <v>1</v>
      </c>
      <c r="G128" s="2">
        <v>1440.76</v>
      </c>
      <c r="H128" s="2">
        <v>1440.76</v>
      </c>
      <c r="I128" s="2">
        <v>1440.76</v>
      </c>
      <c r="J128" s="2" t="str">
        <f t="shared" si="2"/>
        <v>45-54</v>
      </c>
      <c r="K128" s="17" t="str">
        <f t="shared" si="3"/>
        <v>3-5</v>
      </c>
    </row>
    <row r="129" spans="1:11" x14ac:dyDescent="0.2">
      <c r="A129" s="4">
        <v>57</v>
      </c>
      <c r="B129" s="4">
        <v>4</v>
      </c>
      <c r="C129" t="s">
        <v>8</v>
      </c>
      <c r="D129" s="4">
        <v>0</v>
      </c>
      <c r="E129" s="3">
        <v>0.74262389948125895</v>
      </c>
      <c r="F129" s="4">
        <v>1</v>
      </c>
      <c r="G129" s="2">
        <v>263.20999999999998</v>
      </c>
      <c r="H129" s="2">
        <v>263.20999999999998</v>
      </c>
      <c r="I129" s="2">
        <v>263.20999999999998</v>
      </c>
      <c r="J129" s="2" t="str">
        <f t="shared" si="2"/>
        <v>55-64</v>
      </c>
      <c r="K129" s="17" t="str">
        <f t="shared" si="3"/>
        <v>3-5</v>
      </c>
    </row>
    <row r="130" spans="1:11" x14ac:dyDescent="0.2">
      <c r="A130" s="4">
        <v>41</v>
      </c>
      <c r="B130" s="4">
        <v>6</v>
      </c>
      <c r="C130" t="s">
        <v>16</v>
      </c>
      <c r="D130" s="4">
        <v>0</v>
      </c>
      <c r="E130" s="3">
        <v>0.86297012551221997</v>
      </c>
      <c r="F130" s="4">
        <v>2</v>
      </c>
      <c r="G130" s="2">
        <v>416.75</v>
      </c>
      <c r="H130" s="2">
        <v>208.38</v>
      </c>
      <c r="I130" s="2">
        <v>416.75</v>
      </c>
      <c r="J130" s="2" t="str">
        <f t="shared" ref="J130:J193" si="4" xml:space="preserve"> IF(A130&lt;25,"18-24",
 IF(A130&lt;35,"25-34",
 IF(A130&lt;45,"35-44",
 IF(A130&lt;55,"45-54", IF(A130&lt;65, "55-64", IF(A130&lt;75, "65-74", "75-90"))))))</f>
        <v>35-44</v>
      </c>
      <c r="K130" s="17" t="str">
        <f t="shared" ref="K130:K193" si="5" xml:space="preserve"> IF(B130 &lt; 3, "0-2", IF(B130 &lt; 6, "3-5", IF(B130 &lt; 9, "6-8", IF(B130 &lt; 12, "9-11", "12-15"))))</f>
        <v>6-8</v>
      </c>
    </row>
    <row r="131" spans="1:11" x14ac:dyDescent="0.2">
      <c r="A131" s="4">
        <v>82</v>
      </c>
      <c r="B131" s="4">
        <v>3</v>
      </c>
      <c r="C131" t="s">
        <v>8</v>
      </c>
      <c r="D131" s="4">
        <v>1</v>
      </c>
      <c r="E131" s="3">
        <v>0.53335015475750003</v>
      </c>
      <c r="F131" s="4">
        <v>1</v>
      </c>
      <c r="G131" s="2">
        <v>1037.8900000000001</v>
      </c>
      <c r="H131" s="2">
        <v>1037.8900000000001</v>
      </c>
      <c r="I131" s="2">
        <v>1037.8900000000001</v>
      </c>
      <c r="J131" s="2" t="str">
        <f t="shared" si="4"/>
        <v>75-90</v>
      </c>
      <c r="K131" s="17" t="str">
        <f t="shared" si="5"/>
        <v>3-5</v>
      </c>
    </row>
    <row r="132" spans="1:11" x14ac:dyDescent="0.2">
      <c r="A132" s="4">
        <v>46</v>
      </c>
      <c r="B132" s="4">
        <v>5</v>
      </c>
      <c r="C132" t="s">
        <v>16</v>
      </c>
      <c r="D132" s="4">
        <v>0</v>
      </c>
      <c r="E132" s="3">
        <v>0.76135787344537698</v>
      </c>
      <c r="F132" s="4">
        <v>1</v>
      </c>
      <c r="G132" s="2">
        <v>586.02</v>
      </c>
      <c r="H132" s="2">
        <v>586.02</v>
      </c>
      <c r="I132" s="2">
        <v>586.02</v>
      </c>
      <c r="J132" s="2" t="str">
        <f t="shared" si="4"/>
        <v>45-54</v>
      </c>
      <c r="K132" s="17" t="str">
        <f t="shared" si="5"/>
        <v>3-5</v>
      </c>
    </row>
    <row r="133" spans="1:11" x14ac:dyDescent="0.2">
      <c r="A133" s="4">
        <v>80</v>
      </c>
      <c r="B133" s="4">
        <v>2</v>
      </c>
      <c r="C133" t="s">
        <v>16</v>
      </c>
      <c r="D133" s="4">
        <v>1</v>
      </c>
      <c r="E133" s="3">
        <v>0.61398979229852602</v>
      </c>
      <c r="F133" s="4">
        <v>1</v>
      </c>
      <c r="G133" s="2">
        <v>2942.73</v>
      </c>
      <c r="H133" s="2">
        <v>2942.73</v>
      </c>
      <c r="I133" s="2">
        <v>2942.73</v>
      </c>
      <c r="J133" s="2" t="str">
        <f t="shared" si="4"/>
        <v>75-90</v>
      </c>
      <c r="K133" s="17" t="str">
        <f t="shared" si="5"/>
        <v>0-2</v>
      </c>
    </row>
    <row r="134" spans="1:11" x14ac:dyDescent="0.2">
      <c r="A134" s="4">
        <v>59</v>
      </c>
      <c r="B134" s="4">
        <v>12</v>
      </c>
      <c r="C134" t="s">
        <v>10</v>
      </c>
      <c r="D134" s="4">
        <v>1</v>
      </c>
      <c r="E134" s="3">
        <v>0.61591647425666496</v>
      </c>
      <c r="F134" s="4">
        <v>1</v>
      </c>
      <c r="G134" s="2">
        <v>826.56</v>
      </c>
      <c r="H134" s="2">
        <v>826.56</v>
      </c>
      <c r="I134" s="2">
        <v>826.56</v>
      </c>
      <c r="J134" s="2" t="str">
        <f t="shared" si="4"/>
        <v>55-64</v>
      </c>
      <c r="K134" s="17" t="str">
        <f t="shared" si="5"/>
        <v>12-15</v>
      </c>
    </row>
    <row r="135" spans="1:11" x14ac:dyDescent="0.2">
      <c r="A135" s="4">
        <v>42</v>
      </c>
      <c r="B135" s="4">
        <v>14</v>
      </c>
      <c r="C135" t="s">
        <v>8</v>
      </c>
      <c r="D135" s="4">
        <v>0</v>
      </c>
      <c r="E135" s="3">
        <v>0.8683701941045</v>
      </c>
      <c r="F135" s="4">
        <v>1</v>
      </c>
      <c r="G135" s="2">
        <v>938.25</v>
      </c>
      <c r="H135" s="2">
        <v>938.25</v>
      </c>
      <c r="I135" s="2">
        <v>938.25</v>
      </c>
      <c r="J135" s="2" t="str">
        <f t="shared" si="4"/>
        <v>35-44</v>
      </c>
      <c r="K135" s="17" t="str">
        <f t="shared" si="5"/>
        <v>12-15</v>
      </c>
    </row>
    <row r="136" spans="1:11" x14ac:dyDescent="0.2">
      <c r="A136" s="4">
        <v>26</v>
      </c>
      <c r="B136" s="4">
        <v>14</v>
      </c>
      <c r="C136" t="s">
        <v>16</v>
      </c>
      <c r="D136" s="4">
        <v>0</v>
      </c>
      <c r="E136" s="3">
        <v>0.82857680378947396</v>
      </c>
      <c r="F136" s="4">
        <v>1</v>
      </c>
      <c r="G136" s="2">
        <v>817.42</v>
      </c>
      <c r="H136" s="2">
        <v>817.42</v>
      </c>
      <c r="I136" s="2">
        <v>817.42</v>
      </c>
      <c r="J136" s="2" t="str">
        <f t="shared" si="4"/>
        <v>25-34</v>
      </c>
      <c r="K136" s="17" t="str">
        <f t="shared" si="5"/>
        <v>12-15</v>
      </c>
    </row>
    <row r="137" spans="1:11" x14ac:dyDescent="0.2">
      <c r="A137" s="4">
        <v>53</v>
      </c>
      <c r="B137" s="4">
        <v>15</v>
      </c>
      <c r="C137" t="s">
        <v>8</v>
      </c>
      <c r="D137" s="4">
        <v>0</v>
      </c>
      <c r="E137" s="3">
        <v>0.71298241277690999</v>
      </c>
      <c r="F137" s="4">
        <v>1</v>
      </c>
      <c r="G137" s="2">
        <v>891.91</v>
      </c>
      <c r="H137" s="2">
        <v>891.91</v>
      </c>
      <c r="I137" s="2">
        <v>891.91</v>
      </c>
      <c r="J137" s="2" t="str">
        <f t="shared" si="4"/>
        <v>45-54</v>
      </c>
      <c r="K137" s="17" t="str">
        <f t="shared" si="5"/>
        <v>12-15</v>
      </c>
    </row>
    <row r="138" spans="1:11" x14ac:dyDescent="0.2">
      <c r="A138" s="4">
        <v>25</v>
      </c>
      <c r="B138" s="4">
        <v>4</v>
      </c>
      <c r="C138" t="s">
        <v>16</v>
      </c>
      <c r="D138" s="4">
        <v>1</v>
      </c>
      <c r="E138" s="3">
        <v>0.90582513343542803</v>
      </c>
      <c r="F138" s="4">
        <v>1</v>
      </c>
      <c r="G138" s="2">
        <v>606.07000000000005</v>
      </c>
      <c r="H138" s="2">
        <v>606.07000000000005</v>
      </c>
      <c r="I138" s="2">
        <v>606.07000000000005</v>
      </c>
      <c r="J138" s="2" t="str">
        <f t="shared" si="4"/>
        <v>25-34</v>
      </c>
      <c r="K138" s="17" t="str">
        <f t="shared" si="5"/>
        <v>3-5</v>
      </c>
    </row>
    <row r="139" spans="1:11" x14ac:dyDescent="0.2">
      <c r="A139" s="4">
        <v>38</v>
      </c>
      <c r="B139" s="4">
        <v>14</v>
      </c>
      <c r="C139" t="s">
        <v>16</v>
      </c>
      <c r="D139" s="4">
        <v>0</v>
      </c>
      <c r="E139" s="3">
        <v>0.99702549260109696</v>
      </c>
      <c r="F139" s="4">
        <v>1</v>
      </c>
      <c r="G139" s="2">
        <v>485.97</v>
      </c>
      <c r="H139" s="2">
        <v>485.97</v>
      </c>
      <c r="I139" s="2">
        <v>485.97</v>
      </c>
      <c r="J139" s="2" t="str">
        <f t="shared" si="4"/>
        <v>35-44</v>
      </c>
      <c r="K139" s="17" t="str">
        <f t="shared" si="5"/>
        <v>12-15</v>
      </c>
    </row>
    <row r="140" spans="1:11" x14ac:dyDescent="0.2">
      <c r="A140" s="4">
        <v>80</v>
      </c>
      <c r="B140" s="4">
        <v>2</v>
      </c>
      <c r="C140" t="s">
        <v>16</v>
      </c>
      <c r="D140" s="4">
        <v>0</v>
      </c>
      <c r="E140" s="3">
        <v>0.91372956719715104</v>
      </c>
      <c r="F140" s="4">
        <v>3</v>
      </c>
      <c r="G140" s="2">
        <v>570.07000000000005</v>
      </c>
      <c r="H140" s="2">
        <v>190.02</v>
      </c>
      <c r="I140" s="2">
        <v>570.07000000000005</v>
      </c>
      <c r="J140" s="2" t="str">
        <f t="shared" si="4"/>
        <v>75-90</v>
      </c>
      <c r="K140" s="17" t="str">
        <f t="shared" si="5"/>
        <v>0-2</v>
      </c>
    </row>
    <row r="141" spans="1:11" x14ac:dyDescent="0.2">
      <c r="A141" s="4">
        <v>69</v>
      </c>
      <c r="B141" s="4">
        <v>13</v>
      </c>
      <c r="C141" t="s">
        <v>8</v>
      </c>
      <c r="D141" s="4">
        <v>0</v>
      </c>
      <c r="E141" s="3">
        <v>0.820300590596162</v>
      </c>
      <c r="F141" s="4">
        <v>1</v>
      </c>
      <c r="G141" s="2">
        <v>985.35</v>
      </c>
      <c r="H141" s="2">
        <v>985.35</v>
      </c>
      <c r="I141" s="2">
        <v>985.35</v>
      </c>
      <c r="J141" s="2" t="str">
        <f t="shared" si="4"/>
        <v>65-74</v>
      </c>
      <c r="K141" s="17" t="str">
        <f t="shared" si="5"/>
        <v>12-15</v>
      </c>
    </row>
    <row r="142" spans="1:11" x14ac:dyDescent="0.2">
      <c r="A142" s="4">
        <v>29</v>
      </c>
      <c r="B142" s="4">
        <v>0</v>
      </c>
      <c r="C142" t="s">
        <v>8</v>
      </c>
      <c r="D142" s="4">
        <v>1</v>
      </c>
      <c r="E142" s="3">
        <v>0.94103759888093896</v>
      </c>
      <c r="F142" s="4">
        <v>1</v>
      </c>
      <c r="G142" s="2">
        <v>424.78</v>
      </c>
      <c r="H142" s="2">
        <v>424.78</v>
      </c>
      <c r="I142" s="2">
        <v>424.78</v>
      </c>
      <c r="J142" s="2" t="str">
        <f t="shared" si="4"/>
        <v>25-34</v>
      </c>
      <c r="K142" s="17" t="str">
        <f t="shared" si="5"/>
        <v>0-2</v>
      </c>
    </row>
    <row r="143" spans="1:11" x14ac:dyDescent="0.2">
      <c r="A143" s="4">
        <v>43</v>
      </c>
      <c r="B143" s="4">
        <v>5</v>
      </c>
      <c r="C143" t="s">
        <v>8</v>
      </c>
      <c r="D143" s="4">
        <v>0</v>
      </c>
      <c r="E143" s="3">
        <v>0.92126999795436904</v>
      </c>
      <c r="F143" s="4">
        <v>1</v>
      </c>
      <c r="G143" s="2">
        <v>845.83</v>
      </c>
      <c r="H143" s="2">
        <v>845.83</v>
      </c>
      <c r="I143" s="2">
        <v>845.83</v>
      </c>
      <c r="J143" s="2" t="str">
        <f t="shared" si="4"/>
        <v>35-44</v>
      </c>
      <c r="K143" s="17" t="str">
        <f t="shared" si="5"/>
        <v>3-5</v>
      </c>
    </row>
    <row r="144" spans="1:11" x14ac:dyDescent="0.2">
      <c r="A144" s="4">
        <v>82</v>
      </c>
      <c r="B144" s="4">
        <v>9</v>
      </c>
      <c r="C144" t="s">
        <v>8</v>
      </c>
      <c r="D144" s="4">
        <v>0</v>
      </c>
      <c r="E144" s="3">
        <v>0.64206686185207196</v>
      </c>
      <c r="F144" s="4">
        <v>1</v>
      </c>
      <c r="G144" s="2">
        <v>1209.6400000000001</v>
      </c>
      <c r="H144" s="2">
        <v>1209.6400000000001</v>
      </c>
      <c r="I144" s="2">
        <v>1209.6400000000001</v>
      </c>
      <c r="J144" s="2" t="str">
        <f t="shared" si="4"/>
        <v>75-90</v>
      </c>
      <c r="K144" s="17" t="str">
        <f t="shared" si="5"/>
        <v>9-11</v>
      </c>
    </row>
    <row r="145" spans="1:11" x14ac:dyDescent="0.2">
      <c r="A145" s="4">
        <v>88</v>
      </c>
      <c r="B145" s="4">
        <v>14</v>
      </c>
      <c r="C145" t="s">
        <v>16</v>
      </c>
      <c r="D145" s="4">
        <v>0</v>
      </c>
      <c r="E145" s="3">
        <v>0.63088685704860803</v>
      </c>
      <c r="F145" s="4">
        <v>1</v>
      </c>
      <c r="G145" s="2">
        <v>2188.87</v>
      </c>
      <c r="H145" s="2">
        <v>2188.87</v>
      </c>
      <c r="I145" s="2">
        <v>2188.87</v>
      </c>
      <c r="J145" s="2" t="str">
        <f t="shared" si="4"/>
        <v>75-90</v>
      </c>
      <c r="K145" s="17" t="str">
        <f t="shared" si="5"/>
        <v>12-15</v>
      </c>
    </row>
    <row r="146" spans="1:11" x14ac:dyDescent="0.2">
      <c r="A146" s="4">
        <v>51</v>
      </c>
      <c r="B146" s="4">
        <v>13</v>
      </c>
      <c r="C146" t="s">
        <v>8</v>
      </c>
      <c r="D146" s="4">
        <v>2</v>
      </c>
      <c r="E146" s="3">
        <v>0.91058465791866205</v>
      </c>
      <c r="F146" s="4">
        <v>1</v>
      </c>
      <c r="G146" s="2">
        <v>907.36</v>
      </c>
      <c r="H146" s="2">
        <v>907.36</v>
      </c>
      <c r="I146" s="2">
        <v>907.36</v>
      </c>
      <c r="J146" s="2" t="str">
        <f t="shared" si="4"/>
        <v>45-54</v>
      </c>
      <c r="K146" s="17" t="str">
        <f t="shared" si="5"/>
        <v>12-15</v>
      </c>
    </row>
    <row r="147" spans="1:11" x14ac:dyDescent="0.2">
      <c r="A147" s="4">
        <v>37</v>
      </c>
      <c r="B147" s="4">
        <v>4</v>
      </c>
      <c r="C147" t="s">
        <v>8</v>
      </c>
      <c r="D147" s="4">
        <v>0</v>
      </c>
      <c r="E147" s="3">
        <v>0.64968882291577801</v>
      </c>
      <c r="F147" s="4">
        <v>1</v>
      </c>
      <c r="G147" s="2">
        <v>601.91999999999996</v>
      </c>
      <c r="H147" s="2">
        <v>601.91999999999996</v>
      </c>
      <c r="I147" s="2">
        <v>601.91999999999996</v>
      </c>
      <c r="J147" s="2" t="str">
        <f t="shared" si="4"/>
        <v>35-44</v>
      </c>
      <c r="K147" s="17" t="str">
        <f t="shared" si="5"/>
        <v>3-5</v>
      </c>
    </row>
    <row r="148" spans="1:11" x14ac:dyDescent="0.2">
      <c r="A148" s="4">
        <v>25</v>
      </c>
      <c r="B148" s="4">
        <v>11</v>
      </c>
      <c r="C148" t="s">
        <v>8</v>
      </c>
      <c r="D148" s="4">
        <v>0</v>
      </c>
      <c r="E148" s="3">
        <v>0.98453369038179495</v>
      </c>
      <c r="F148" s="4">
        <v>1</v>
      </c>
      <c r="G148" s="2">
        <v>574.03</v>
      </c>
      <c r="H148" s="2">
        <v>574.03</v>
      </c>
      <c r="I148" s="2">
        <v>574.03</v>
      </c>
      <c r="J148" s="2" t="str">
        <f t="shared" si="4"/>
        <v>25-34</v>
      </c>
      <c r="K148" s="17" t="str">
        <f t="shared" si="5"/>
        <v>9-11</v>
      </c>
    </row>
    <row r="149" spans="1:11" x14ac:dyDescent="0.2">
      <c r="A149" s="4">
        <v>66</v>
      </c>
      <c r="B149" s="4">
        <v>12</v>
      </c>
      <c r="C149" t="s">
        <v>16</v>
      </c>
      <c r="D149" s="4">
        <v>0</v>
      </c>
      <c r="E149" s="3">
        <v>0.78620162676088501</v>
      </c>
      <c r="F149" s="4">
        <v>2</v>
      </c>
      <c r="G149" s="2">
        <v>775.72</v>
      </c>
      <c r="H149" s="2">
        <v>387.86</v>
      </c>
      <c r="I149" s="2">
        <v>775.72</v>
      </c>
      <c r="J149" s="2" t="str">
        <f t="shared" si="4"/>
        <v>65-74</v>
      </c>
      <c r="K149" s="17" t="str">
        <f t="shared" si="5"/>
        <v>12-15</v>
      </c>
    </row>
    <row r="150" spans="1:11" x14ac:dyDescent="0.2">
      <c r="A150" s="4">
        <v>34</v>
      </c>
      <c r="B150" s="4">
        <v>6</v>
      </c>
      <c r="C150" t="s">
        <v>8</v>
      </c>
      <c r="D150" s="4">
        <v>0</v>
      </c>
      <c r="E150" s="3">
        <v>0.80121826496906601</v>
      </c>
      <c r="F150" s="4">
        <v>2</v>
      </c>
      <c r="G150" s="2">
        <v>461.1</v>
      </c>
      <c r="H150" s="2">
        <v>230.55</v>
      </c>
      <c r="I150" s="2">
        <v>461.1</v>
      </c>
      <c r="J150" s="2" t="str">
        <f t="shared" si="4"/>
        <v>25-34</v>
      </c>
      <c r="K150" s="17" t="str">
        <f t="shared" si="5"/>
        <v>6-8</v>
      </c>
    </row>
    <row r="151" spans="1:11" x14ac:dyDescent="0.2">
      <c r="A151" s="4">
        <v>68</v>
      </c>
      <c r="B151" s="4">
        <v>13</v>
      </c>
      <c r="C151" t="s">
        <v>8</v>
      </c>
      <c r="D151" s="4">
        <v>2</v>
      </c>
      <c r="E151" s="3">
        <v>0.95169593440368805</v>
      </c>
      <c r="F151" s="4">
        <v>3</v>
      </c>
      <c r="G151" s="2">
        <v>1837.78</v>
      </c>
      <c r="H151" s="2">
        <v>612.59</v>
      </c>
      <c r="I151" s="2">
        <v>1837.78</v>
      </c>
      <c r="J151" s="2" t="str">
        <f t="shared" si="4"/>
        <v>65-74</v>
      </c>
      <c r="K151" s="17" t="str">
        <f t="shared" si="5"/>
        <v>12-15</v>
      </c>
    </row>
    <row r="152" spans="1:11" x14ac:dyDescent="0.2">
      <c r="A152" s="4">
        <v>85</v>
      </c>
      <c r="B152" s="4">
        <v>6</v>
      </c>
      <c r="C152" t="s">
        <v>8</v>
      </c>
      <c r="D152" s="4">
        <v>1</v>
      </c>
      <c r="E152" s="3">
        <v>0.71212846157140997</v>
      </c>
      <c r="F152" s="4">
        <v>1</v>
      </c>
      <c r="G152" s="2">
        <v>2328.21</v>
      </c>
      <c r="H152" s="2">
        <v>2328.21</v>
      </c>
      <c r="I152" s="2">
        <v>2328.21</v>
      </c>
      <c r="J152" s="2" t="str">
        <f t="shared" si="4"/>
        <v>75-90</v>
      </c>
      <c r="K152" s="17" t="str">
        <f t="shared" si="5"/>
        <v>6-8</v>
      </c>
    </row>
    <row r="153" spans="1:11" x14ac:dyDescent="0.2">
      <c r="A153" s="4">
        <v>78</v>
      </c>
      <c r="B153" s="4">
        <v>10</v>
      </c>
      <c r="C153" t="s">
        <v>16</v>
      </c>
      <c r="D153" s="4">
        <v>0</v>
      </c>
      <c r="E153" s="3">
        <v>0.65929320815485004</v>
      </c>
      <c r="F153" s="4">
        <v>2</v>
      </c>
      <c r="G153" s="2">
        <v>1198.81</v>
      </c>
      <c r="H153" s="2">
        <v>599.41</v>
      </c>
      <c r="I153" s="2">
        <v>1198.81</v>
      </c>
      <c r="J153" s="2" t="str">
        <f t="shared" si="4"/>
        <v>75-90</v>
      </c>
      <c r="K153" s="17" t="str">
        <f t="shared" si="5"/>
        <v>9-11</v>
      </c>
    </row>
    <row r="154" spans="1:11" x14ac:dyDescent="0.2">
      <c r="A154" s="4">
        <v>23</v>
      </c>
      <c r="B154" s="4">
        <v>14</v>
      </c>
      <c r="C154" t="s">
        <v>10</v>
      </c>
      <c r="D154" s="4">
        <v>0</v>
      </c>
      <c r="E154" s="3">
        <v>0.85455438785720605</v>
      </c>
      <c r="F154" s="4">
        <v>1</v>
      </c>
      <c r="G154" s="2">
        <v>1545.69</v>
      </c>
      <c r="H154" s="2">
        <v>1545.69</v>
      </c>
      <c r="I154" s="2">
        <v>1545.69</v>
      </c>
      <c r="J154" s="2" t="str">
        <f t="shared" si="4"/>
        <v>18-24</v>
      </c>
      <c r="K154" s="17" t="str">
        <f t="shared" si="5"/>
        <v>12-15</v>
      </c>
    </row>
    <row r="155" spans="1:11" x14ac:dyDescent="0.2">
      <c r="A155" s="4">
        <v>89</v>
      </c>
      <c r="B155" s="4">
        <v>3</v>
      </c>
      <c r="C155" t="s">
        <v>10</v>
      </c>
      <c r="D155" s="4">
        <v>0</v>
      </c>
      <c r="E155" s="3">
        <v>0.84808780078310497</v>
      </c>
      <c r="F155" s="4">
        <v>1</v>
      </c>
      <c r="G155" s="2">
        <v>1214.78</v>
      </c>
      <c r="H155" s="2">
        <v>1214.78</v>
      </c>
      <c r="I155" s="2">
        <v>1214.78</v>
      </c>
      <c r="J155" s="2" t="str">
        <f t="shared" si="4"/>
        <v>75-90</v>
      </c>
      <c r="K155" s="17" t="str">
        <f t="shared" si="5"/>
        <v>3-5</v>
      </c>
    </row>
    <row r="156" spans="1:11" x14ac:dyDescent="0.2">
      <c r="A156" s="4">
        <v>75</v>
      </c>
      <c r="B156" s="4">
        <v>9</v>
      </c>
      <c r="C156" t="s">
        <v>8</v>
      </c>
      <c r="D156" s="4">
        <v>0</v>
      </c>
      <c r="E156" s="3">
        <v>0.55675467685796298</v>
      </c>
      <c r="F156" s="4">
        <v>1</v>
      </c>
      <c r="G156" s="2">
        <v>656.91</v>
      </c>
      <c r="H156" s="2">
        <v>656.91</v>
      </c>
      <c r="I156" s="2">
        <v>656.91</v>
      </c>
      <c r="J156" s="2" t="str">
        <f t="shared" si="4"/>
        <v>75-90</v>
      </c>
      <c r="K156" s="17" t="str">
        <f t="shared" si="5"/>
        <v>9-11</v>
      </c>
    </row>
    <row r="157" spans="1:11" x14ac:dyDescent="0.2">
      <c r="A157" s="4">
        <v>24</v>
      </c>
      <c r="B157" s="4">
        <v>4</v>
      </c>
      <c r="C157" t="s">
        <v>8</v>
      </c>
      <c r="D157" s="4">
        <v>0</v>
      </c>
      <c r="E157" s="3">
        <v>0.55846472084522203</v>
      </c>
      <c r="F157" s="4">
        <v>1</v>
      </c>
      <c r="G157" s="2">
        <v>268.64999999999998</v>
      </c>
      <c r="H157" s="2">
        <v>268.64999999999998</v>
      </c>
      <c r="I157" s="2">
        <v>268.64999999999998</v>
      </c>
      <c r="J157" s="2" t="str">
        <f t="shared" si="4"/>
        <v>18-24</v>
      </c>
      <c r="K157" s="17" t="str">
        <f t="shared" si="5"/>
        <v>3-5</v>
      </c>
    </row>
    <row r="158" spans="1:11" x14ac:dyDescent="0.2">
      <c r="A158" s="4">
        <v>31</v>
      </c>
      <c r="B158" s="4">
        <v>10</v>
      </c>
      <c r="C158" t="s">
        <v>10</v>
      </c>
      <c r="D158" s="4">
        <v>0</v>
      </c>
      <c r="E158" s="3">
        <v>0.81785217439755797</v>
      </c>
      <c r="F158" s="4">
        <v>1</v>
      </c>
      <c r="G158" s="2">
        <v>527.57000000000005</v>
      </c>
      <c r="H158" s="2">
        <v>527.57000000000005</v>
      </c>
      <c r="I158" s="2">
        <v>527.57000000000005</v>
      </c>
      <c r="J158" s="2" t="str">
        <f t="shared" si="4"/>
        <v>25-34</v>
      </c>
      <c r="K158" s="17" t="str">
        <f t="shared" si="5"/>
        <v>9-11</v>
      </c>
    </row>
    <row r="159" spans="1:11" x14ac:dyDescent="0.2">
      <c r="A159" s="4">
        <v>57</v>
      </c>
      <c r="B159" s="4">
        <v>15</v>
      </c>
      <c r="C159" t="s">
        <v>8</v>
      </c>
      <c r="D159" s="4">
        <v>0</v>
      </c>
      <c r="E159" s="3">
        <v>0.90058636944741</v>
      </c>
      <c r="F159" s="4">
        <v>1</v>
      </c>
      <c r="G159" s="2">
        <v>1611.29</v>
      </c>
      <c r="H159" s="2">
        <v>1611.29</v>
      </c>
      <c r="I159" s="2">
        <v>1611.29</v>
      </c>
      <c r="J159" s="2" t="str">
        <f t="shared" si="4"/>
        <v>55-64</v>
      </c>
      <c r="K159" s="17" t="str">
        <f t="shared" si="5"/>
        <v>12-15</v>
      </c>
    </row>
    <row r="160" spans="1:11" x14ac:dyDescent="0.2">
      <c r="A160" s="4">
        <v>51</v>
      </c>
      <c r="B160" s="4">
        <v>8</v>
      </c>
      <c r="C160" t="s">
        <v>10</v>
      </c>
      <c r="D160" s="4">
        <v>1</v>
      </c>
      <c r="E160" s="3">
        <v>0.66433537681586996</v>
      </c>
      <c r="F160" s="4">
        <v>1</v>
      </c>
      <c r="G160" s="2">
        <v>2172.44</v>
      </c>
      <c r="H160" s="2">
        <v>2172.44</v>
      </c>
      <c r="I160" s="2">
        <v>2172.44</v>
      </c>
      <c r="J160" s="2" t="str">
        <f t="shared" si="4"/>
        <v>45-54</v>
      </c>
      <c r="K160" s="17" t="str">
        <f t="shared" si="5"/>
        <v>6-8</v>
      </c>
    </row>
    <row r="161" spans="1:11" x14ac:dyDescent="0.2">
      <c r="A161" s="4">
        <v>46</v>
      </c>
      <c r="B161" s="4">
        <v>11</v>
      </c>
      <c r="C161" t="s">
        <v>16</v>
      </c>
      <c r="D161" s="4">
        <v>1</v>
      </c>
      <c r="E161" s="3">
        <v>0.85424982802942395</v>
      </c>
      <c r="F161" s="4">
        <v>1</v>
      </c>
      <c r="G161" s="2">
        <v>1237.8</v>
      </c>
      <c r="H161" s="2">
        <v>1237.8</v>
      </c>
      <c r="I161" s="2">
        <v>1237.8</v>
      </c>
      <c r="J161" s="2" t="str">
        <f t="shared" si="4"/>
        <v>45-54</v>
      </c>
      <c r="K161" s="17" t="str">
        <f t="shared" si="5"/>
        <v>9-11</v>
      </c>
    </row>
    <row r="162" spans="1:11" x14ac:dyDescent="0.2">
      <c r="A162" s="4">
        <v>71</v>
      </c>
      <c r="B162" s="4">
        <v>14</v>
      </c>
      <c r="C162" t="s">
        <v>10</v>
      </c>
      <c r="D162" s="4">
        <v>0</v>
      </c>
      <c r="E162" s="3">
        <v>0.64560385362710804</v>
      </c>
      <c r="F162" s="4">
        <v>4</v>
      </c>
      <c r="G162" s="2">
        <v>1873.1</v>
      </c>
      <c r="H162" s="2">
        <v>468.28</v>
      </c>
      <c r="I162" s="2">
        <v>1873.1</v>
      </c>
      <c r="J162" s="2" t="str">
        <f t="shared" si="4"/>
        <v>65-74</v>
      </c>
      <c r="K162" s="17" t="str">
        <f t="shared" si="5"/>
        <v>12-15</v>
      </c>
    </row>
    <row r="163" spans="1:11" x14ac:dyDescent="0.2">
      <c r="A163" s="4">
        <v>51</v>
      </c>
      <c r="B163" s="4">
        <v>11</v>
      </c>
      <c r="C163" t="s">
        <v>8</v>
      </c>
      <c r="D163" s="4">
        <v>0</v>
      </c>
      <c r="E163" s="3">
        <v>0.68718456476926804</v>
      </c>
      <c r="F163" s="4">
        <v>1</v>
      </c>
      <c r="G163" s="2">
        <v>1470.32</v>
      </c>
      <c r="H163" s="2">
        <v>1470.32</v>
      </c>
      <c r="I163" s="2">
        <v>1470.32</v>
      </c>
      <c r="J163" s="2" t="str">
        <f t="shared" si="4"/>
        <v>45-54</v>
      </c>
      <c r="K163" s="17" t="str">
        <f t="shared" si="5"/>
        <v>9-11</v>
      </c>
    </row>
    <row r="164" spans="1:11" x14ac:dyDescent="0.2">
      <c r="A164" s="4">
        <v>73</v>
      </c>
      <c r="B164" s="4">
        <v>14</v>
      </c>
      <c r="C164" t="s">
        <v>8</v>
      </c>
      <c r="D164" s="4">
        <v>0</v>
      </c>
      <c r="E164" s="3">
        <v>0.51063093647826496</v>
      </c>
      <c r="F164" s="4">
        <v>1</v>
      </c>
      <c r="G164" s="2">
        <v>434.62</v>
      </c>
      <c r="H164" s="2">
        <v>434.62</v>
      </c>
      <c r="I164" s="2">
        <v>434.62</v>
      </c>
      <c r="J164" s="2" t="str">
        <f t="shared" si="4"/>
        <v>65-74</v>
      </c>
      <c r="K164" s="17" t="str">
        <f t="shared" si="5"/>
        <v>12-15</v>
      </c>
    </row>
    <row r="165" spans="1:11" x14ac:dyDescent="0.2">
      <c r="A165" s="4">
        <v>23</v>
      </c>
      <c r="B165" s="4">
        <v>0</v>
      </c>
      <c r="C165" t="s">
        <v>16</v>
      </c>
      <c r="D165" s="4">
        <v>0</v>
      </c>
      <c r="E165" s="3">
        <v>0.97768985934089903</v>
      </c>
      <c r="F165" s="4">
        <v>1</v>
      </c>
      <c r="G165" s="2">
        <v>293.5</v>
      </c>
      <c r="H165" s="2">
        <v>293.5</v>
      </c>
      <c r="I165" s="2">
        <v>293.5</v>
      </c>
      <c r="J165" s="2" t="str">
        <f t="shared" si="4"/>
        <v>18-24</v>
      </c>
      <c r="K165" s="17" t="str">
        <f t="shared" si="5"/>
        <v>0-2</v>
      </c>
    </row>
    <row r="166" spans="1:11" x14ac:dyDescent="0.2">
      <c r="A166" s="4">
        <v>77</v>
      </c>
      <c r="B166" s="4">
        <v>8</v>
      </c>
      <c r="C166" t="s">
        <v>16</v>
      </c>
      <c r="D166" s="4">
        <v>1</v>
      </c>
      <c r="E166" s="3">
        <v>0.51511269283946604</v>
      </c>
      <c r="F166" s="4">
        <v>1</v>
      </c>
      <c r="G166" s="2">
        <v>1579.16</v>
      </c>
      <c r="H166" s="2">
        <v>1579.16</v>
      </c>
      <c r="I166" s="2">
        <v>1579.16</v>
      </c>
      <c r="J166" s="2" t="str">
        <f t="shared" si="4"/>
        <v>75-90</v>
      </c>
      <c r="K166" s="17" t="str">
        <f t="shared" si="5"/>
        <v>6-8</v>
      </c>
    </row>
    <row r="167" spans="1:11" x14ac:dyDescent="0.2">
      <c r="A167" s="4">
        <v>44</v>
      </c>
      <c r="B167" s="4">
        <v>7</v>
      </c>
      <c r="C167" t="s">
        <v>8</v>
      </c>
      <c r="D167" s="4">
        <v>1</v>
      </c>
      <c r="E167" s="3">
        <v>0.51482073543593299</v>
      </c>
      <c r="F167" s="4">
        <v>1</v>
      </c>
      <c r="G167" s="2">
        <v>786.4</v>
      </c>
      <c r="H167" s="2">
        <v>786.4</v>
      </c>
      <c r="I167" s="2">
        <v>786.4</v>
      </c>
      <c r="J167" s="2" t="str">
        <f t="shared" si="4"/>
        <v>35-44</v>
      </c>
      <c r="K167" s="17" t="str">
        <f t="shared" si="5"/>
        <v>6-8</v>
      </c>
    </row>
    <row r="168" spans="1:11" x14ac:dyDescent="0.2">
      <c r="A168" s="4">
        <v>67</v>
      </c>
      <c r="B168" s="4">
        <v>13</v>
      </c>
      <c r="C168" t="s">
        <v>16</v>
      </c>
      <c r="D168" s="4">
        <v>0</v>
      </c>
      <c r="E168" s="3">
        <v>0.95681243180297304</v>
      </c>
      <c r="F168" s="4">
        <v>1</v>
      </c>
      <c r="G168" s="2">
        <v>5102.46</v>
      </c>
      <c r="H168" s="2">
        <v>5102.46</v>
      </c>
      <c r="I168" s="2">
        <v>5102.46</v>
      </c>
      <c r="J168" s="2" t="str">
        <f t="shared" si="4"/>
        <v>65-74</v>
      </c>
      <c r="K168" s="17" t="str">
        <f t="shared" si="5"/>
        <v>12-15</v>
      </c>
    </row>
    <row r="169" spans="1:11" x14ac:dyDescent="0.2">
      <c r="A169" s="4">
        <v>83</v>
      </c>
      <c r="B169" s="4">
        <v>6</v>
      </c>
      <c r="C169" t="s">
        <v>16</v>
      </c>
      <c r="D169" s="4">
        <v>2</v>
      </c>
      <c r="E169" s="3">
        <v>0.94333879579789903</v>
      </c>
      <c r="F169" s="4">
        <v>1</v>
      </c>
      <c r="G169" s="2">
        <v>1449.8</v>
      </c>
      <c r="H169" s="2">
        <v>1449.8</v>
      </c>
      <c r="I169" s="2">
        <v>1449.8</v>
      </c>
      <c r="J169" s="2" t="str">
        <f t="shared" si="4"/>
        <v>75-90</v>
      </c>
      <c r="K169" s="17" t="str">
        <f t="shared" si="5"/>
        <v>6-8</v>
      </c>
    </row>
    <row r="170" spans="1:11" x14ac:dyDescent="0.2">
      <c r="A170" s="4">
        <v>86</v>
      </c>
      <c r="B170" s="4">
        <v>10</v>
      </c>
      <c r="C170" t="s">
        <v>10</v>
      </c>
      <c r="D170" s="4">
        <v>2</v>
      </c>
      <c r="E170" s="3">
        <v>0.815796413342468</v>
      </c>
      <c r="F170" s="4">
        <v>2</v>
      </c>
      <c r="G170" s="2">
        <v>4443.83</v>
      </c>
      <c r="H170" s="2">
        <v>2221.91</v>
      </c>
      <c r="I170" s="2">
        <v>4443.83</v>
      </c>
      <c r="J170" s="2" t="str">
        <f t="shared" si="4"/>
        <v>75-90</v>
      </c>
      <c r="K170" s="17" t="str">
        <f t="shared" si="5"/>
        <v>9-11</v>
      </c>
    </row>
    <row r="171" spans="1:11" x14ac:dyDescent="0.2">
      <c r="A171" s="4">
        <v>50</v>
      </c>
      <c r="B171" s="4">
        <v>9</v>
      </c>
      <c r="C171" t="s">
        <v>16</v>
      </c>
      <c r="D171" s="4">
        <v>0</v>
      </c>
      <c r="E171" s="3">
        <v>0.73751410108525295</v>
      </c>
      <c r="F171" s="4">
        <v>1</v>
      </c>
      <c r="G171" s="2">
        <v>891.15</v>
      </c>
      <c r="H171" s="2">
        <v>891.15</v>
      </c>
      <c r="I171" s="2">
        <v>891.15</v>
      </c>
      <c r="J171" s="2" t="str">
        <f t="shared" si="4"/>
        <v>45-54</v>
      </c>
      <c r="K171" s="17" t="str">
        <f t="shared" si="5"/>
        <v>9-11</v>
      </c>
    </row>
    <row r="172" spans="1:11" x14ac:dyDescent="0.2">
      <c r="A172" s="4">
        <v>77</v>
      </c>
      <c r="B172" s="4">
        <v>14</v>
      </c>
      <c r="C172" t="s">
        <v>8</v>
      </c>
      <c r="D172" s="4">
        <v>1</v>
      </c>
      <c r="E172" s="3">
        <v>0.65740710706450001</v>
      </c>
      <c r="F172" s="4">
        <v>2</v>
      </c>
      <c r="G172" s="2">
        <v>1999.09</v>
      </c>
      <c r="H172" s="2">
        <v>999.54</v>
      </c>
      <c r="I172" s="2">
        <v>1999.09</v>
      </c>
      <c r="J172" s="2" t="str">
        <f t="shared" si="4"/>
        <v>75-90</v>
      </c>
      <c r="K172" s="17" t="str">
        <f t="shared" si="5"/>
        <v>12-15</v>
      </c>
    </row>
    <row r="173" spans="1:11" x14ac:dyDescent="0.2">
      <c r="A173" s="4">
        <v>71</v>
      </c>
      <c r="B173" s="4">
        <v>14</v>
      </c>
      <c r="C173" t="s">
        <v>16</v>
      </c>
      <c r="D173" s="4">
        <v>0</v>
      </c>
      <c r="E173" s="3">
        <v>0.73991507105529297</v>
      </c>
      <c r="F173" s="4">
        <v>2</v>
      </c>
      <c r="G173" s="2">
        <v>1288.55</v>
      </c>
      <c r="H173" s="2">
        <v>644.27</v>
      </c>
      <c r="I173" s="2">
        <v>1288.55</v>
      </c>
      <c r="J173" s="2" t="str">
        <f t="shared" si="4"/>
        <v>65-74</v>
      </c>
      <c r="K173" s="17" t="str">
        <f t="shared" si="5"/>
        <v>12-15</v>
      </c>
    </row>
    <row r="174" spans="1:11" x14ac:dyDescent="0.2">
      <c r="A174" s="4">
        <v>38</v>
      </c>
      <c r="B174" s="4">
        <v>10</v>
      </c>
      <c r="C174" t="s">
        <v>8</v>
      </c>
      <c r="D174" s="4">
        <v>0</v>
      </c>
      <c r="E174" s="3">
        <v>0.74476612103171602</v>
      </c>
      <c r="F174" s="4">
        <v>1</v>
      </c>
      <c r="G174" s="2">
        <v>251.16</v>
      </c>
      <c r="H174" s="2">
        <v>251.16</v>
      </c>
      <c r="I174" s="2">
        <v>251.16</v>
      </c>
      <c r="J174" s="2" t="str">
        <f t="shared" si="4"/>
        <v>35-44</v>
      </c>
      <c r="K174" s="17" t="str">
        <f t="shared" si="5"/>
        <v>9-11</v>
      </c>
    </row>
    <row r="175" spans="1:11" x14ac:dyDescent="0.2">
      <c r="A175" s="4">
        <v>24</v>
      </c>
      <c r="B175" s="4">
        <v>11</v>
      </c>
      <c r="C175" t="s">
        <v>16</v>
      </c>
      <c r="D175" s="4">
        <v>0</v>
      </c>
      <c r="E175" s="3">
        <v>0.96767770103178896</v>
      </c>
      <c r="F175" s="4">
        <v>2</v>
      </c>
      <c r="G175" s="2">
        <v>781.69</v>
      </c>
      <c r="H175" s="2">
        <v>390.85</v>
      </c>
      <c r="I175" s="2">
        <v>781.69</v>
      </c>
      <c r="J175" s="2" t="str">
        <f t="shared" si="4"/>
        <v>18-24</v>
      </c>
      <c r="K175" s="17" t="str">
        <f t="shared" si="5"/>
        <v>9-11</v>
      </c>
    </row>
    <row r="176" spans="1:11" x14ac:dyDescent="0.2">
      <c r="A176" s="4">
        <v>80</v>
      </c>
      <c r="B176" s="4">
        <v>2</v>
      </c>
      <c r="C176" t="s">
        <v>16</v>
      </c>
      <c r="D176" s="4">
        <v>3</v>
      </c>
      <c r="E176" s="3">
        <v>0.80727581505197998</v>
      </c>
      <c r="F176" s="4">
        <v>3</v>
      </c>
      <c r="G176" s="2">
        <v>3984.81</v>
      </c>
      <c r="H176" s="2">
        <v>1328.27</v>
      </c>
      <c r="I176" s="2">
        <v>3984.81</v>
      </c>
      <c r="J176" s="2" t="str">
        <f t="shared" si="4"/>
        <v>75-90</v>
      </c>
      <c r="K176" s="17" t="str">
        <f t="shared" si="5"/>
        <v>0-2</v>
      </c>
    </row>
    <row r="177" spans="1:11" x14ac:dyDescent="0.2">
      <c r="A177" s="4">
        <v>76</v>
      </c>
      <c r="B177" s="4">
        <v>5</v>
      </c>
      <c r="C177" t="s">
        <v>8</v>
      </c>
      <c r="D177" s="4">
        <v>0</v>
      </c>
      <c r="E177" s="3">
        <v>0.67078780545853101</v>
      </c>
      <c r="F177" s="4">
        <v>1</v>
      </c>
      <c r="G177" s="2">
        <v>548.77</v>
      </c>
      <c r="H177" s="2">
        <v>548.77</v>
      </c>
      <c r="I177" s="2">
        <v>548.77</v>
      </c>
      <c r="J177" s="2" t="str">
        <f t="shared" si="4"/>
        <v>75-90</v>
      </c>
      <c r="K177" s="17" t="str">
        <f t="shared" si="5"/>
        <v>3-5</v>
      </c>
    </row>
    <row r="178" spans="1:11" x14ac:dyDescent="0.2">
      <c r="A178" s="4">
        <v>60</v>
      </c>
      <c r="B178" s="4">
        <v>3</v>
      </c>
      <c r="C178" t="s">
        <v>8</v>
      </c>
      <c r="D178" s="4">
        <v>1</v>
      </c>
      <c r="E178" s="3">
        <v>0.79682715784292701</v>
      </c>
      <c r="F178" s="4">
        <v>1</v>
      </c>
      <c r="G178" s="2">
        <v>2393.17</v>
      </c>
      <c r="H178" s="2">
        <v>2393.17</v>
      </c>
      <c r="I178" s="2">
        <v>2393.17</v>
      </c>
      <c r="J178" s="2" t="str">
        <f t="shared" si="4"/>
        <v>55-64</v>
      </c>
      <c r="K178" s="17" t="str">
        <f t="shared" si="5"/>
        <v>3-5</v>
      </c>
    </row>
    <row r="179" spans="1:11" x14ac:dyDescent="0.2">
      <c r="A179" s="4">
        <v>56</v>
      </c>
      <c r="B179" s="4">
        <v>13</v>
      </c>
      <c r="C179" t="s">
        <v>16</v>
      </c>
      <c r="D179" s="4">
        <v>0</v>
      </c>
      <c r="E179" s="3">
        <v>0.57012449647299901</v>
      </c>
      <c r="F179" s="4">
        <v>1</v>
      </c>
      <c r="G179" s="2">
        <v>807.66</v>
      </c>
      <c r="H179" s="2">
        <v>807.66</v>
      </c>
      <c r="I179" s="2">
        <v>807.66</v>
      </c>
      <c r="J179" s="2" t="str">
        <f t="shared" si="4"/>
        <v>55-64</v>
      </c>
      <c r="K179" s="17" t="str">
        <f t="shared" si="5"/>
        <v>12-15</v>
      </c>
    </row>
    <row r="180" spans="1:11" x14ac:dyDescent="0.2">
      <c r="A180" s="4">
        <v>19</v>
      </c>
      <c r="B180" s="4">
        <v>5</v>
      </c>
      <c r="C180" t="s">
        <v>16</v>
      </c>
      <c r="D180" s="4">
        <v>0</v>
      </c>
      <c r="E180" s="3">
        <v>0.97472626483067903</v>
      </c>
      <c r="F180" s="4">
        <v>1</v>
      </c>
      <c r="G180" s="2">
        <v>223.53</v>
      </c>
      <c r="H180" s="2">
        <v>223.53</v>
      </c>
      <c r="I180" s="2">
        <v>223.53</v>
      </c>
      <c r="J180" s="2" t="str">
        <f t="shared" si="4"/>
        <v>18-24</v>
      </c>
      <c r="K180" s="17" t="str">
        <f t="shared" si="5"/>
        <v>3-5</v>
      </c>
    </row>
    <row r="181" spans="1:11" x14ac:dyDescent="0.2">
      <c r="A181" s="4">
        <v>85</v>
      </c>
      <c r="B181" s="4">
        <v>13</v>
      </c>
      <c r="C181" t="s">
        <v>16</v>
      </c>
      <c r="D181" s="4">
        <v>1</v>
      </c>
      <c r="E181" s="3">
        <v>0.89031740196514897</v>
      </c>
      <c r="F181" s="4">
        <v>3</v>
      </c>
      <c r="G181" s="2">
        <v>2501.79</v>
      </c>
      <c r="H181" s="2">
        <v>833.93</v>
      </c>
      <c r="I181" s="2">
        <v>2501.79</v>
      </c>
      <c r="J181" s="2" t="str">
        <f t="shared" si="4"/>
        <v>75-90</v>
      </c>
      <c r="K181" s="17" t="str">
        <f t="shared" si="5"/>
        <v>12-15</v>
      </c>
    </row>
    <row r="182" spans="1:11" x14ac:dyDescent="0.2">
      <c r="A182" s="4">
        <v>46</v>
      </c>
      <c r="B182" s="4">
        <v>6</v>
      </c>
      <c r="C182" t="s">
        <v>10</v>
      </c>
      <c r="D182" s="4">
        <v>0</v>
      </c>
      <c r="E182" s="3">
        <v>0.99855707120150305</v>
      </c>
      <c r="F182" s="4">
        <v>1</v>
      </c>
      <c r="G182" s="2">
        <v>891.81</v>
      </c>
      <c r="H182" s="2">
        <v>891.81</v>
      </c>
      <c r="I182" s="2">
        <v>891.81</v>
      </c>
      <c r="J182" s="2" t="str">
        <f t="shared" si="4"/>
        <v>45-54</v>
      </c>
      <c r="K182" s="17" t="str">
        <f t="shared" si="5"/>
        <v>6-8</v>
      </c>
    </row>
    <row r="183" spans="1:11" x14ac:dyDescent="0.2">
      <c r="A183" s="4">
        <v>76</v>
      </c>
      <c r="B183" s="4">
        <v>2</v>
      </c>
      <c r="C183" t="s">
        <v>8</v>
      </c>
      <c r="D183" s="4">
        <v>0</v>
      </c>
      <c r="E183" s="3">
        <v>0.72912481392268103</v>
      </c>
      <c r="F183" s="4">
        <v>1</v>
      </c>
      <c r="G183" s="2">
        <v>478.54</v>
      </c>
      <c r="H183" s="2">
        <v>478.54</v>
      </c>
      <c r="I183" s="2">
        <v>478.54</v>
      </c>
      <c r="J183" s="2" t="str">
        <f t="shared" si="4"/>
        <v>75-90</v>
      </c>
      <c r="K183" s="17" t="str">
        <f t="shared" si="5"/>
        <v>0-2</v>
      </c>
    </row>
    <row r="184" spans="1:11" x14ac:dyDescent="0.2">
      <c r="A184" s="4">
        <v>82</v>
      </c>
      <c r="B184" s="4">
        <v>10</v>
      </c>
      <c r="C184" t="s">
        <v>8</v>
      </c>
      <c r="D184" s="4">
        <v>0</v>
      </c>
      <c r="E184" s="3">
        <v>0.92772241414058998</v>
      </c>
      <c r="F184" s="4">
        <v>1</v>
      </c>
      <c r="G184" s="2">
        <v>720.6</v>
      </c>
      <c r="H184" s="2">
        <v>720.6</v>
      </c>
      <c r="I184" s="2">
        <v>720.6</v>
      </c>
      <c r="J184" s="2" t="str">
        <f t="shared" si="4"/>
        <v>75-90</v>
      </c>
      <c r="K184" s="17" t="str">
        <f t="shared" si="5"/>
        <v>9-11</v>
      </c>
    </row>
    <row r="185" spans="1:11" x14ac:dyDescent="0.2">
      <c r="A185" s="4">
        <v>60</v>
      </c>
      <c r="B185" s="4">
        <v>10</v>
      </c>
      <c r="C185" t="s">
        <v>16</v>
      </c>
      <c r="D185" s="4">
        <v>1</v>
      </c>
      <c r="E185" s="3">
        <v>0.85792603902518705</v>
      </c>
      <c r="F185" s="4">
        <v>1</v>
      </c>
      <c r="G185" s="2">
        <v>2269.6999999999998</v>
      </c>
      <c r="H185" s="2">
        <v>2269.6999999999998</v>
      </c>
      <c r="I185" s="2">
        <v>2269.6999999999998</v>
      </c>
      <c r="J185" s="2" t="str">
        <f t="shared" si="4"/>
        <v>55-64</v>
      </c>
      <c r="K185" s="17" t="str">
        <f t="shared" si="5"/>
        <v>9-11</v>
      </c>
    </row>
    <row r="186" spans="1:11" x14ac:dyDescent="0.2">
      <c r="A186" s="4">
        <v>59</v>
      </c>
      <c r="B186" s="4">
        <v>8</v>
      </c>
      <c r="C186" t="s">
        <v>16</v>
      </c>
      <c r="D186" s="4">
        <v>0</v>
      </c>
      <c r="E186" s="3">
        <v>0.90478027227800295</v>
      </c>
      <c r="F186" s="4">
        <v>2</v>
      </c>
      <c r="G186" s="2">
        <v>1060.6500000000001</v>
      </c>
      <c r="H186" s="2">
        <v>530.32000000000005</v>
      </c>
      <c r="I186" s="2">
        <v>1060.6500000000001</v>
      </c>
      <c r="J186" s="2" t="str">
        <f t="shared" si="4"/>
        <v>55-64</v>
      </c>
      <c r="K186" s="17" t="str">
        <f t="shared" si="5"/>
        <v>6-8</v>
      </c>
    </row>
    <row r="187" spans="1:11" x14ac:dyDescent="0.2">
      <c r="A187" s="4">
        <v>53</v>
      </c>
      <c r="B187" s="4">
        <v>11</v>
      </c>
      <c r="C187" t="s">
        <v>8</v>
      </c>
      <c r="D187" s="4">
        <v>2</v>
      </c>
      <c r="E187" s="3">
        <v>0.90890787588432398</v>
      </c>
      <c r="F187" s="4">
        <v>1</v>
      </c>
      <c r="G187" s="2">
        <v>700.44</v>
      </c>
      <c r="H187" s="2">
        <v>700.44</v>
      </c>
      <c r="I187" s="2">
        <v>700.44</v>
      </c>
      <c r="J187" s="2" t="str">
        <f t="shared" si="4"/>
        <v>45-54</v>
      </c>
      <c r="K187" s="17" t="str">
        <f t="shared" si="5"/>
        <v>9-11</v>
      </c>
    </row>
    <row r="188" spans="1:11" x14ac:dyDescent="0.2">
      <c r="A188" s="4">
        <v>81</v>
      </c>
      <c r="B188" s="4">
        <v>12</v>
      </c>
      <c r="C188" t="s">
        <v>8</v>
      </c>
      <c r="D188" s="4">
        <v>0</v>
      </c>
      <c r="E188" s="3">
        <v>0.70919784170109801</v>
      </c>
      <c r="F188" s="4">
        <v>1</v>
      </c>
      <c r="G188" s="2">
        <v>1629.48</v>
      </c>
      <c r="H188" s="2">
        <v>1629.48</v>
      </c>
      <c r="I188" s="2">
        <v>1629.48</v>
      </c>
      <c r="J188" s="2" t="str">
        <f t="shared" si="4"/>
        <v>75-90</v>
      </c>
      <c r="K188" s="17" t="str">
        <f t="shared" si="5"/>
        <v>12-15</v>
      </c>
    </row>
    <row r="189" spans="1:11" x14ac:dyDescent="0.2">
      <c r="A189" s="4">
        <v>79</v>
      </c>
      <c r="B189" s="4">
        <v>8</v>
      </c>
      <c r="C189" t="s">
        <v>16</v>
      </c>
      <c r="D189" s="4">
        <v>1</v>
      </c>
      <c r="E189" s="3">
        <v>0.633555531734601</v>
      </c>
      <c r="F189" s="4">
        <v>2</v>
      </c>
      <c r="G189" s="2">
        <v>1268.28</v>
      </c>
      <c r="H189" s="2">
        <v>634.14</v>
      </c>
      <c r="I189" s="2">
        <v>1268.28</v>
      </c>
      <c r="J189" s="2" t="str">
        <f t="shared" si="4"/>
        <v>75-90</v>
      </c>
      <c r="K189" s="17" t="str">
        <f t="shared" si="5"/>
        <v>6-8</v>
      </c>
    </row>
    <row r="190" spans="1:11" x14ac:dyDescent="0.2">
      <c r="A190" s="4">
        <v>44</v>
      </c>
      <c r="B190" s="4">
        <v>11</v>
      </c>
      <c r="C190" t="s">
        <v>8</v>
      </c>
      <c r="D190" s="4">
        <v>0</v>
      </c>
      <c r="E190" s="3">
        <v>0.74311877309810404</v>
      </c>
      <c r="F190" s="4">
        <v>2</v>
      </c>
      <c r="G190" s="2">
        <v>874.3</v>
      </c>
      <c r="H190" s="2">
        <v>437.15</v>
      </c>
      <c r="I190" s="2">
        <v>874.3</v>
      </c>
      <c r="J190" s="2" t="str">
        <f t="shared" si="4"/>
        <v>35-44</v>
      </c>
      <c r="K190" s="17" t="str">
        <f t="shared" si="5"/>
        <v>9-11</v>
      </c>
    </row>
    <row r="191" spans="1:11" x14ac:dyDescent="0.2">
      <c r="A191" s="4">
        <v>22</v>
      </c>
      <c r="B191" s="4">
        <v>4</v>
      </c>
      <c r="C191" t="s">
        <v>8</v>
      </c>
      <c r="D191" s="4">
        <v>0</v>
      </c>
      <c r="E191" s="3">
        <v>0.73749001149553794</v>
      </c>
      <c r="F191" s="4">
        <v>1</v>
      </c>
      <c r="G191" s="2">
        <v>184.73</v>
      </c>
      <c r="H191" s="2">
        <v>184.73</v>
      </c>
      <c r="I191" s="2">
        <v>184.73</v>
      </c>
      <c r="J191" s="2" t="str">
        <f t="shared" si="4"/>
        <v>18-24</v>
      </c>
      <c r="K191" s="17" t="str">
        <f t="shared" si="5"/>
        <v>3-5</v>
      </c>
    </row>
    <row r="192" spans="1:11" x14ac:dyDescent="0.2">
      <c r="A192" s="4">
        <v>27</v>
      </c>
      <c r="B192" s="4">
        <v>7</v>
      </c>
      <c r="C192" t="s">
        <v>8</v>
      </c>
      <c r="D192" s="4">
        <v>0</v>
      </c>
      <c r="E192" s="3">
        <v>0.74192119645886101</v>
      </c>
      <c r="F192" s="4">
        <v>1</v>
      </c>
      <c r="G192" s="2">
        <v>273.42</v>
      </c>
      <c r="H192" s="2">
        <v>273.42</v>
      </c>
      <c r="I192" s="2">
        <v>273.42</v>
      </c>
      <c r="J192" s="2" t="str">
        <f t="shared" si="4"/>
        <v>25-34</v>
      </c>
      <c r="K192" s="17" t="str">
        <f t="shared" si="5"/>
        <v>6-8</v>
      </c>
    </row>
    <row r="193" spans="1:11" x14ac:dyDescent="0.2">
      <c r="A193" s="4">
        <v>24</v>
      </c>
      <c r="B193" s="4">
        <v>6</v>
      </c>
      <c r="C193" t="s">
        <v>10</v>
      </c>
      <c r="D193" s="4">
        <v>0</v>
      </c>
      <c r="E193" s="3">
        <v>0.85094006813596901</v>
      </c>
      <c r="F193" s="4">
        <v>1</v>
      </c>
      <c r="G193" s="2">
        <v>287.35000000000002</v>
      </c>
      <c r="H193" s="2">
        <v>287.35000000000002</v>
      </c>
      <c r="I193" s="2">
        <v>287.35000000000002</v>
      </c>
      <c r="J193" s="2" t="str">
        <f t="shared" si="4"/>
        <v>18-24</v>
      </c>
      <c r="K193" s="17" t="str">
        <f t="shared" si="5"/>
        <v>6-8</v>
      </c>
    </row>
    <row r="194" spans="1:11" x14ac:dyDescent="0.2">
      <c r="A194" s="4">
        <v>35</v>
      </c>
      <c r="B194" s="4">
        <v>9</v>
      </c>
      <c r="C194" t="s">
        <v>8</v>
      </c>
      <c r="D194" s="4">
        <v>1</v>
      </c>
      <c r="E194" s="3">
        <v>0.847106766072102</v>
      </c>
      <c r="F194" s="4">
        <v>1</v>
      </c>
      <c r="G194" s="2">
        <v>679.13</v>
      </c>
      <c r="H194" s="2">
        <v>679.13</v>
      </c>
      <c r="I194" s="2">
        <v>679.13</v>
      </c>
      <c r="J194" s="2" t="str">
        <f t="shared" ref="J194:J257" si="6" xml:space="preserve"> IF(A194&lt;25,"18-24",
 IF(A194&lt;35,"25-34",
 IF(A194&lt;45,"35-44",
 IF(A194&lt;55,"45-54", IF(A194&lt;65, "55-64", IF(A194&lt;75, "65-74", "75-90"))))))</f>
        <v>35-44</v>
      </c>
      <c r="K194" s="17" t="str">
        <f t="shared" ref="K194:K257" si="7" xml:space="preserve"> IF(B194 &lt; 3, "0-2", IF(B194 &lt; 6, "3-5", IF(B194 &lt; 9, "6-8", IF(B194 &lt; 12, "9-11", "12-15"))))</f>
        <v>9-11</v>
      </c>
    </row>
    <row r="195" spans="1:11" x14ac:dyDescent="0.2">
      <c r="A195" s="4">
        <v>76</v>
      </c>
      <c r="B195" s="4">
        <v>10</v>
      </c>
      <c r="C195" t="s">
        <v>8</v>
      </c>
      <c r="D195" s="4">
        <v>1</v>
      </c>
      <c r="E195" s="3">
        <v>0.73848077212460295</v>
      </c>
      <c r="F195" s="4">
        <v>4</v>
      </c>
      <c r="G195" s="2">
        <v>2053.36</v>
      </c>
      <c r="H195" s="2">
        <v>513.34</v>
      </c>
      <c r="I195" s="2">
        <v>2053.36</v>
      </c>
      <c r="J195" s="2" t="str">
        <f t="shared" si="6"/>
        <v>75-90</v>
      </c>
      <c r="K195" s="17" t="str">
        <f t="shared" si="7"/>
        <v>9-11</v>
      </c>
    </row>
    <row r="196" spans="1:11" x14ac:dyDescent="0.2">
      <c r="A196" s="4">
        <v>77</v>
      </c>
      <c r="B196" s="4">
        <v>12</v>
      </c>
      <c r="C196" t="s">
        <v>8</v>
      </c>
      <c r="D196" s="4">
        <v>0</v>
      </c>
      <c r="E196" s="3">
        <v>0.885539042763412</v>
      </c>
      <c r="F196" s="4">
        <v>1</v>
      </c>
      <c r="G196" s="2">
        <v>2285.27</v>
      </c>
      <c r="H196" s="2">
        <v>2285.27</v>
      </c>
      <c r="I196" s="2">
        <v>2285.27</v>
      </c>
      <c r="J196" s="2" t="str">
        <f t="shared" si="6"/>
        <v>75-90</v>
      </c>
      <c r="K196" s="17" t="str">
        <f t="shared" si="7"/>
        <v>12-15</v>
      </c>
    </row>
    <row r="197" spans="1:11" x14ac:dyDescent="0.2">
      <c r="A197" s="4">
        <v>25</v>
      </c>
      <c r="B197" s="4">
        <v>10</v>
      </c>
      <c r="C197" t="s">
        <v>16</v>
      </c>
      <c r="D197" s="4">
        <v>0</v>
      </c>
      <c r="E197" s="3">
        <v>0.78038117918185901</v>
      </c>
      <c r="F197" s="4">
        <v>1</v>
      </c>
      <c r="G197" s="2">
        <v>398.32</v>
      </c>
      <c r="H197" s="2">
        <v>398.32</v>
      </c>
      <c r="I197" s="2">
        <v>398.32</v>
      </c>
      <c r="J197" s="2" t="str">
        <f t="shared" si="6"/>
        <v>25-34</v>
      </c>
      <c r="K197" s="17" t="str">
        <f t="shared" si="7"/>
        <v>9-11</v>
      </c>
    </row>
    <row r="198" spans="1:11" x14ac:dyDescent="0.2">
      <c r="A198" s="4">
        <v>60</v>
      </c>
      <c r="B198" s="4">
        <v>12</v>
      </c>
      <c r="C198" t="s">
        <v>10</v>
      </c>
      <c r="D198" s="4">
        <v>0</v>
      </c>
      <c r="E198" s="3">
        <v>0.86576987069565803</v>
      </c>
      <c r="F198" s="4">
        <v>1</v>
      </c>
      <c r="G198" s="2">
        <v>1420.76</v>
      </c>
      <c r="H198" s="2">
        <v>1420.76</v>
      </c>
      <c r="I198" s="2">
        <v>1420.76</v>
      </c>
      <c r="J198" s="2" t="str">
        <f t="shared" si="6"/>
        <v>55-64</v>
      </c>
      <c r="K198" s="17" t="str">
        <f t="shared" si="7"/>
        <v>12-15</v>
      </c>
    </row>
    <row r="199" spans="1:11" x14ac:dyDescent="0.2">
      <c r="A199" s="4">
        <v>74</v>
      </c>
      <c r="B199" s="4">
        <v>13</v>
      </c>
      <c r="C199" t="s">
        <v>16</v>
      </c>
      <c r="D199" s="4">
        <v>0</v>
      </c>
      <c r="E199" s="3">
        <v>0.87003449560143098</v>
      </c>
      <c r="F199" s="4">
        <v>1</v>
      </c>
      <c r="G199" s="2">
        <v>892.41</v>
      </c>
      <c r="H199" s="2">
        <v>892.41</v>
      </c>
      <c r="I199" s="2">
        <v>892.41</v>
      </c>
      <c r="J199" s="2" t="str">
        <f t="shared" si="6"/>
        <v>65-74</v>
      </c>
      <c r="K199" s="17" t="str">
        <f t="shared" si="7"/>
        <v>12-15</v>
      </c>
    </row>
    <row r="200" spans="1:11" x14ac:dyDescent="0.2">
      <c r="A200" s="4">
        <v>72</v>
      </c>
      <c r="B200" s="4">
        <v>10</v>
      </c>
      <c r="C200" t="s">
        <v>8</v>
      </c>
      <c r="D200" s="4">
        <v>1</v>
      </c>
      <c r="E200" s="3">
        <v>0.86141785350628197</v>
      </c>
      <c r="F200" s="4">
        <v>2</v>
      </c>
      <c r="G200" s="2">
        <v>1505.89</v>
      </c>
      <c r="H200" s="2">
        <v>752.94</v>
      </c>
      <c r="I200" s="2">
        <v>1505.89</v>
      </c>
      <c r="J200" s="2" t="str">
        <f t="shared" si="6"/>
        <v>65-74</v>
      </c>
      <c r="K200" s="17" t="str">
        <f t="shared" si="7"/>
        <v>9-11</v>
      </c>
    </row>
    <row r="201" spans="1:11" x14ac:dyDescent="0.2">
      <c r="A201" s="4">
        <v>74</v>
      </c>
      <c r="B201" s="4">
        <v>5</v>
      </c>
      <c r="C201" t="s">
        <v>8</v>
      </c>
      <c r="D201" s="4">
        <v>0</v>
      </c>
      <c r="E201" s="3">
        <v>0.61964352428913105</v>
      </c>
      <c r="F201" s="4">
        <v>1</v>
      </c>
      <c r="G201" s="2">
        <v>1380.61</v>
      </c>
      <c r="H201" s="2">
        <v>1380.61</v>
      </c>
      <c r="I201" s="2">
        <v>1380.61</v>
      </c>
      <c r="J201" s="2" t="str">
        <f t="shared" si="6"/>
        <v>65-74</v>
      </c>
      <c r="K201" s="17" t="str">
        <f t="shared" si="7"/>
        <v>3-5</v>
      </c>
    </row>
    <row r="202" spans="1:11" x14ac:dyDescent="0.2">
      <c r="A202" s="4">
        <v>44</v>
      </c>
      <c r="B202" s="4">
        <v>14</v>
      </c>
      <c r="C202" t="s">
        <v>8</v>
      </c>
      <c r="D202" s="4">
        <v>3</v>
      </c>
      <c r="E202" s="3">
        <v>0.96846495638601504</v>
      </c>
      <c r="F202" s="4">
        <v>1</v>
      </c>
      <c r="G202" s="2">
        <v>3394.92</v>
      </c>
      <c r="H202" s="2">
        <v>3394.92</v>
      </c>
      <c r="I202" s="2">
        <v>3394.92</v>
      </c>
      <c r="J202" s="2" t="str">
        <f t="shared" si="6"/>
        <v>35-44</v>
      </c>
      <c r="K202" s="17" t="str">
        <f t="shared" si="7"/>
        <v>12-15</v>
      </c>
    </row>
    <row r="203" spans="1:11" x14ac:dyDescent="0.2">
      <c r="A203" s="4">
        <v>40</v>
      </c>
      <c r="B203" s="4">
        <v>6</v>
      </c>
      <c r="C203" t="s">
        <v>10</v>
      </c>
      <c r="D203" s="4">
        <v>0</v>
      </c>
      <c r="E203" s="3">
        <v>0.81556152389384795</v>
      </c>
      <c r="F203" s="4">
        <v>1</v>
      </c>
      <c r="G203" s="2">
        <v>1079.57</v>
      </c>
      <c r="H203" s="2">
        <v>1079.57</v>
      </c>
      <c r="I203" s="2">
        <v>1079.57</v>
      </c>
      <c r="J203" s="2" t="str">
        <f t="shared" si="6"/>
        <v>35-44</v>
      </c>
      <c r="K203" s="17" t="str">
        <f t="shared" si="7"/>
        <v>6-8</v>
      </c>
    </row>
    <row r="204" spans="1:11" x14ac:dyDescent="0.2">
      <c r="A204" s="4">
        <v>79</v>
      </c>
      <c r="B204" s="4">
        <v>13</v>
      </c>
      <c r="C204" t="s">
        <v>16</v>
      </c>
      <c r="D204" s="4">
        <v>0</v>
      </c>
      <c r="E204" s="3">
        <v>0.76358346920460496</v>
      </c>
      <c r="F204" s="4">
        <v>1</v>
      </c>
      <c r="G204" s="2">
        <v>794.13</v>
      </c>
      <c r="H204" s="2">
        <v>794.13</v>
      </c>
      <c r="I204" s="2">
        <v>794.13</v>
      </c>
      <c r="J204" s="2" t="str">
        <f t="shared" si="6"/>
        <v>75-90</v>
      </c>
      <c r="K204" s="17" t="str">
        <f t="shared" si="7"/>
        <v>12-15</v>
      </c>
    </row>
    <row r="205" spans="1:11" x14ac:dyDescent="0.2">
      <c r="A205" s="4">
        <v>71</v>
      </c>
      <c r="B205" s="4">
        <v>7</v>
      </c>
      <c r="C205" t="s">
        <v>8</v>
      </c>
      <c r="D205" s="4">
        <v>0</v>
      </c>
      <c r="E205" s="3">
        <v>0.68242582085076697</v>
      </c>
      <c r="F205" s="4">
        <v>1</v>
      </c>
      <c r="G205" s="2">
        <v>602.53</v>
      </c>
      <c r="H205" s="2">
        <v>602.53</v>
      </c>
      <c r="I205" s="2">
        <v>602.53</v>
      </c>
      <c r="J205" s="2" t="str">
        <f t="shared" si="6"/>
        <v>65-74</v>
      </c>
      <c r="K205" s="17" t="str">
        <f t="shared" si="7"/>
        <v>6-8</v>
      </c>
    </row>
    <row r="206" spans="1:11" x14ac:dyDescent="0.2">
      <c r="A206" s="4">
        <v>77</v>
      </c>
      <c r="B206" s="4">
        <v>13</v>
      </c>
      <c r="C206" t="s">
        <v>8</v>
      </c>
      <c r="D206" s="4">
        <v>2</v>
      </c>
      <c r="E206" s="3">
        <v>0.68821542733348895</v>
      </c>
      <c r="F206" s="4">
        <v>2</v>
      </c>
      <c r="G206" s="2">
        <v>3155.07</v>
      </c>
      <c r="H206" s="2">
        <v>1577.54</v>
      </c>
      <c r="I206" s="2">
        <v>3155.07</v>
      </c>
      <c r="J206" s="2" t="str">
        <f t="shared" si="6"/>
        <v>75-90</v>
      </c>
      <c r="K206" s="17" t="str">
        <f t="shared" si="7"/>
        <v>12-15</v>
      </c>
    </row>
    <row r="207" spans="1:11" x14ac:dyDescent="0.2">
      <c r="A207" s="4">
        <v>48</v>
      </c>
      <c r="B207" s="4">
        <v>3</v>
      </c>
      <c r="C207" t="s">
        <v>10</v>
      </c>
      <c r="D207" s="4">
        <v>0</v>
      </c>
      <c r="E207" s="3">
        <v>0.61897721525747296</v>
      </c>
      <c r="F207" s="4">
        <v>2</v>
      </c>
      <c r="G207" s="2">
        <v>420.61</v>
      </c>
      <c r="H207" s="2">
        <v>210.31</v>
      </c>
      <c r="I207" s="2">
        <v>420.61</v>
      </c>
      <c r="J207" s="2" t="str">
        <f t="shared" si="6"/>
        <v>45-54</v>
      </c>
      <c r="K207" s="17" t="str">
        <f t="shared" si="7"/>
        <v>3-5</v>
      </c>
    </row>
    <row r="208" spans="1:11" x14ac:dyDescent="0.2">
      <c r="A208" s="4">
        <v>72</v>
      </c>
      <c r="B208" s="4">
        <v>15</v>
      </c>
      <c r="C208" t="s">
        <v>8</v>
      </c>
      <c r="D208" s="4">
        <v>0</v>
      </c>
      <c r="E208" s="3">
        <v>0.82476876513101205</v>
      </c>
      <c r="F208" s="4">
        <v>1</v>
      </c>
      <c r="G208" s="2">
        <v>1813.7</v>
      </c>
      <c r="H208" s="2">
        <v>1813.7</v>
      </c>
      <c r="I208" s="2">
        <v>1813.7</v>
      </c>
      <c r="J208" s="2" t="str">
        <f t="shared" si="6"/>
        <v>65-74</v>
      </c>
      <c r="K208" s="17" t="str">
        <f t="shared" si="7"/>
        <v>12-15</v>
      </c>
    </row>
    <row r="209" spans="1:11" x14ac:dyDescent="0.2">
      <c r="A209" s="4">
        <v>84</v>
      </c>
      <c r="B209" s="4">
        <v>12</v>
      </c>
      <c r="C209" t="s">
        <v>10</v>
      </c>
      <c r="D209" s="4">
        <v>0</v>
      </c>
      <c r="E209" s="3">
        <v>0.97188827604986705</v>
      </c>
      <c r="F209" s="4">
        <v>2</v>
      </c>
      <c r="G209" s="2">
        <v>1652.9</v>
      </c>
      <c r="H209" s="2">
        <v>826.45</v>
      </c>
      <c r="I209" s="2">
        <v>1652.9</v>
      </c>
      <c r="J209" s="2" t="str">
        <f t="shared" si="6"/>
        <v>75-90</v>
      </c>
      <c r="K209" s="17" t="str">
        <f t="shared" si="7"/>
        <v>12-15</v>
      </c>
    </row>
    <row r="210" spans="1:11" x14ac:dyDescent="0.2">
      <c r="A210" s="4">
        <v>71</v>
      </c>
      <c r="B210" s="4">
        <v>7</v>
      </c>
      <c r="C210" t="s">
        <v>8</v>
      </c>
      <c r="D210" s="4">
        <v>0</v>
      </c>
      <c r="E210" s="3">
        <v>0.91964136075694103</v>
      </c>
      <c r="F210" s="4">
        <v>1</v>
      </c>
      <c r="G210" s="2">
        <v>276.37</v>
      </c>
      <c r="H210" s="2">
        <v>276.37</v>
      </c>
      <c r="I210" s="2">
        <v>276.37</v>
      </c>
      <c r="J210" s="2" t="str">
        <f t="shared" si="6"/>
        <v>65-74</v>
      </c>
      <c r="K210" s="17" t="str">
        <f t="shared" si="7"/>
        <v>6-8</v>
      </c>
    </row>
    <row r="211" spans="1:11" x14ac:dyDescent="0.2">
      <c r="A211" s="4">
        <v>83</v>
      </c>
      <c r="B211" s="4">
        <v>9</v>
      </c>
      <c r="C211" t="s">
        <v>10</v>
      </c>
      <c r="D211" s="4">
        <v>0</v>
      </c>
      <c r="E211" s="3">
        <v>0.57366530655417602</v>
      </c>
      <c r="F211" s="4">
        <v>1</v>
      </c>
      <c r="G211" s="2">
        <v>1338.57</v>
      </c>
      <c r="H211" s="2">
        <v>1338.57</v>
      </c>
      <c r="I211" s="2">
        <v>1338.57</v>
      </c>
      <c r="J211" s="2" t="str">
        <f t="shared" si="6"/>
        <v>75-90</v>
      </c>
      <c r="K211" s="17" t="str">
        <f t="shared" si="7"/>
        <v>9-11</v>
      </c>
    </row>
    <row r="212" spans="1:11" x14ac:dyDescent="0.2">
      <c r="A212" s="4">
        <v>22</v>
      </c>
      <c r="B212" s="4">
        <v>6</v>
      </c>
      <c r="C212" t="s">
        <v>8</v>
      </c>
      <c r="D212" s="4">
        <v>1</v>
      </c>
      <c r="E212" s="3">
        <v>0.50611407472752001</v>
      </c>
      <c r="F212" s="4">
        <v>1</v>
      </c>
      <c r="G212" s="2">
        <v>446.65</v>
      </c>
      <c r="H212" s="2">
        <v>446.65</v>
      </c>
      <c r="I212" s="2">
        <v>446.65</v>
      </c>
      <c r="J212" s="2" t="str">
        <f t="shared" si="6"/>
        <v>18-24</v>
      </c>
      <c r="K212" s="17" t="str">
        <f t="shared" si="7"/>
        <v>6-8</v>
      </c>
    </row>
    <row r="213" spans="1:11" x14ac:dyDescent="0.2">
      <c r="A213" s="4">
        <v>69</v>
      </c>
      <c r="B213" s="4">
        <v>2</v>
      </c>
      <c r="C213" t="s">
        <v>8</v>
      </c>
      <c r="D213" s="4">
        <v>0</v>
      </c>
      <c r="E213" s="3">
        <v>0.83338230685330905</v>
      </c>
      <c r="F213" s="4">
        <v>1</v>
      </c>
      <c r="G213" s="2">
        <v>458.78</v>
      </c>
      <c r="H213" s="2">
        <v>458.78</v>
      </c>
      <c r="I213" s="2">
        <v>458.78</v>
      </c>
      <c r="J213" s="2" t="str">
        <f t="shared" si="6"/>
        <v>65-74</v>
      </c>
      <c r="K213" s="17" t="str">
        <f t="shared" si="7"/>
        <v>0-2</v>
      </c>
    </row>
    <row r="214" spans="1:11" x14ac:dyDescent="0.2">
      <c r="A214" s="4">
        <v>85</v>
      </c>
      <c r="B214" s="4">
        <v>6</v>
      </c>
      <c r="C214" t="s">
        <v>8</v>
      </c>
      <c r="D214" s="4">
        <v>0</v>
      </c>
      <c r="E214" s="3">
        <v>0.73342463013250403</v>
      </c>
      <c r="F214" s="4">
        <v>1</v>
      </c>
      <c r="G214" s="2">
        <v>934.44</v>
      </c>
      <c r="H214" s="2">
        <v>934.44</v>
      </c>
      <c r="I214" s="2">
        <v>934.44</v>
      </c>
      <c r="J214" s="2" t="str">
        <f t="shared" si="6"/>
        <v>75-90</v>
      </c>
      <c r="K214" s="17" t="str">
        <f t="shared" si="7"/>
        <v>6-8</v>
      </c>
    </row>
    <row r="215" spans="1:11" x14ac:dyDescent="0.2">
      <c r="A215" s="4">
        <v>38</v>
      </c>
      <c r="B215" s="4">
        <v>2</v>
      </c>
      <c r="C215" t="s">
        <v>10</v>
      </c>
      <c r="D215" s="4">
        <v>0</v>
      </c>
      <c r="E215" s="3">
        <v>0.83396960049867597</v>
      </c>
      <c r="F215" s="4">
        <v>1</v>
      </c>
      <c r="G215" s="2">
        <v>324.33</v>
      </c>
      <c r="H215" s="2">
        <v>324.33</v>
      </c>
      <c r="I215" s="2">
        <v>324.33</v>
      </c>
      <c r="J215" s="2" t="str">
        <f t="shared" si="6"/>
        <v>35-44</v>
      </c>
      <c r="K215" s="17" t="str">
        <f t="shared" si="7"/>
        <v>0-2</v>
      </c>
    </row>
    <row r="216" spans="1:11" x14ac:dyDescent="0.2">
      <c r="A216" s="4">
        <v>76</v>
      </c>
      <c r="B216" s="4">
        <v>15</v>
      </c>
      <c r="C216" t="s">
        <v>10</v>
      </c>
      <c r="D216" s="4">
        <v>0</v>
      </c>
      <c r="E216" s="3">
        <v>0.97152755991555795</v>
      </c>
      <c r="F216" s="4">
        <v>1</v>
      </c>
      <c r="G216" s="2">
        <v>2714.31</v>
      </c>
      <c r="H216" s="2">
        <v>2714.31</v>
      </c>
      <c r="I216" s="2">
        <v>2714.31</v>
      </c>
      <c r="J216" s="2" t="str">
        <f t="shared" si="6"/>
        <v>75-90</v>
      </c>
      <c r="K216" s="17" t="str">
        <f t="shared" si="7"/>
        <v>12-15</v>
      </c>
    </row>
    <row r="217" spans="1:11" x14ac:dyDescent="0.2">
      <c r="A217" s="4">
        <v>82</v>
      </c>
      <c r="B217" s="4">
        <v>5</v>
      </c>
      <c r="C217" t="s">
        <v>10</v>
      </c>
      <c r="D217" s="4">
        <v>1</v>
      </c>
      <c r="E217" s="3">
        <v>0.680070649832487</v>
      </c>
      <c r="F217" s="4">
        <v>1</v>
      </c>
      <c r="G217" s="2">
        <v>1565.95</v>
      </c>
      <c r="H217" s="2">
        <v>1565.95</v>
      </c>
      <c r="I217" s="2">
        <v>1565.95</v>
      </c>
      <c r="J217" s="2" t="str">
        <f t="shared" si="6"/>
        <v>75-90</v>
      </c>
      <c r="K217" s="17" t="str">
        <f t="shared" si="7"/>
        <v>3-5</v>
      </c>
    </row>
    <row r="218" spans="1:11" x14ac:dyDescent="0.2">
      <c r="A218" s="4">
        <v>58</v>
      </c>
      <c r="B218" s="4">
        <v>3</v>
      </c>
      <c r="C218" t="s">
        <v>16</v>
      </c>
      <c r="D218" s="4">
        <v>0</v>
      </c>
      <c r="E218" s="3">
        <v>0.66204680595547005</v>
      </c>
      <c r="F218" s="4">
        <v>1</v>
      </c>
      <c r="G218" s="2">
        <v>1340.08</v>
      </c>
      <c r="H218" s="2">
        <v>1340.08</v>
      </c>
      <c r="I218" s="2">
        <v>1340.08</v>
      </c>
      <c r="J218" s="2" t="str">
        <f t="shared" si="6"/>
        <v>55-64</v>
      </c>
      <c r="K218" s="17" t="str">
        <f t="shared" si="7"/>
        <v>3-5</v>
      </c>
    </row>
    <row r="219" spans="1:11" x14ac:dyDescent="0.2">
      <c r="A219" s="4">
        <v>30</v>
      </c>
      <c r="B219" s="4">
        <v>1</v>
      </c>
      <c r="C219" t="s">
        <v>8</v>
      </c>
      <c r="D219" s="4">
        <v>1</v>
      </c>
      <c r="E219" s="3">
        <v>0.506494307424873</v>
      </c>
      <c r="F219" s="4">
        <v>1</v>
      </c>
      <c r="G219" s="2">
        <v>181.89</v>
      </c>
      <c r="H219" s="2">
        <v>181.89</v>
      </c>
      <c r="I219" s="2">
        <v>181.89</v>
      </c>
      <c r="J219" s="2" t="str">
        <f t="shared" si="6"/>
        <v>25-34</v>
      </c>
      <c r="K219" s="17" t="str">
        <f t="shared" si="7"/>
        <v>0-2</v>
      </c>
    </row>
    <row r="220" spans="1:11" x14ac:dyDescent="0.2">
      <c r="A220" s="4">
        <v>36</v>
      </c>
      <c r="B220" s="4">
        <v>13</v>
      </c>
      <c r="C220" t="s">
        <v>8</v>
      </c>
      <c r="D220" s="4">
        <v>0</v>
      </c>
      <c r="E220" s="3">
        <v>0.89820033614523698</v>
      </c>
      <c r="F220" s="4">
        <v>2</v>
      </c>
      <c r="G220" s="2">
        <v>327.02999999999997</v>
      </c>
      <c r="H220" s="2">
        <v>163.52000000000001</v>
      </c>
      <c r="I220" s="2">
        <v>327.02999999999997</v>
      </c>
      <c r="J220" s="2" t="str">
        <f t="shared" si="6"/>
        <v>35-44</v>
      </c>
      <c r="K220" s="17" t="str">
        <f t="shared" si="7"/>
        <v>12-15</v>
      </c>
    </row>
    <row r="221" spans="1:11" x14ac:dyDescent="0.2">
      <c r="A221" s="4">
        <v>57</v>
      </c>
      <c r="B221" s="4">
        <v>10</v>
      </c>
      <c r="C221" t="s">
        <v>16</v>
      </c>
      <c r="D221" s="4">
        <v>0</v>
      </c>
      <c r="E221" s="3">
        <v>0.75783263775520004</v>
      </c>
      <c r="F221" s="4">
        <v>1</v>
      </c>
      <c r="G221" s="2">
        <v>1127.6500000000001</v>
      </c>
      <c r="H221" s="2">
        <v>1127.6500000000001</v>
      </c>
      <c r="I221" s="2">
        <v>1127.6500000000001</v>
      </c>
      <c r="J221" s="2" t="str">
        <f t="shared" si="6"/>
        <v>55-64</v>
      </c>
      <c r="K221" s="17" t="str">
        <f t="shared" si="7"/>
        <v>9-11</v>
      </c>
    </row>
    <row r="222" spans="1:11" x14ac:dyDescent="0.2">
      <c r="A222" s="4">
        <v>37</v>
      </c>
      <c r="B222" s="4">
        <v>8</v>
      </c>
      <c r="C222" t="s">
        <v>16</v>
      </c>
      <c r="D222" s="4">
        <v>2</v>
      </c>
      <c r="E222" s="3">
        <v>0.53171092143748</v>
      </c>
      <c r="F222" s="4">
        <v>1</v>
      </c>
      <c r="G222" s="2">
        <v>1034.44</v>
      </c>
      <c r="H222" s="2">
        <v>1034.44</v>
      </c>
      <c r="I222" s="2">
        <v>1034.44</v>
      </c>
      <c r="J222" s="2" t="str">
        <f t="shared" si="6"/>
        <v>35-44</v>
      </c>
      <c r="K222" s="17" t="str">
        <f t="shared" si="7"/>
        <v>6-8</v>
      </c>
    </row>
    <row r="223" spans="1:11" x14ac:dyDescent="0.2">
      <c r="A223" s="4">
        <v>56</v>
      </c>
      <c r="B223" s="4">
        <v>7</v>
      </c>
      <c r="C223" t="s">
        <v>16</v>
      </c>
      <c r="D223" s="4">
        <v>0</v>
      </c>
      <c r="E223" s="3">
        <v>0.85326003213413104</v>
      </c>
      <c r="F223" s="4">
        <v>2</v>
      </c>
      <c r="G223" s="2">
        <v>836.73</v>
      </c>
      <c r="H223" s="2">
        <v>418.36</v>
      </c>
      <c r="I223" s="2">
        <v>836.73</v>
      </c>
      <c r="J223" s="2" t="str">
        <f t="shared" si="6"/>
        <v>55-64</v>
      </c>
      <c r="K223" s="17" t="str">
        <f t="shared" si="7"/>
        <v>6-8</v>
      </c>
    </row>
    <row r="224" spans="1:11" x14ac:dyDescent="0.2">
      <c r="A224" s="4">
        <v>65</v>
      </c>
      <c r="B224" s="4">
        <v>5</v>
      </c>
      <c r="C224" t="s">
        <v>16</v>
      </c>
      <c r="D224" s="4">
        <v>2</v>
      </c>
      <c r="E224" s="3">
        <v>0.69013189012184695</v>
      </c>
      <c r="F224" s="4">
        <v>2</v>
      </c>
      <c r="G224" s="2">
        <v>1643.19</v>
      </c>
      <c r="H224" s="2">
        <v>821.6</v>
      </c>
      <c r="I224" s="2">
        <v>1643.19</v>
      </c>
      <c r="J224" s="2" t="str">
        <f t="shared" si="6"/>
        <v>65-74</v>
      </c>
      <c r="K224" s="17" t="str">
        <f t="shared" si="7"/>
        <v>3-5</v>
      </c>
    </row>
    <row r="225" spans="1:11" x14ac:dyDescent="0.2">
      <c r="A225" s="4">
        <v>71</v>
      </c>
      <c r="B225" s="4">
        <v>13</v>
      </c>
      <c r="C225" t="s">
        <v>8</v>
      </c>
      <c r="D225" s="4">
        <v>0</v>
      </c>
      <c r="E225" s="3">
        <v>0.82206131238490299</v>
      </c>
      <c r="F225" s="4">
        <v>1</v>
      </c>
      <c r="G225" s="2">
        <v>945.68</v>
      </c>
      <c r="H225" s="2">
        <v>945.68</v>
      </c>
      <c r="I225" s="2">
        <v>945.68</v>
      </c>
      <c r="J225" s="2" t="str">
        <f t="shared" si="6"/>
        <v>65-74</v>
      </c>
      <c r="K225" s="17" t="str">
        <f t="shared" si="7"/>
        <v>12-15</v>
      </c>
    </row>
    <row r="226" spans="1:11" x14ac:dyDescent="0.2">
      <c r="A226" s="4">
        <v>46</v>
      </c>
      <c r="B226" s="4">
        <v>8</v>
      </c>
      <c r="C226" t="s">
        <v>8</v>
      </c>
      <c r="D226" s="4">
        <v>0</v>
      </c>
      <c r="E226" s="3">
        <v>0.74894434912130203</v>
      </c>
      <c r="F226" s="4">
        <v>1</v>
      </c>
      <c r="G226" s="2">
        <v>1033.42</v>
      </c>
      <c r="H226" s="2">
        <v>1033.42</v>
      </c>
      <c r="I226" s="2">
        <v>1033.42</v>
      </c>
      <c r="J226" s="2" t="str">
        <f t="shared" si="6"/>
        <v>45-54</v>
      </c>
      <c r="K226" s="17" t="str">
        <f t="shared" si="7"/>
        <v>6-8</v>
      </c>
    </row>
    <row r="227" spans="1:11" x14ac:dyDescent="0.2">
      <c r="A227" s="4">
        <v>26</v>
      </c>
      <c r="B227" s="4">
        <v>7</v>
      </c>
      <c r="C227" t="s">
        <v>16</v>
      </c>
      <c r="D227" s="4">
        <v>2</v>
      </c>
      <c r="E227" s="3">
        <v>0.560754496138543</v>
      </c>
      <c r="F227" s="4">
        <v>1</v>
      </c>
      <c r="G227" s="2">
        <v>517.30999999999995</v>
      </c>
      <c r="H227" s="2">
        <v>517.30999999999995</v>
      </c>
      <c r="I227" s="2">
        <v>517.30999999999995</v>
      </c>
      <c r="J227" s="2" t="str">
        <f t="shared" si="6"/>
        <v>25-34</v>
      </c>
      <c r="K227" s="17" t="str">
        <f t="shared" si="7"/>
        <v>6-8</v>
      </c>
    </row>
    <row r="228" spans="1:11" x14ac:dyDescent="0.2">
      <c r="A228" s="4">
        <v>48</v>
      </c>
      <c r="B228" s="4">
        <v>7</v>
      </c>
      <c r="C228" t="s">
        <v>8</v>
      </c>
      <c r="D228" s="4">
        <v>0</v>
      </c>
      <c r="E228" s="3">
        <v>0.81326373363845095</v>
      </c>
      <c r="F228" s="4">
        <v>1</v>
      </c>
      <c r="G228" s="2">
        <v>736.01</v>
      </c>
      <c r="H228" s="2">
        <v>736.01</v>
      </c>
      <c r="I228" s="2">
        <v>736.01</v>
      </c>
      <c r="J228" s="2" t="str">
        <f t="shared" si="6"/>
        <v>45-54</v>
      </c>
      <c r="K228" s="17" t="str">
        <f t="shared" si="7"/>
        <v>6-8</v>
      </c>
    </row>
    <row r="229" spans="1:11" x14ac:dyDescent="0.2">
      <c r="A229" s="4">
        <v>62</v>
      </c>
      <c r="B229" s="4">
        <v>3</v>
      </c>
      <c r="C229" t="s">
        <v>10</v>
      </c>
      <c r="D229" s="4">
        <v>2</v>
      </c>
      <c r="E229" s="3">
        <v>0.99555077566765204</v>
      </c>
      <c r="F229" s="4">
        <v>1</v>
      </c>
      <c r="G229" s="2">
        <v>1991.49</v>
      </c>
      <c r="H229" s="2">
        <v>1991.49</v>
      </c>
      <c r="I229" s="2">
        <v>1991.49</v>
      </c>
      <c r="J229" s="2" t="str">
        <f t="shared" si="6"/>
        <v>55-64</v>
      </c>
      <c r="K229" s="17" t="str">
        <f t="shared" si="7"/>
        <v>3-5</v>
      </c>
    </row>
    <row r="230" spans="1:11" x14ac:dyDescent="0.2">
      <c r="A230" s="4">
        <v>72</v>
      </c>
      <c r="B230" s="4">
        <v>8</v>
      </c>
      <c r="C230" t="s">
        <v>16</v>
      </c>
      <c r="D230" s="4">
        <v>0</v>
      </c>
      <c r="E230" s="3">
        <v>0.61146752617787603</v>
      </c>
      <c r="F230" s="4">
        <v>1</v>
      </c>
      <c r="G230" s="2">
        <v>1105.05</v>
      </c>
      <c r="H230" s="2">
        <v>1105.05</v>
      </c>
      <c r="I230" s="2">
        <v>1105.05</v>
      </c>
      <c r="J230" s="2" t="str">
        <f t="shared" si="6"/>
        <v>65-74</v>
      </c>
      <c r="K230" s="17" t="str">
        <f t="shared" si="7"/>
        <v>6-8</v>
      </c>
    </row>
    <row r="231" spans="1:11" x14ac:dyDescent="0.2">
      <c r="A231" s="4">
        <v>79</v>
      </c>
      <c r="B231" s="4">
        <v>13</v>
      </c>
      <c r="C231" t="s">
        <v>8</v>
      </c>
      <c r="D231" s="4">
        <v>0</v>
      </c>
      <c r="E231" s="3">
        <v>0.69095724029466499</v>
      </c>
      <c r="F231" s="4">
        <v>1</v>
      </c>
      <c r="G231" s="2">
        <v>1834.15</v>
      </c>
      <c r="H231" s="2">
        <v>1834.15</v>
      </c>
      <c r="I231" s="2">
        <v>1834.15</v>
      </c>
      <c r="J231" s="2" t="str">
        <f t="shared" si="6"/>
        <v>75-90</v>
      </c>
      <c r="K231" s="17" t="str">
        <f t="shared" si="7"/>
        <v>12-15</v>
      </c>
    </row>
    <row r="232" spans="1:11" x14ac:dyDescent="0.2">
      <c r="A232" s="4">
        <v>62</v>
      </c>
      <c r="B232" s="4">
        <v>1</v>
      </c>
      <c r="C232" t="s">
        <v>8</v>
      </c>
      <c r="D232" s="4">
        <v>0</v>
      </c>
      <c r="E232" s="3">
        <v>0.93101462023332704</v>
      </c>
      <c r="F232" s="4">
        <v>1</v>
      </c>
      <c r="G232" s="2">
        <v>195.36</v>
      </c>
      <c r="H232" s="2">
        <v>195.36</v>
      </c>
      <c r="I232" s="2">
        <v>195.36</v>
      </c>
      <c r="J232" s="2" t="str">
        <f t="shared" si="6"/>
        <v>55-64</v>
      </c>
      <c r="K232" s="17" t="str">
        <f t="shared" si="7"/>
        <v>0-2</v>
      </c>
    </row>
    <row r="233" spans="1:11" x14ac:dyDescent="0.2">
      <c r="A233" s="4">
        <v>75</v>
      </c>
      <c r="B233" s="4">
        <v>7</v>
      </c>
      <c r="C233" t="s">
        <v>8</v>
      </c>
      <c r="D233" s="4">
        <v>0</v>
      </c>
      <c r="E233" s="3">
        <v>0.74466794705949702</v>
      </c>
      <c r="F233" s="4">
        <v>1</v>
      </c>
      <c r="G233" s="2">
        <v>957.67</v>
      </c>
      <c r="H233" s="2">
        <v>957.67</v>
      </c>
      <c r="I233" s="2">
        <v>957.67</v>
      </c>
      <c r="J233" s="2" t="str">
        <f t="shared" si="6"/>
        <v>75-90</v>
      </c>
      <c r="K233" s="17" t="str">
        <f t="shared" si="7"/>
        <v>6-8</v>
      </c>
    </row>
    <row r="234" spans="1:11" x14ac:dyDescent="0.2">
      <c r="A234" s="4">
        <v>81</v>
      </c>
      <c r="B234" s="4">
        <v>9</v>
      </c>
      <c r="C234" t="s">
        <v>16</v>
      </c>
      <c r="D234" s="4">
        <v>0</v>
      </c>
      <c r="E234" s="3">
        <v>0.73506445053499203</v>
      </c>
      <c r="F234" s="4">
        <v>3</v>
      </c>
      <c r="G234" s="2">
        <v>1481.37</v>
      </c>
      <c r="H234" s="2">
        <v>493.79</v>
      </c>
      <c r="I234" s="2">
        <v>1481.37</v>
      </c>
      <c r="J234" s="2" t="str">
        <f t="shared" si="6"/>
        <v>75-90</v>
      </c>
      <c r="K234" s="17" t="str">
        <f t="shared" si="7"/>
        <v>9-11</v>
      </c>
    </row>
    <row r="235" spans="1:11" x14ac:dyDescent="0.2">
      <c r="A235" s="4">
        <v>85</v>
      </c>
      <c r="B235" s="4">
        <v>11</v>
      </c>
      <c r="C235" t="s">
        <v>8</v>
      </c>
      <c r="D235" s="4">
        <v>0</v>
      </c>
      <c r="E235" s="3">
        <v>0.69400230713654298</v>
      </c>
      <c r="F235" s="4">
        <v>1</v>
      </c>
      <c r="G235" s="2">
        <v>1610.45</v>
      </c>
      <c r="H235" s="2">
        <v>1610.45</v>
      </c>
      <c r="I235" s="2">
        <v>1610.45</v>
      </c>
      <c r="J235" s="2" t="str">
        <f t="shared" si="6"/>
        <v>75-90</v>
      </c>
      <c r="K235" s="17" t="str">
        <f t="shared" si="7"/>
        <v>9-11</v>
      </c>
    </row>
    <row r="236" spans="1:11" x14ac:dyDescent="0.2">
      <c r="A236" s="4">
        <v>76</v>
      </c>
      <c r="B236" s="4">
        <v>14</v>
      </c>
      <c r="C236" t="s">
        <v>10</v>
      </c>
      <c r="D236" s="4">
        <v>0</v>
      </c>
      <c r="E236" s="3">
        <v>0.84932726447004803</v>
      </c>
      <c r="F236" s="4">
        <v>1</v>
      </c>
      <c r="G236" s="2">
        <v>1655.02</v>
      </c>
      <c r="H236" s="2">
        <v>1655.02</v>
      </c>
      <c r="I236" s="2">
        <v>1655.02</v>
      </c>
      <c r="J236" s="2" t="str">
        <f t="shared" si="6"/>
        <v>75-90</v>
      </c>
      <c r="K236" s="17" t="str">
        <f t="shared" si="7"/>
        <v>12-15</v>
      </c>
    </row>
    <row r="237" spans="1:11" x14ac:dyDescent="0.2">
      <c r="A237" s="4">
        <v>89</v>
      </c>
      <c r="B237" s="4">
        <v>9</v>
      </c>
      <c r="C237" t="s">
        <v>10</v>
      </c>
      <c r="D237" s="4">
        <v>0</v>
      </c>
      <c r="E237" s="3">
        <v>0.55320298695005499</v>
      </c>
      <c r="F237" s="4">
        <v>1</v>
      </c>
      <c r="G237" s="2">
        <v>1327.25</v>
      </c>
      <c r="H237" s="2">
        <v>1327.25</v>
      </c>
      <c r="I237" s="2">
        <v>1327.25</v>
      </c>
      <c r="J237" s="2" t="str">
        <f t="shared" si="6"/>
        <v>75-90</v>
      </c>
      <c r="K237" s="17" t="str">
        <f t="shared" si="7"/>
        <v>9-11</v>
      </c>
    </row>
    <row r="238" spans="1:11" x14ac:dyDescent="0.2">
      <c r="A238" s="4">
        <v>29</v>
      </c>
      <c r="B238" s="4">
        <v>6</v>
      </c>
      <c r="C238" t="s">
        <v>8</v>
      </c>
      <c r="D238" s="4">
        <v>0</v>
      </c>
      <c r="E238" s="3">
        <v>0.83211291837505996</v>
      </c>
      <c r="F238" s="4">
        <v>1</v>
      </c>
      <c r="G238" s="2">
        <v>304.43</v>
      </c>
      <c r="H238" s="2">
        <v>304.43</v>
      </c>
      <c r="I238" s="2">
        <v>304.43</v>
      </c>
      <c r="J238" s="2" t="str">
        <f t="shared" si="6"/>
        <v>25-34</v>
      </c>
      <c r="K238" s="17" t="str">
        <f t="shared" si="7"/>
        <v>6-8</v>
      </c>
    </row>
    <row r="239" spans="1:11" x14ac:dyDescent="0.2">
      <c r="A239" s="4">
        <v>68</v>
      </c>
      <c r="B239" s="4">
        <v>4</v>
      </c>
      <c r="C239" t="s">
        <v>16</v>
      </c>
      <c r="D239" s="4">
        <v>0</v>
      </c>
      <c r="E239" s="3">
        <v>0.75643697252962705</v>
      </c>
      <c r="F239" s="4">
        <v>2</v>
      </c>
      <c r="G239" s="2">
        <v>632.5</v>
      </c>
      <c r="H239" s="2">
        <v>316.25</v>
      </c>
      <c r="I239" s="2">
        <v>632.5</v>
      </c>
      <c r="J239" s="2" t="str">
        <f t="shared" si="6"/>
        <v>65-74</v>
      </c>
      <c r="K239" s="17" t="str">
        <f t="shared" si="7"/>
        <v>3-5</v>
      </c>
    </row>
    <row r="240" spans="1:11" x14ac:dyDescent="0.2">
      <c r="A240" s="4">
        <v>36</v>
      </c>
      <c r="B240" s="4">
        <v>12</v>
      </c>
      <c r="C240" t="s">
        <v>8</v>
      </c>
      <c r="D240" s="4">
        <v>1</v>
      </c>
      <c r="E240" s="3">
        <v>0.590903456555679</v>
      </c>
      <c r="F240" s="4">
        <v>1</v>
      </c>
      <c r="G240" s="2">
        <v>661.01</v>
      </c>
      <c r="H240" s="2">
        <v>661.01</v>
      </c>
      <c r="I240" s="2">
        <v>661.01</v>
      </c>
      <c r="J240" s="2" t="str">
        <f t="shared" si="6"/>
        <v>35-44</v>
      </c>
      <c r="K240" s="17" t="str">
        <f t="shared" si="7"/>
        <v>12-15</v>
      </c>
    </row>
    <row r="241" spans="1:11" x14ac:dyDescent="0.2">
      <c r="A241" s="4">
        <v>23</v>
      </c>
      <c r="B241" s="4">
        <v>1</v>
      </c>
      <c r="C241" t="s">
        <v>8</v>
      </c>
      <c r="D241" s="4">
        <v>0</v>
      </c>
      <c r="E241" s="3">
        <v>0.95609817537479103</v>
      </c>
      <c r="F241" s="4">
        <v>1</v>
      </c>
      <c r="G241" s="2">
        <v>311.13</v>
      </c>
      <c r="H241" s="2">
        <v>311.13</v>
      </c>
      <c r="I241" s="2">
        <v>311.13</v>
      </c>
      <c r="J241" s="2" t="str">
        <f t="shared" si="6"/>
        <v>18-24</v>
      </c>
      <c r="K241" s="17" t="str">
        <f t="shared" si="7"/>
        <v>0-2</v>
      </c>
    </row>
    <row r="242" spans="1:11" x14ac:dyDescent="0.2">
      <c r="A242" s="4">
        <v>58</v>
      </c>
      <c r="B242" s="4">
        <v>10</v>
      </c>
      <c r="C242" t="s">
        <v>8</v>
      </c>
      <c r="D242" s="4">
        <v>0</v>
      </c>
      <c r="E242" s="3">
        <v>0.61562475527171001</v>
      </c>
      <c r="F242" s="4">
        <v>2</v>
      </c>
      <c r="G242" s="2">
        <v>1114.21</v>
      </c>
      <c r="H242" s="2">
        <v>557.11</v>
      </c>
      <c r="I242" s="2">
        <v>1114.21</v>
      </c>
      <c r="J242" s="2" t="str">
        <f t="shared" si="6"/>
        <v>55-64</v>
      </c>
      <c r="K242" s="17" t="str">
        <f t="shared" si="7"/>
        <v>9-11</v>
      </c>
    </row>
    <row r="243" spans="1:11" x14ac:dyDescent="0.2">
      <c r="A243" s="4">
        <v>54</v>
      </c>
      <c r="B243" s="4">
        <v>5</v>
      </c>
      <c r="C243" t="s">
        <v>8</v>
      </c>
      <c r="D243" s="4">
        <v>0</v>
      </c>
      <c r="E243" s="3">
        <v>0.900705178501084</v>
      </c>
      <c r="F243" s="4">
        <v>1</v>
      </c>
      <c r="G243" s="2">
        <v>402.87</v>
      </c>
      <c r="H243" s="2">
        <v>402.87</v>
      </c>
      <c r="I243" s="2">
        <v>402.87</v>
      </c>
      <c r="J243" s="2" t="str">
        <f t="shared" si="6"/>
        <v>45-54</v>
      </c>
      <c r="K243" s="17" t="str">
        <f t="shared" si="7"/>
        <v>3-5</v>
      </c>
    </row>
    <row r="244" spans="1:11" x14ac:dyDescent="0.2">
      <c r="A244" s="4">
        <v>82</v>
      </c>
      <c r="B244" s="4">
        <v>6</v>
      </c>
      <c r="C244" t="s">
        <v>8</v>
      </c>
      <c r="D244" s="4">
        <v>0</v>
      </c>
      <c r="E244" s="3">
        <v>0.58233622112311401</v>
      </c>
      <c r="F244" s="4">
        <v>1</v>
      </c>
      <c r="G244" s="2">
        <v>979.51</v>
      </c>
      <c r="H244" s="2">
        <v>979.51</v>
      </c>
      <c r="I244" s="2">
        <v>979.51</v>
      </c>
      <c r="J244" s="2" t="str">
        <f t="shared" si="6"/>
        <v>75-90</v>
      </c>
      <c r="K244" s="17" t="str">
        <f t="shared" si="7"/>
        <v>6-8</v>
      </c>
    </row>
    <row r="245" spans="1:11" x14ac:dyDescent="0.2">
      <c r="A245" s="4">
        <v>35</v>
      </c>
      <c r="B245" s="4">
        <v>12</v>
      </c>
      <c r="C245" t="s">
        <v>16</v>
      </c>
      <c r="D245" s="4">
        <v>0</v>
      </c>
      <c r="E245" s="3">
        <v>0.90177742810919903</v>
      </c>
      <c r="F245" s="4">
        <v>1</v>
      </c>
      <c r="G245" s="2">
        <v>601.27</v>
      </c>
      <c r="H245" s="2">
        <v>601.27</v>
      </c>
      <c r="I245" s="2">
        <v>601.27</v>
      </c>
      <c r="J245" s="2" t="str">
        <f t="shared" si="6"/>
        <v>35-44</v>
      </c>
      <c r="K245" s="17" t="str">
        <f t="shared" si="7"/>
        <v>12-15</v>
      </c>
    </row>
    <row r="246" spans="1:11" x14ac:dyDescent="0.2">
      <c r="A246" s="4">
        <v>65</v>
      </c>
      <c r="B246" s="4">
        <v>10</v>
      </c>
      <c r="C246" t="s">
        <v>16</v>
      </c>
      <c r="D246" s="4">
        <v>2</v>
      </c>
      <c r="E246" s="3">
        <v>0.87514263333287101</v>
      </c>
      <c r="F246" s="4">
        <v>1</v>
      </c>
      <c r="G246" s="2">
        <v>2858.06</v>
      </c>
      <c r="H246" s="2">
        <v>2858.06</v>
      </c>
      <c r="I246" s="2">
        <v>2858.06</v>
      </c>
      <c r="J246" s="2" t="str">
        <f t="shared" si="6"/>
        <v>65-74</v>
      </c>
      <c r="K246" s="17" t="str">
        <f t="shared" si="7"/>
        <v>9-11</v>
      </c>
    </row>
    <row r="247" spans="1:11" x14ac:dyDescent="0.2">
      <c r="A247" s="4">
        <v>76</v>
      </c>
      <c r="B247" s="4">
        <v>10</v>
      </c>
      <c r="C247" t="s">
        <v>8</v>
      </c>
      <c r="D247" s="4">
        <v>0</v>
      </c>
      <c r="E247" s="3">
        <v>0.958052747417241</v>
      </c>
      <c r="F247" s="4">
        <v>1</v>
      </c>
      <c r="G247" s="2">
        <v>730.84</v>
      </c>
      <c r="H247" s="2">
        <v>730.84</v>
      </c>
      <c r="I247" s="2">
        <v>730.84</v>
      </c>
      <c r="J247" s="2" t="str">
        <f t="shared" si="6"/>
        <v>75-90</v>
      </c>
      <c r="K247" s="17" t="str">
        <f t="shared" si="7"/>
        <v>9-11</v>
      </c>
    </row>
    <row r="248" spans="1:11" x14ac:dyDescent="0.2">
      <c r="A248" s="4">
        <v>76</v>
      </c>
      <c r="B248" s="4">
        <v>6</v>
      </c>
      <c r="C248" t="s">
        <v>8</v>
      </c>
      <c r="D248" s="4">
        <v>1</v>
      </c>
      <c r="E248" s="3">
        <v>0.56311910715885505</v>
      </c>
      <c r="F248" s="4">
        <v>1</v>
      </c>
      <c r="G248" s="2">
        <v>1789.59</v>
      </c>
      <c r="H248" s="2">
        <v>1789.59</v>
      </c>
      <c r="I248" s="2">
        <v>1789.59</v>
      </c>
      <c r="J248" s="2" t="str">
        <f t="shared" si="6"/>
        <v>75-90</v>
      </c>
      <c r="K248" s="17" t="str">
        <f t="shared" si="7"/>
        <v>6-8</v>
      </c>
    </row>
    <row r="249" spans="1:11" x14ac:dyDescent="0.2">
      <c r="A249" s="4">
        <v>85</v>
      </c>
      <c r="B249" s="4">
        <v>10</v>
      </c>
      <c r="C249" t="s">
        <v>8</v>
      </c>
      <c r="D249" s="4">
        <v>0</v>
      </c>
      <c r="E249" s="3">
        <v>0.87595043319743104</v>
      </c>
      <c r="F249" s="4">
        <v>1</v>
      </c>
      <c r="G249" s="2">
        <v>674.2</v>
      </c>
      <c r="H249" s="2">
        <v>674.2</v>
      </c>
      <c r="I249" s="2">
        <v>674.2</v>
      </c>
      <c r="J249" s="2" t="str">
        <f t="shared" si="6"/>
        <v>75-90</v>
      </c>
      <c r="K249" s="17" t="str">
        <f t="shared" si="7"/>
        <v>9-11</v>
      </c>
    </row>
    <row r="250" spans="1:11" x14ac:dyDescent="0.2">
      <c r="A250" s="4">
        <v>34</v>
      </c>
      <c r="B250" s="4">
        <v>13</v>
      </c>
      <c r="C250" t="s">
        <v>10</v>
      </c>
      <c r="D250" s="4">
        <v>0</v>
      </c>
      <c r="E250" s="3">
        <v>0.58827902539633203</v>
      </c>
      <c r="F250" s="4">
        <v>1</v>
      </c>
      <c r="G250" s="2">
        <v>701.38</v>
      </c>
      <c r="H250" s="2">
        <v>701.38</v>
      </c>
      <c r="I250" s="2">
        <v>701.38</v>
      </c>
      <c r="J250" s="2" t="str">
        <f t="shared" si="6"/>
        <v>25-34</v>
      </c>
      <c r="K250" s="17" t="str">
        <f t="shared" si="7"/>
        <v>12-15</v>
      </c>
    </row>
    <row r="251" spans="1:11" x14ac:dyDescent="0.2">
      <c r="A251" s="4">
        <v>76</v>
      </c>
      <c r="B251" s="4">
        <v>5</v>
      </c>
      <c r="C251" t="s">
        <v>8</v>
      </c>
      <c r="D251" s="4">
        <v>0</v>
      </c>
      <c r="E251" s="3">
        <v>0.97854689368978098</v>
      </c>
      <c r="F251" s="4">
        <v>1</v>
      </c>
      <c r="G251" s="2">
        <v>977.82</v>
      </c>
      <c r="H251" s="2">
        <v>977.82</v>
      </c>
      <c r="I251" s="2">
        <v>977.82</v>
      </c>
      <c r="J251" s="2" t="str">
        <f t="shared" si="6"/>
        <v>75-90</v>
      </c>
      <c r="K251" s="17" t="str">
        <f t="shared" si="7"/>
        <v>3-5</v>
      </c>
    </row>
    <row r="252" spans="1:11" x14ac:dyDescent="0.2">
      <c r="A252" s="4">
        <v>47</v>
      </c>
      <c r="B252" s="4">
        <v>6</v>
      </c>
      <c r="C252" t="s">
        <v>8</v>
      </c>
      <c r="D252" s="4">
        <v>0</v>
      </c>
      <c r="E252" s="3">
        <v>0.90105238417163502</v>
      </c>
      <c r="F252" s="4">
        <v>1</v>
      </c>
      <c r="G252" s="2">
        <v>320.06</v>
      </c>
      <c r="H252" s="2">
        <v>320.06</v>
      </c>
      <c r="I252" s="2">
        <v>320.06</v>
      </c>
      <c r="J252" s="2" t="str">
        <f t="shared" si="6"/>
        <v>45-54</v>
      </c>
      <c r="K252" s="17" t="str">
        <f t="shared" si="7"/>
        <v>6-8</v>
      </c>
    </row>
    <row r="253" spans="1:11" x14ac:dyDescent="0.2">
      <c r="A253" s="4">
        <v>38</v>
      </c>
      <c r="B253" s="4">
        <v>1</v>
      </c>
      <c r="C253" t="s">
        <v>16</v>
      </c>
      <c r="D253" s="4">
        <v>0</v>
      </c>
      <c r="E253" s="3">
        <v>0.85721059865318205</v>
      </c>
      <c r="F253" s="4">
        <v>1</v>
      </c>
      <c r="G253" s="2">
        <v>347.91</v>
      </c>
      <c r="H253" s="2">
        <v>347.91</v>
      </c>
      <c r="I253" s="2">
        <v>347.91</v>
      </c>
      <c r="J253" s="2" t="str">
        <f t="shared" si="6"/>
        <v>35-44</v>
      </c>
      <c r="K253" s="17" t="str">
        <f t="shared" si="7"/>
        <v>0-2</v>
      </c>
    </row>
    <row r="254" spans="1:11" x14ac:dyDescent="0.2">
      <c r="A254" s="4">
        <v>37</v>
      </c>
      <c r="B254" s="4">
        <v>11</v>
      </c>
      <c r="C254" t="s">
        <v>8</v>
      </c>
      <c r="D254" s="4">
        <v>0</v>
      </c>
      <c r="E254" s="3">
        <v>0.63147188420407496</v>
      </c>
      <c r="F254" s="4">
        <v>1</v>
      </c>
      <c r="G254" s="2">
        <v>307.44</v>
      </c>
      <c r="H254" s="2">
        <v>307.44</v>
      </c>
      <c r="I254" s="2">
        <v>307.44</v>
      </c>
      <c r="J254" s="2" t="str">
        <f t="shared" si="6"/>
        <v>35-44</v>
      </c>
      <c r="K254" s="17" t="str">
        <f t="shared" si="7"/>
        <v>9-11</v>
      </c>
    </row>
    <row r="255" spans="1:11" x14ac:dyDescent="0.2">
      <c r="A255" s="4">
        <v>53</v>
      </c>
      <c r="B255" s="4">
        <v>9</v>
      </c>
      <c r="C255" t="s">
        <v>8</v>
      </c>
      <c r="D255" s="4">
        <v>0</v>
      </c>
      <c r="E255" s="3">
        <v>0.94074377976357904</v>
      </c>
      <c r="F255" s="4">
        <v>1</v>
      </c>
      <c r="G255" s="2">
        <v>1074.71</v>
      </c>
      <c r="H255" s="2">
        <v>1074.71</v>
      </c>
      <c r="I255" s="2">
        <v>1074.71</v>
      </c>
      <c r="J255" s="2" t="str">
        <f t="shared" si="6"/>
        <v>45-54</v>
      </c>
      <c r="K255" s="17" t="str">
        <f t="shared" si="7"/>
        <v>9-11</v>
      </c>
    </row>
    <row r="256" spans="1:11" x14ac:dyDescent="0.2">
      <c r="A256" s="4">
        <v>52</v>
      </c>
      <c r="B256" s="4">
        <v>8</v>
      </c>
      <c r="C256" t="s">
        <v>8</v>
      </c>
      <c r="D256" s="4">
        <v>1</v>
      </c>
      <c r="E256" s="3">
        <v>0.682751546031795</v>
      </c>
      <c r="F256" s="4">
        <v>1</v>
      </c>
      <c r="G256" s="2">
        <v>565.92999999999995</v>
      </c>
      <c r="H256" s="2">
        <v>565.92999999999995</v>
      </c>
      <c r="I256" s="2">
        <v>565.92999999999995</v>
      </c>
      <c r="J256" s="2" t="str">
        <f t="shared" si="6"/>
        <v>45-54</v>
      </c>
      <c r="K256" s="17" t="str">
        <f t="shared" si="7"/>
        <v>6-8</v>
      </c>
    </row>
    <row r="257" spans="1:11" x14ac:dyDescent="0.2">
      <c r="A257" s="4">
        <v>22</v>
      </c>
      <c r="B257" s="4">
        <v>6</v>
      </c>
      <c r="C257" t="s">
        <v>16</v>
      </c>
      <c r="D257" s="4">
        <v>1</v>
      </c>
      <c r="E257" s="3">
        <v>0.98299857450183503</v>
      </c>
      <c r="F257" s="4">
        <v>1</v>
      </c>
      <c r="G257" s="2">
        <v>992.29</v>
      </c>
      <c r="H257" s="2">
        <v>992.29</v>
      </c>
      <c r="I257" s="2">
        <v>992.29</v>
      </c>
      <c r="J257" s="2" t="str">
        <f t="shared" si="6"/>
        <v>18-24</v>
      </c>
      <c r="K257" s="17" t="str">
        <f t="shared" si="7"/>
        <v>6-8</v>
      </c>
    </row>
    <row r="258" spans="1:11" x14ac:dyDescent="0.2">
      <c r="A258" s="4">
        <v>44</v>
      </c>
      <c r="B258" s="4">
        <v>14</v>
      </c>
      <c r="C258" t="s">
        <v>8</v>
      </c>
      <c r="D258" s="4">
        <v>0</v>
      </c>
      <c r="E258" s="3">
        <v>0.67012139747384902</v>
      </c>
      <c r="F258" s="4">
        <v>2</v>
      </c>
      <c r="G258" s="2">
        <v>1155.2</v>
      </c>
      <c r="H258" s="2">
        <v>577.6</v>
      </c>
      <c r="I258" s="2">
        <v>1155.2</v>
      </c>
      <c r="J258" s="2" t="str">
        <f t="shared" ref="J258:J321" si="8" xml:space="preserve"> IF(A258&lt;25,"18-24",
 IF(A258&lt;35,"25-34",
 IF(A258&lt;45,"35-44",
 IF(A258&lt;55,"45-54", IF(A258&lt;65, "55-64", IF(A258&lt;75, "65-74", "75-90"))))))</f>
        <v>35-44</v>
      </c>
      <c r="K258" s="17" t="str">
        <f t="shared" ref="K258:K321" si="9" xml:space="preserve"> IF(B258 &lt; 3, "0-2", IF(B258 &lt; 6, "3-5", IF(B258 &lt; 9, "6-8", IF(B258 &lt; 12, "9-11", "12-15"))))</f>
        <v>12-15</v>
      </c>
    </row>
    <row r="259" spans="1:11" x14ac:dyDescent="0.2">
      <c r="A259" s="4">
        <v>74</v>
      </c>
      <c r="B259" s="4">
        <v>13</v>
      </c>
      <c r="C259" t="s">
        <v>16</v>
      </c>
      <c r="D259" s="4">
        <v>0</v>
      </c>
      <c r="E259" s="3">
        <v>0.90042854216881096</v>
      </c>
      <c r="F259" s="4">
        <v>1</v>
      </c>
      <c r="G259" s="2">
        <v>1745.17</v>
      </c>
      <c r="H259" s="2">
        <v>1745.17</v>
      </c>
      <c r="I259" s="2">
        <v>1745.17</v>
      </c>
      <c r="J259" s="2" t="str">
        <f t="shared" si="8"/>
        <v>65-74</v>
      </c>
      <c r="K259" s="17" t="str">
        <f t="shared" si="9"/>
        <v>12-15</v>
      </c>
    </row>
    <row r="260" spans="1:11" x14ac:dyDescent="0.2">
      <c r="A260" s="4">
        <v>60</v>
      </c>
      <c r="B260" s="4">
        <v>1</v>
      </c>
      <c r="C260" t="s">
        <v>10</v>
      </c>
      <c r="D260" s="4">
        <v>0</v>
      </c>
      <c r="E260" s="3">
        <v>0.79420555650722202</v>
      </c>
      <c r="F260" s="4">
        <v>1</v>
      </c>
      <c r="G260" s="2">
        <v>987.17</v>
      </c>
      <c r="H260" s="2">
        <v>987.17</v>
      </c>
      <c r="I260" s="2">
        <v>987.17</v>
      </c>
      <c r="J260" s="2" t="str">
        <f t="shared" si="8"/>
        <v>55-64</v>
      </c>
      <c r="K260" s="17" t="str">
        <f t="shared" si="9"/>
        <v>0-2</v>
      </c>
    </row>
    <row r="261" spans="1:11" x14ac:dyDescent="0.2">
      <c r="A261" s="4">
        <v>62</v>
      </c>
      <c r="B261" s="4">
        <v>11</v>
      </c>
      <c r="C261" t="s">
        <v>8</v>
      </c>
      <c r="D261" s="4">
        <v>2</v>
      </c>
      <c r="E261" s="3">
        <v>0.72182037029415402</v>
      </c>
      <c r="F261" s="4">
        <v>1</v>
      </c>
      <c r="G261" s="2">
        <v>2287.6</v>
      </c>
      <c r="H261" s="2">
        <v>2287.6</v>
      </c>
      <c r="I261" s="2">
        <v>2287.6</v>
      </c>
      <c r="J261" s="2" t="str">
        <f t="shared" si="8"/>
        <v>55-64</v>
      </c>
      <c r="K261" s="17" t="str">
        <f t="shared" si="9"/>
        <v>9-11</v>
      </c>
    </row>
    <row r="262" spans="1:11" x14ac:dyDescent="0.2">
      <c r="A262" s="4">
        <v>23</v>
      </c>
      <c r="B262" s="4">
        <v>11</v>
      </c>
      <c r="C262" t="s">
        <v>8</v>
      </c>
      <c r="D262" s="4">
        <v>2</v>
      </c>
      <c r="E262" s="3">
        <v>0.66517387959174801</v>
      </c>
      <c r="F262" s="4">
        <v>1</v>
      </c>
      <c r="G262" s="2">
        <v>1257.9000000000001</v>
      </c>
      <c r="H262" s="2">
        <v>1257.9000000000001</v>
      </c>
      <c r="I262" s="2">
        <v>1257.9000000000001</v>
      </c>
      <c r="J262" s="2" t="str">
        <f t="shared" si="8"/>
        <v>18-24</v>
      </c>
      <c r="K262" s="17" t="str">
        <f t="shared" si="9"/>
        <v>9-11</v>
      </c>
    </row>
    <row r="263" spans="1:11" x14ac:dyDescent="0.2">
      <c r="A263" s="4">
        <v>22</v>
      </c>
      <c r="B263" s="4">
        <v>5</v>
      </c>
      <c r="C263" t="s">
        <v>16</v>
      </c>
      <c r="D263" s="4">
        <v>0</v>
      </c>
      <c r="E263" s="3">
        <v>0.66191011480987105</v>
      </c>
      <c r="F263" s="4">
        <v>1</v>
      </c>
      <c r="G263" s="2">
        <v>279.93</v>
      </c>
      <c r="H263" s="2">
        <v>279.93</v>
      </c>
      <c r="I263" s="2">
        <v>279.93</v>
      </c>
      <c r="J263" s="2" t="str">
        <f t="shared" si="8"/>
        <v>18-24</v>
      </c>
      <c r="K263" s="17" t="str">
        <f t="shared" si="9"/>
        <v>3-5</v>
      </c>
    </row>
    <row r="264" spans="1:11" x14ac:dyDescent="0.2">
      <c r="A264" s="4">
        <v>71</v>
      </c>
      <c r="B264" s="4">
        <v>6</v>
      </c>
      <c r="C264" t="s">
        <v>16</v>
      </c>
      <c r="D264" s="4">
        <v>0</v>
      </c>
      <c r="E264" s="3">
        <v>0.90032590390182998</v>
      </c>
      <c r="F264" s="4">
        <v>1</v>
      </c>
      <c r="G264" s="2">
        <v>1121.77</v>
      </c>
      <c r="H264" s="2">
        <v>1121.77</v>
      </c>
      <c r="I264" s="2">
        <v>1121.77</v>
      </c>
      <c r="J264" s="2" t="str">
        <f t="shared" si="8"/>
        <v>65-74</v>
      </c>
      <c r="K264" s="17" t="str">
        <f t="shared" si="9"/>
        <v>6-8</v>
      </c>
    </row>
    <row r="265" spans="1:11" x14ac:dyDescent="0.2">
      <c r="A265" s="4">
        <v>74</v>
      </c>
      <c r="B265" s="4">
        <v>8</v>
      </c>
      <c r="C265" t="s">
        <v>10</v>
      </c>
      <c r="D265" s="4">
        <v>0</v>
      </c>
      <c r="E265" s="3">
        <v>0.71376359765417896</v>
      </c>
      <c r="F265" s="4">
        <v>1</v>
      </c>
      <c r="G265" s="2">
        <v>968.19</v>
      </c>
      <c r="H265" s="2">
        <v>968.19</v>
      </c>
      <c r="I265" s="2">
        <v>968.19</v>
      </c>
      <c r="J265" s="2" t="str">
        <f t="shared" si="8"/>
        <v>65-74</v>
      </c>
      <c r="K265" s="17" t="str">
        <f t="shared" si="9"/>
        <v>6-8</v>
      </c>
    </row>
    <row r="266" spans="1:11" x14ac:dyDescent="0.2">
      <c r="A266" s="4">
        <v>51</v>
      </c>
      <c r="B266" s="4">
        <v>10</v>
      </c>
      <c r="C266" t="s">
        <v>8</v>
      </c>
      <c r="D266" s="4">
        <v>1</v>
      </c>
      <c r="E266" s="3">
        <v>0.55276762740686503</v>
      </c>
      <c r="F266" s="4">
        <v>2</v>
      </c>
      <c r="G266" s="2">
        <v>1070.8699999999999</v>
      </c>
      <c r="H266" s="2">
        <v>535.44000000000005</v>
      </c>
      <c r="I266" s="2">
        <v>1070.8699999999999</v>
      </c>
      <c r="J266" s="2" t="str">
        <f t="shared" si="8"/>
        <v>45-54</v>
      </c>
      <c r="K266" s="17" t="str">
        <f t="shared" si="9"/>
        <v>9-11</v>
      </c>
    </row>
    <row r="267" spans="1:11" x14ac:dyDescent="0.2">
      <c r="A267" s="4">
        <v>70</v>
      </c>
      <c r="B267" s="4">
        <v>4</v>
      </c>
      <c r="C267" t="s">
        <v>16</v>
      </c>
      <c r="D267" s="4">
        <v>0</v>
      </c>
      <c r="E267" s="3">
        <v>0.66866893821861595</v>
      </c>
      <c r="F267" s="4">
        <v>1</v>
      </c>
      <c r="G267" s="2">
        <v>751.87</v>
      </c>
      <c r="H267" s="2">
        <v>751.87</v>
      </c>
      <c r="I267" s="2">
        <v>751.87</v>
      </c>
      <c r="J267" s="2" t="str">
        <f t="shared" si="8"/>
        <v>65-74</v>
      </c>
      <c r="K267" s="17" t="str">
        <f t="shared" si="9"/>
        <v>3-5</v>
      </c>
    </row>
    <row r="268" spans="1:11" x14ac:dyDescent="0.2">
      <c r="A268" s="4">
        <v>39</v>
      </c>
      <c r="B268" s="4">
        <v>13</v>
      </c>
      <c r="C268" t="s">
        <v>8</v>
      </c>
      <c r="D268" s="4">
        <v>0</v>
      </c>
      <c r="E268" s="3">
        <v>0.90315666724927701</v>
      </c>
      <c r="F268" s="4">
        <v>1</v>
      </c>
      <c r="G268" s="2">
        <v>334.11</v>
      </c>
      <c r="H268" s="2">
        <v>334.11</v>
      </c>
      <c r="I268" s="2">
        <v>334.11</v>
      </c>
      <c r="J268" s="2" t="str">
        <f t="shared" si="8"/>
        <v>35-44</v>
      </c>
      <c r="K268" s="17" t="str">
        <f t="shared" si="9"/>
        <v>12-15</v>
      </c>
    </row>
    <row r="269" spans="1:11" x14ac:dyDescent="0.2">
      <c r="A269" s="4">
        <v>25</v>
      </c>
      <c r="B269" s="4">
        <v>7</v>
      </c>
      <c r="C269" t="s">
        <v>8</v>
      </c>
      <c r="D269" s="4">
        <v>0</v>
      </c>
      <c r="E269" s="3">
        <v>0.73037886759266302</v>
      </c>
      <c r="F269" s="4">
        <v>1</v>
      </c>
      <c r="G269" s="2">
        <v>197.17</v>
      </c>
      <c r="H269" s="2">
        <v>197.17</v>
      </c>
      <c r="I269" s="2">
        <v>197.17</v>
      </c>
      <c r="J269" s="2" t="str">
        <f t="shared" si="8"/>
        <v>25-34</v>
      </c>
      <c r="K269" s="17" t="str">
        <f t="shared" si="9"/>
        <v>6-8</v>
      </c>
    </row>
    <row r="270" spans="1:11" x14ac:dyDescent="0.2">
      <c r="A270" s="4">
        <v>87</v>
      </c>
      <c r="B270" s="4">
        <v>13</v>
      </c>
      <c r="C270" t="s">
        <v>8</v>
      </c>
      <c r="D270" s="4">
        <v>0</v>
      </c>
      <c r="E270" s="3">
        <v>0.82542558468412597</v>
      </c>
      <c r="F270" s="4">
        <v>1</v>
      </c>
      <c r="G270" s="2">
        <v>1846.87</v>
      </c>
      <c r="H270" s="2">
        <v>1846.87</v>
      </c>
      <c r="I270" s="2">
        <v>1846.87</v>
      </c>
      <c r="J270" s="2" t="str">
        <f t="shared" si="8"/>
        <v>75-90</v>
      </c>
      <c r="K270" s="17" t="str">
        <f t="shared" si="9"/>
        <v>12-15</v>
      </c>
    </row>
    <row r="271" spans="1:11" x14ac:dyDescent="0.2">
      <c r="A271" s="4">
        <v>71</v>
      </c>
      <c r="B271" s="4">
        <v>13</v>
      </c>
      <c r="C271" t="s">
        <v>16</v>
      </c>
      <c r="D271" s="4">
        <v>0</v>
      </c>
      <c r="E271" s="3">
        <v>0.96864303783513594</v>
      </c>
      <c r="F271" s="4">
        <v>2</v>
      </c>
      <c r="G271" s="2">
        <v>1244.3900000000001</v>
      </c>
      <c r="H271" s="2">
        <v>622.20000000000005</v>
      </c>
      <c r="I271" s="2">
        <v>1244.3900000000001</v>
      </c>
      <c r="J271" s="2" t="str">
        <f t="shared" si="8"/>
        <v>65-74</v>
      </c>
      <c r="K271" s="17" t="str">
        <f t="shared" si="9"/>
        <v>12-15</v>
      </c>
    </row>
    <row r="272" spans="1:11" x14ac:dyDescent="0.2">
      <c r="A272" s="4">
        <v>83</v>
      </c>
      <c r="B272" s="4">
        <v>12</v>
      </c>
      <c r="C272" t="s">
        <v>8</v>
      </c>
      <c r="D272" s="4">
        <v>0</v>
      </c>
      <c r="E272" s="3">
        <v>0.92982404935173701</v>
      </c>
      <c r="F272" s="4">
        <v>2</v>
      </c>
      <c r="G272" s="2">
        <v>1607.09</v>
      </c>
      <c r="H272" s="2">
        <v>803.55</v>
      </c>
      <c r="I272" s="2">
        <v>1607.09</v>
      </c>
      <c r="J272" s="2" t="str">
        <f t="shared" si="8"/>
        <v>75-90</v>
      </c>
      <c r="K272" s="17" t="str">
        <f t="shared" si="9"/>
        <v>12-15</v>
      </c>
    </row>
    <row r="273" spans="1:11" x14ac:dyDescent="0.2">
      <c r="A273" s="4">
        <v>41</v>
      </c>
      <c r="B273" s="4">
        <v>4</v>
      </c>
      <c r="C273" t="s">
        <v>10</v>
      </c>
      <c r="D273" s="4">
        <v>0</v>
      </c>
      <c r="E273" s="3">
        <v>0.725829866831191</v>
      </c>
      <c r="F273" s="4">
        <v>1</v>
      </c>
      <c r="G273" s="2">
        <v>711.16</v>
      </c>
      <c r="H273" s="2">
        <v>711.16</v>
      </c>
      <c r="I273" s="2">
        <v>711.16</v>
      </c>
      <c r="J273" s="2" t="str">
        <f t="shared" si="8"/>
        <v>35-44</v>
      </c>
      <c r="K273" s="17" t="str">
        <f t="shared" si="9"/>
        <v>3-5</v>
      </c>
    </row>
    <row r="274" spans="1:11" x14ac:dyDescent="0.2">
      <c r="A274" s="4">
        <v>69</v>
      </c>
      <c r="B274" s="4">
        <v>11</v>
      </c>
      <c r="C274" t="s">
        <v>16</v>
      </c>
      <c r="D274" s="4">
        <v>0</v>
      </c>
      <c r="E274" s="3">
        <v>0.660553129157051</v>
      </c>
      <c r="F274" s="4">
        <v>1</v>
      </c>
      <c r="G274" s="2">
        <v>675</v>
      </c>
      <c r="H274" s="2">
        <v>675</v>
      </c>
      <c r="I274" s="2">
        <v>675</v>
      </c>
      <c r="J274" s="2" t="str">
        <f t="shared" si="8"/>
        <v>65-74</v>
      </c>
      <c r="K274" s="17" t="str">
        <f t="shared" si="9"/>
        <v>9-11</v>
      </c>
    </row>
    <row r="275" spans="1:11" x14ac:dyDescent="0.2">
      <c r="A275" s="4">
        <v>54</v>
      </c>
      <c r="B275" s="4">
        <v>10</v>
      </c>
      <c r="C275" t="s">
        <v>16</v>
      </c>
      <c r="D275" s="4">
        <v>0</v>
      </c>
      <c r="E275" s="3">
        <v>0.95127338706515696</v>
      </c>
      <c r="F275" s="4">
        <v>2</v>
      </c>
      <c r="G275" s="2">
        <v>541</v>
      </c>
      <c r="H275" s="2">
        <v>270.5</v>
      </c>
      <c r="I275" s="2">
        <v>541</v>
      </c>
      <c r="J275" s="2" t="str">
        <f t="shared" si="8"/>
        <v>45-54</v>
      </c>
      <c r="K275" s="17" t="str">
        <f t="shared" si="9"/>
        <v>9-11</v>
      </c>
    </row>
    <row r="276" spans="1:11" x14ac:dyDescent="0.2">
      <c r="A276" s="4">
        <v>86</v>
      </c>
      <c r="B276" s="4">
        <v>0</v>
      </c>
      <c r="C276" t="s">
        <v>8</v>
      </c>
      <c r="D276" s="4">
        <v>0</v>
      </c>
      <c r="E276" s="3">
        <v>0.67336539749521795</v>
      </c>
      <c r="F276" s="4">
        <v>1</v>
      </c>
      <c r="G276" s="2">
        <v>371.15</v>
      </c>
      <c r="H276" s="2">
        <v>371.15</v>
      </c>
      <c r="I276" s="2">
        <v>371.15</v>
      </c>
      <c r="J276" s="2" t="str">
        <f t="shared" si="8"/>
        <v>75-90</v>
      </c>
      <c r="K276" s="17" t="str">
        <f t="shared" si="9"/>
        <v>0-2</v>
      </c>
    </row>
    <row r="277" spans="1:11" x14ac:dyDescent="0.2">
      <c r="A277" s="4">
        <v>82</v>
      </c>
      <c r="B277" s="4">
        <v>15</v>
      </c>
      <c r="C277" t="s">
        <v>16</v>
      </c>
      <c r="D277" s="4">
        <v>1</v>
      </c>
      <c r="E277" s="3">
        <v>0.97290964866988405</v>
      </c>
      <c r="F277" s="4">
        <v>1</v>
      </c>
      <c r="G277" s="2">
        <v>6045.91</v>
      </c>
      <c r="H277" s="2">
        <v>6045.91</v>
      </c>
      <c r="I277" s="2">
        <v>6045.91</v>
      </c>
      <c r="J277" s="2" t="str">
        <f t="shared" si="8"/>
        <v>75-90</v>
      </c>
      <c r="K277" s="17" t="str">
        <f t="shared" si="9"/>
        <v>12-15</v>
      </c>
    </row>
    <row r="278" spans="1:11" x14ac:dyDescent="0.2">
      <c r="A278" s="4">
        <v>62</v>
      </c>
      <c r="B278" s="4">
        <v>2</v>
      </c>
      <c r="C278" t="s">
        <v>16</v>
      </c>
      <c r="D278" s="4">
        <v>1</v>
      </c>
      <c r="E278" s="3">
        <v>0.89080430183093995</v>
      </c>
      <c r="F278" s="4">
        <v>1</v>
      </c>
      <c r="G278" s="2">
        <v>549.04</v>
      </c>
      <c r="H278" s="2">
        <v>549.04</v>
      </c>
      <c r="I278" s="2">
        <v>549.04</v>
      </c>
      <c r="J278" s="2" t="str">
        <f t="shared" si="8"/>
        <v>55-64</v>
      </c>
      <c r="K278" s="17" t="str">
        <f t="shared" si="9"/>
        <v>0-2</v>
      </c>
    </row>
    <row r="279" spans="1:11" x14ac:dyDescent="0.2">
      <c r="A279" s="4">
        <v>26</v>
      </c>
      <c r="B279" s="4">
        <v>13</v>
      </c>
      <c r="C279" t="s">
        <v>8</v>
      </c>
      <c r="D279" s="4">
        <v>1</v>
      </c>
      <c r="E279" s="3">
        <v>0.85499921371229004</v>
      </c>
      <c r="F279" s="4">
        <v>2</v>
      </c>
      <c r="G279" s="2">
        <v>461.33</v>
      </c>
      <c r="H279" s="2">
        <v>230.66</v>
      </c>
      <c r="I279" s="2">
        <v>461.33</v>
      </c>
      <c r="J279" s="2" t="str">
        <f t="shared" si="8"/>
        <v>25-34</v>
      </c>
      <c r="K279" s="17" t="str">
        <f t="shared" si="9"/>
        <v>12-15</v>
      </c>
    </row>
    <row r="280" spans="1:11" x14ac:dyDescent="0.2">
      <c r="A280" s="4">
        <v>73</v>
      </c>
      <c r="B280" s="4">
        <v>10</v>
      </c>
      <c r="C280" t="s">
        <v>8</v>
      </c>
      <c r="D280" s="4">
        <v>0</v>
      </c>
      <c r="E280" s="3">
        <v>0.54179734305944305</v>
      </c>
      <c r="F280" s="4">
        <v>2</v>
      </c>
      <c r="G280" s="2">
        <v>728.44</v>
      </c>
      <c r="H280" s="2">
        <v>364.22</v>
      </c>
      <c r="I280" s="2">
        <v>728.44</v>
      </c>
      <c r="J280" s="2" t="str">
        <f t="shared" si="8"/>
        <v>65-74</v>
      </c>
      <c r="K280" s="17" t="str">
        <f t="shared" si="9"/>
        <v>9-11</v>
      </c>
    </row>
    <row r="281" spans="1:11" x14ac:dyDescent="0.2">
      <c r="A281" s="4">
        <v>56</v>
      </c>
      <c r="B281" s="4">
        <v>12</v>
      </c>
      <c r="C281" t="s">
        <v>16</v>
      </c>
      <c r="D281" s="4">
        <v>0</v>
      </c>
      <c r="E281" s="3">
        <v>0.84509699698537599</v>
      </c>
      <c r="F281" s="4">
        <v>2</v>
      </c>
      <c r="G281" s="2">
        <v>756.4</v>
      </c>
      <c r="H281" s="2">
        <v>378.2</v>
      </c>
      <c r="I281" s="2">
        <v>756.4</v>
      </c>
      <c r="J281" s="2" t="str">
        <f t="shared" si="8"/>
        <v>55-64</v>
      </c>
      <c r="K281" s="17" t="str">
        <f t="shared" si="9"/>
        <v>12-15</v>
      </c>
    </row>
    <row r="282" spans="1:11" x14ac:dyDescent="0.2">
      <c r="A282" s="4">
        <v>80</v>
      </c>
      <c r="B282" s="4">
        <v>2</v>
      </c>
      <c r="C282" t="s">
        <v>16</v>
      </c>
      <c r="D282" s="4">
        <v>0</v>
      </c>
      <c r="E282" s="3">
        <v>0.52431060816161301</v>
      </c>
      <c r="F282" s="4">
        <v>1</v>
      </c>
      <c r="G282" s="2">
        <v>698.64</v>
      </c>
      <c r="H282" s="2">
        <v>698.64</v>
      </c>
      <c r="I282" s="2">
        <v>698.64</v>
      </c>
      <c r="J282" s="2" t="str">
        <f t="shared" si="8"/>
        <v>75-90</v>
      </c>
      <c r="K282" s="17" t="str">
        <f t="shared" si="9"/>
        <v>0-2</v>
      </c>
    </row>
    <row r="283" spans="1:11" x14ac:dyDescent="0.2">
      <c r="A283" s="4">
        <v>82</v>
      </c>
      <c r="B283" s="4">
        <v>6</v>
      </c>
      <c r="C283" t="s">
        <v>10</v>
      </c>
      <c r="D283" s="4">
        <v>1</v>
      </c>
      <c r="E283" s="3">
        <v>0.89324470644351095</v>
      </c>
      <c r="F283" s="4">
        <v>3</v>
      </c>
      <c r="G283" s="2">
        <v>739.77</v>
      </c>
      <c r="H283" s="2">
        <v>246.59</v>
      </c>
      <c r="I283" s="2">
        <v>739.77</v>
      </c>
      <c r="J283" s="2" t="str">
        <f t="shared" si="8"/>
        <v>75-90</v>
      </c>
      <c r="K283" s="17" t="str">
        <f t="shared" si="9"/>
        <v>6-8</v>
      </c>
    </row>
    <row r="284" spans="1:11" x14ac:dyDescent="0.2">
      <c r="A284" s="4">
        <v>63</v>
      </c>
      <c r="B284" s="4">
        <v>7</v>
      </c>
      <c r="C284" t="s">
        <v>8</v>
      </c>
      <c r="D284" s="4">
        <v>0</v>
      </c>
      <c r="E284" s="3">
        <v>0.71112766733858701</v>
      </c>
      <c r="F284" s="4">
        <v>1</v>
      </c>
      <c r="G284" s="2">
        <v>731.9</v>
      </c>
      <c r="H284" s="2">
        <v>731.9</v>
      </c>
      <c r="I284" s="2">
        <v>731.9</v>
      </c>
      <c r="J284" s="2" t="str">
        <f t="shared" si="8"/>
        <v>55-64</v>
      </c>
      <c r="K284" s="17" t="str">
        <f t="shared" si="9"/>
        <v>6-8</v>
      </c>
    </row>
    <row r="285" spans="1:11" x14ac:dyDescent="0.2">
      <c r="A285" s="4">
        <v>26</v>
      </c>
      <c r="B285" s="4">
        <v>11</v>
      </c>
      <c r="C285" t="s">
        <v>10</v>
      </c>
      <c r="D285" s="4">
        <v>2</v>
      </c>
      <c r="E285" s="3">
        <v>0.93285701738204796</v>
      </c>
      <c r="F285" s="4">
        <v>1</v>
      </c>
      <c r="G285" s="2">
        <v>1530.95</v>
      </c>
      <c r="H285" s="2">
        <v>1530.95</v>
      </c>
      <c r="I285" s="2">
        <v>1530.95</v>
      </c>
      <c r="J285" s="2" t="str">
        <f t="shared" si="8"/>
        <v>25-34</v>
      </c>
      <c r="K285" s="17" t="str">
        <f t="shared" si="9"/>
        <v>9-11</v>
      </c>
    </row>
    <row r="286" spans="1:11" x14ac:dyDescent="0.2">
      <c r="A286" s="4">
        <v>86</v>
      </c>
      <c r="B286" s="4">
        <v>14</v>
      </c>
      <c r="C286" t="s">
        <v>8</v>
      </c>
      <c r="D286" s="4">
        <v>2</v>
      </c>
      <c r="E286" s="3">
        <v>0.767095420742407</v>
      </c>
      <c r="F286" s="4">
        <v>1</v>
      </c>
      <c r="G286" s="2">
        <v>3526.4</v>
      </c>
      <c r="H286" s="2">
        <v>3526.4</v>
      </c>
      <c r="I286" s="2">
        <v>3526.4</v>
      </c>
      <c r="J286" s="2" t="str">
        <f t="shared" si="8"/>
        <v>75-90</v>
      </c>
      <c r="K286" s="17" t="str">
        <f t="shared" si="9"/>
        <v>12-15</v>
      </c>
    </row>
    <row r="287" spans="1:11" x14ac:dyDescent="0.2">
      <c r="A287" s="4">
        <v>57</v>
      </c>
      <c r="B287" s="4">
        <v>4</v>
      </c>
      <c r="C287" t="s">
        <v>10</v>
      </c>
      <c r="D287" s="4">
        <v>0</v>
      </c>
      <c r="E287" s="3">
        <v>0.60497412877157297</v>
      </c>
      <c r="F287" s="4">
        <v>1</v>
      </c>
      <c r="G287" s="2">
        <v>459.09</v>
      </c>
      <c r="H287" s="2">
        <v>459.09</v>
      </c>
      <c r="I287" s="2">
        <v>459.09</v>
      </c>
      <c r="J287" s="2" t="str">
        <f t="shared" si="8"/>
        <v>55-64</v>
      </c>
      <c r="K287" s="17" t="str">
        <f t="shared" si="9"/>
        <v>3-5</v>
      </c>
    </row>
    <row r="288" spans="1:11" x14ac:dyDescent="0.2">
      <c r="A288" s="4">
        <v>45</v>
      </c>
      <c r="B288" s="4">
        <v>14</v>
      </c>
      <c r="C288" t="s">
        <v>16</v>
      </c>
      <c r="D288" s="4">
        <v>0</v>
      </c>
      <c r="E288" s="3">
        <v>0.87800442788284305</v>
      </c>
      <c r="F288" s="4">
        <v>1</v>
      </c>
      <c r="G288" s="2">
        <v>592.67999999999995</v>
      </c>
      <c r="H288" s="2">
        <v>592.67999999999995</v>
      </c>
      <c r="I288" s="2">
        <v>592.67999999999995</v>
      </c>
      <c r="J288" s="2" t="str">
        <f t="shared" si="8"/>
        <v>45-54</v>
      </c>
      <c r="K288" s="17" t="str">
        <f t="shared" si="9"/>
        <v>12-15</v>
      </c>
    </row>
    <row r="289" spans="1:11" x14ac:dyDescent="0.2">
      <c r="A289" s="4">
        <v>57</v>
      </c>
      <c r="B289" s="4">
        <v>11</v>
      </c>
      <c r="C289" t="s">
        <v>8</v>
      </c>
      <c r="D289" s="4">
        <v>1</v>
      </c>
      <c r="E289" s="3">
        <v>0.87068855192046601</v>
      </c>
      <c r="F289" s="4">
        <v>1</v>
      </c>
      <c r="G289" s="2">
        <v>1111.08</v>
      </c>
      <c r="H289" s="2">
        <v>1111.08</v>
      </c>
      <c r="I289" s="2">
        <v>1111.08</v>
      </c>
      <c r="J289" s="2" t="str">
        <f t="shared" si="8"/>
        <v>55-64</v>
      </c>
      <c r="K289" s="17" t="str">
        <f t="shared" si="9"/>
        <v>9-11</v>
      </c>
    </row>
    <row r="290" spans="1:11" x14ac:dyDescent="0.2">
      <c r="A290" s="4">
        <v>60</v>
      </c>
      <c r="B290" s="4">
        <v>7</v>
      </c>
      <c r="C290" t="s">
        <v>8</v>
      </c>
      <c r="D290" s="4">
        <v>0</v>
      </c>
      <c r="E290" s="3">
        <v>0.64985891769174498</v>
      </c>
      <c r="F290" s="4">
        <v>1</v>
      </c>
      <c r="G290" s="2">
        <v>452.76</v>
      </c>
      <c r="H290" s="2">
        <v>452.76</v>
      </c>
      <c r="I290" s="2">
        <v>452.76</v>
      </c>
      <c r="J290" s="2" t="str">
        <f t="shared" si="8"/>
        <v>55-64</v>
      </c>
      <c r="K290" s="17" t="str">
        <f t="shared" si="9"/>
        <v>6-8</v>
      </c>
    </row>
    <row r="291" spans="1:11" x14ac:dyDescent="0.2">
      <c r="A291" s="4">
        <v>66</v>
      </c>
      <c r="B291" s="4">
        <v>4</v>
      </c>
      <c r="C291" t="s">
        <v>8</v>
      </c>
      <c r="D291" s="4">
        <v>1</v>
      </c>
      <c r="E291" s="3">
        <v>0.59533206047490195</v>
      </c>
      <c r="F291" s="4">
        <v>1</v>
      </c>
      <c r="G291" s="2">
        <v>594.38</v>
      </c>
      <c r="H291" s="2">
        <v>594.38</v>
      </c>
      <c r="I291" s="2">
        <v>594.38</v>
      </c>
      <c r="J291" s="2" t="str">
        <f t="shared" si="8"/>
        <v>65-74</v>
      </c>
      <c r="K291" s="17" t="str">
        <f t="shared" si="9"/>
        <v>3-5</v>
      </c>
    </row>
    <row r="292" spans="1:11" x14ac:dyDescent="0.2">
      <c r="A292" s="4">
        <v>55</v>
      </c>
      <c r="B292" s="4">
        <v>12</v>
      </c>
      <c r="C292" t="s">
        <v>10</v>
      </c>
      <c r="D292" s="4">
        <v>0</v>
      </c>
      <c r="E292" s="3">
        <v>0.80002325156237897</v>
      </c>
      <c r="F292" s="4">
        <v>2</v>
      </c>
      <c r="G292" s="2">
        <v>2005.07</v>
      </c>
      <c r="H292" s="2">
        <v>1002.54</v>
      </c>
      <c r="I292" s="2">
        <v>2005.07</v>
      </c>
      <c r="J292" s="2" t="str">
        <f t="shared" si="8"/>
        <v>55-64</v>
      </c>
      <c r="K292" s="17" t="str">
        <f t="shared" si="9"/>
        <v>12-15</v>
      </c>
    </row>
    <row r="293" spans="1:11" x14ac:dyDescent="0.2">
      <c r="A293" s="4">
        <v>77</v>
      </c>
      <c r="B293" s="4">
        <v>4</v>
      </c>
      <c r="C293" t="s">
        <v>8</v>
      </c>
      <c r="D293" s="4">
        <v>1</v>
      </c>
      <c r="E293" s="3">
        <v>0.98284193978179202</v>
      </c>
      <c r="F293" s="4">
        <v>2</v>
      </c>
      <c r="G293" s="2">
        <v>2820.14</v>
      </c>
      <c r="H293" s="2">
        <v>1410.07</v>
      </c>
      <c r="I293" s="2">
        <v>2820.14</v>
      </c>
      <c r="J293" s="2" t="str">
        <f t="shared" si="8"/>
        <v>75-90</v>
      </c>
      <c r="K293" s="17" t="str">
        <f t="shared" si="9"/>
        <v>3-5</v>
      </c>
    </row>
    <row r="294" spans="1:11" x14ac:dyDescent="0.2">
      <c r="A294" s="4">
        <v>59</v>
      </c>
      <c r="B294" s="4">
        <v>6</v>
      </c>
      <c r="C294" t="s">
        <v>16</v>
      </c>
      <c r="D294" s="4">
        <v>0</v>
      </c>
      <c r="E294" s="3">
        <v>0.53344591078348502</v>
      </c>
      <c r="F294" s="4">
        <v>1</v>
      </c>
      <c r="G294" s="2">
        <v>503.09</v>
      </c>
      <c r="H294" s="2">
        <v>503.09</v>
      </c>
      <c r="I294" s="2">
        <v>503.09</v>
      </c>
      <c r="J294" s="2" t="str">
        <f t="shared" si="8"/>
        <v>55-64</v>
      </c>
      <c r="K294" s="17" t="str">
        <f t="shared" si="9"/>
        <v>6-8</v>
      </c>
    </row>
    <row r="295" spans="1:11" x14ac:dyDescent="0.2">
      <c r="A295" s="4">
        <v>87</v>
      </c>
      <c r="B295" s="4">
        <v>8</v>
      </c>
      <c r="C295" t="s">
        <v>8</v>
      </c>
      <c r="D295" s="4">
        <v>0</v>
      </c>
      <c r="E295" s="3">
        <v>0.50065656797960401</v>
      </c>
      <c r="F295" s="4">
        <v>1</v>
      </c>
      <c r="G295" s="2">
        <v>1414.95</v>
      </c>
      <c r="H295" s="2">
        <v>1414.95</v>
      </c>
      <c r="I295" s="2">
        <v>1414.95</v>
      </c>
      <c r="J295" s="2" t="str">
        <f t="shared" si="8"/>
        <v>75-90</v>
      </c>
      <c r="K295" s="17" t="str">
        <f t="shared" si="9"/>
        <v>6-8</v>
      </c>
    </row>
    <row r="296" spans="1:11" x14ac:dyDescent="0.2">
      <c r="A296" s="4">
        <v>61</v>
      </c>
      <c r="B296" s="4">
        <v>13</v>
      </c>
      <c r="C296" t="s">
        <v>16</v>
      </c>
      <c r="D296" s="4">
        <v>0</v>
      </c>
      <c r="E296" s="3">
        <v>0.96473667386453599</v>
      </c>
      <c r="F296" s="4">
        <v>2</v>
      </c>
      <c r="G296" s="2">
        <v>1867.24</v>
      </c>
      <c r="H296" s="2">
        <v>933.62</v>
      </c>
      <c r="I296" s="2">
        <v>1867.24</v>
      </c>
      <c r="J296" s="2" t="str">
        <f t="shared" si="8"/>
        <v>55-64</v>
      </c>
      <c r="K296" s="17" t="str">
        <f t="shared" si="9"/>
        <v>12-15</v>
      </c>
    </row>
    <row r="297" spans="1:11" x14ac:dyDescent="0.2">
      <c r="A297" s="4">
        <v>41</v>
      </c>
      <c r="B297" s="4">
        <v>4</v>
      </c>
      <c r="C297" t="s">
        <v>8</v>
      </c>
      <c r="D297" s="4">
        <v>0</v>
      </c>
      <c r="E297" s="3">
        <v>0.80767214193474501</v>
      </c>
      <c r="F297" s="4">
        <v>1</v>
      </c>
      <c r="G297" s="2">
        <v>256.25</v>
      </c>
      <c r="H297" s="2">
        <v>256.25</v>
      </c>
      <c r="I297" s="2">
        <v>256.25</v>
      </c>
      <c r="J297" s="2" t="str">
        <f t="shared" si="8"/>
        <v>35-44</v>
      </c>
      <c r="K297" s="17" t="str">
        <f t="shared" si="9"/>
        <v>3-5</v>
      </c>
    </row>
    <row r="298" spans="1:11" x14ac:dyDescent="0.2">
      <c r="A298" s="4">
        <v>76</v>
      </c>
      <c r="B298" s="4">
        <v>11</v>
      </c>
      <c r="C298" t="s">
        <v>8</v>
      </c>
      <c r="D298" s="4">
        <v>0</v>
      </c>
      <c r="E298" s="3">
        <v>0.60979014297481604</v>
      </c>
      <c r="F298" s="4">
        <v>1</v>
      </c>
      <c r="G298" s="2">
        <v>583.54999999999995</v>
      </c>
      <c r="H298" s="2">
        <v>583.54999999999995</v>
      </c>
      <c r="I298" s="2">
        <v>583.54999999999995</v>
      </c>
      <c r="J298" s="2" t="str">
        <f t="shared" si="8"/>
        <v>75-90</v>
      </c>
      <c r="K298" s="17" t="str">
        <f t="shared" si="9"/>
        <v>9-11</v>
      </c>
    </row>
    <row r="299" spans="1:11" x14ac:dyDescent="0.2">
      <c r="A299" s="4">
        <v>80</v>
      </c>
      <c r="B299" s="4">
        <v>9</v>
      </c>
      <c r="C299" t="s">
        <v>8</v>
      </c>
      <c r="D299" s="4">
        <v>0</v>
      </c>
      <c r="E299" s="3">
        <v>0.99059424560982701</v>
      </c>
      <c r="F299" s="4">
        <v>1</v>
      </c>
      <c r="G299" s="2">
        <v>1353.75</v>
      </c>
      <c r="H299" s="2">
        <v>1353.75</v>
      </c>
      <c r="I299" s="2">
        <v>1353.75</v>
      </c>
      <c r="J299" s="2" t="str">
        <f t="shared" si="8"/>
        <v>75-90</v>
      </c>
      <c r="K299" s="17" t="str">
        <f t="shared" si="9"/>
        <v>9-11</v>
      </c>
    </row>
    <row r="300" spans="1:11" x14ac:dyDescent="0.2">
      <c r="A300" s="4">
        <v>67</v>
      </c>
      <c r="B300" s="4">
        <v>10</v>
      </c>
      <c r="C300" t="s">
        <v>8</v>
      </c>
      <c r="D300" s="4">
        <v>1</v>
      </c>
      <c r="E300" s="3">
        <v>0.94543461664579798</v>
      </c>
      <c r="F300" s="4">
        <v>2</v>
      </c>
      <c r="G300" s="2">
        <v>1987.96</v>
      </c>
      <c r="H300" s="2">
        <v>993.98</v>
      </c>
      <c r="I300" s="2">
        <v>1987.96</v>
      </c>
      <c r="J300" s="2" t="str">
        <f t="shared" si="8"/>
        <v>65-74</v>
      </c>
      <c r="K300" s="17" t="str">
        <f t="shared" si="9"/>
        <v>9-11</v>
      </c>
    </row>
    <row r="301" spans="1:11" x14ac:dyDescent="0.2">
      <c r="A301" s="4">
        <v>61</v>
      </c>
      <c r="B301" s="4">
        <v>2</v>
      </c>
      <c r="C301" t="s">
        <v>10</v>
      </c>
      <c r="D301" s="4">
        <v>0</v>
      </c>
      <c r="E301" s="3">
        <v>0.959398106439039</v>
      </c>
      <c r="F301" s="4">
        <v>1</v>
      </c>
      <c r="G301" s="2">
        <v>628.62</v>
      </c>
      <c r="H301" s="2">
        <v>628.62</v>
      </c>
      <c r="I301" s="2">
        <v>628.62</v>
      </c>
      <c r="J301" s="2" t="str">
        <f t="shared" si="8"/>
        <v>55-64</v>
      </c>
      <c r="K301" s="17" t="str">
        <f t="shared" si="9"/>
        <v>0-2</v>
      </c>
    </row>
    <row r="302" spans="1:11" x14ac:dyDescent="0.2">
      <c r="A302" s="4">
        <v>29</v>
      </c>
      <c r="B302" s="4">
        <v>14</v>
      </c>
      <c r="C302" t="s">
        <v>8</v>
      </c>
      <c r="D302" s="4">
        <v>1</v>
      </c>
      <c r="E302" s="3">
        <v>0.79868855024687901</v>
      </c>
      <c r="F302" s="4">
        <v>1</v>
      </c>
      <c r="G302" s="2">
        <v>1384.85</v>
      </c>
      <c r="H302" s="2">
        <v>1384.85</v>
      </c>
      <c r="I302" s="2">
        <v>1384.85</v>
      </c>
      <c r="J302" s="2" t="str">
        <f t="shared" si="8"/>
        <v>25-34</v>
      </c>
      <c r="K302" s="17" t="str">
        <f t="shared" si="9"/>
        <v>12-15</v>
      </c>
    </row>
    <row r="303" spans="1:11" x14ac:dyDescent="0.2">
      <c r="A303" s="4">
        <v>56</v>
      </c>
      <c r="B303" s="4">
        <v>6</v>
      </c>
      <c r="C303" t="s">
        <v>8</v>
      </c>
      <c r="D303" s="4">
        <v>0</v>
      </c>
      <c r="E303" s="3">
        <v>0.969576795119792</v>
      </c>
      <c r="F303" s="4">
        <v>1</v>
      </c>
      <c r="G303" s="2">
        <v>306.04000000000002</v>
      </c>
      <c r="H303" s="2">
        <v>306.04000000000002</v>
      </c>
      <c r="I303" s="2">
        <v>306.04000000000002</v>
      </c>
      <c r="J303" s="2" t="str">
        <f t="shared" si="8"/>
        <v>55-64</v>
      </c>
      <c r="K303" s="17" t="str">
        <f t="shared" si="9"/>
        <v>6-8</v>
      </c>
    </row>
    <row r="304" spans="1:11" x14ac:dyDescent="0.2">
      <c r="A304" s="4">
        <v>40</v>
      </c>
      <c r="B304" s="4">
        <v>12</v>
      </c>
      <c r="C304" t="s">
        <v>8</v>
      </c>
      <c r="D304" s="4">
        <v>0</v>
      </c>
      <c r="E304" s="3">
        <v>0.82490353810135297</v>
      </c>
      <c r="F304" s="4">
        <v>1</v>
      </c>
      <c r="G304" s="2">
        <v>431.37</v>
      </c>
      <c r="H304" s="2">
        <v>431.37</v>
      </c>
      <c r="I304" s="2">
        <v>431.37</v>
      </c>
      <c r="J304" s="2" t="str">
        <f t="shared" si="8"/>
        <v>35-44</v>
      </c>
      <c r="K304" s="17" t="str">
        <f t="shared" si="9"/>
        <v>12-15</v>
      </c>
    </row>
    <row r="305" spans="1:11" x14ac:dyDescent="0.2">
      <c r="A305" s="4">
        <v>58</v>
      </c>
      <c r="B305" s="4">
        <v>9</v>
      </c>
      <c r="C305" t="s">
        <v>10</v>
      </c>
      <c r="D305" s="4">
        <v>0</v>
      </c>
      <c r="E305" s="3">
        <v>0.77681175712495998</v>
      </c>
      <c r="F305" s="4">
        <v>1</v>
      </c>
      <c r="G305" s="2">
        <v>978.41</v>
      </c>
      <c r="H305" s="2">
        <v>978.41</v>
      </c>
      <c r="I305" s="2">
        <v>978.41</v>
      </c>
      <c r="J305" s="2" t="str">
        <f t="shared" si="8"/>
        <v>55-64</v>
      </c>
      <c r="K305" s="17" t="str">
        <f t="shared" si="9"/>
        <v>9-11</v>
      </c>
    </row>
    <row r="306" spans="1:11" x14ac:dyDescent="0.2">
      <c r="A306" s="4">
        <v>87</v>
      </c>
      <c r="B306" s="4">
        <v>12</v>
      </c>
      <c r="C306" t="s">
        <v>16</v>
      </c>
      <c r="D306" s="4">
        <v>0</v>
      </c>
      <c r="E306" s="3">
        <v>0.773537914501503</v>
      </c>
      <c r="F306" s="4">
        <v>2</v>
      </c>
      <c r="G306" s="2">
        <v>3760.72</v>
      </c>
      <c r="H306" s="2">
        <v>1880.36</v>
      </c>
      <c r="I306" s="2">
        <v>3760.72</v>
      </c>
      <c r="J306" s="2" t="str">
        <f t="shared" si="8"/>
        <v>75-90</v>
      </c>
      <c r="K306" s="17" t="str">
        <f t="shared" si="9"/>
        <v>12-15</v>
      </c>
    </row>
    <row r="307" spans="1:11" x14ac:dyDescent="0.2">
      <c r="A307" s="4">
        <v>64</v>
      </c>
      <c r="B307" s="4">
        <v>14</v>
      </c>
      <c r="C307" t="s">
        <v>8</v>
      </c>
      <c r="D307" s="4">
        <v>1</v>
      </c>
      <c r="E307" s="3">
        <v>0.64652010344434496</v>
      </c>
      <c r="F307" s="4">
        <v>1</v>
      </c>
      <c r="G307" s="2">
        <v>1064.99</v>
      </c>
      <c r="H307" s="2">
        <v>1064.99</v>
      </c>
      <c r="I307" s="2">
        <v>1064.99</v>
      </c>
      <c r="J307" s="2" t="str">
        <f t="shared" si="8"/>
        <v>55-64</v>
      </c>
      <c r="K307" s="17" t="str">
        <f t="shared" si="9"/>
        <v>12-15</v>
      </c>
    </row>
    <row r="308" spans="1:11" x14ac:dyDescent="0.2">
      <c r="A308" s="4">
        <v>22</v>
      </c>
      <c r="B308" s="4">
        <v>12</v>
      </c>
      <c r="C308" t="s">
        <v>8</v>
      </c>
      <c r="D308" s="4">
        <v>0</v>
      </c>
      <c r="E308" s="3">
        <v>0.96491319686174404</v>
      </c>
      <c r="F308" s="4">
        <v>1</v>
      </c>
      <c r="G308" s="2">
        <v>343.74</v>
      </c>
      <c r="H308" s="2">
        <v>343.74</v>
      </c>
      <c r="I308" s="2">
        <v>343.74</v>
      </c>
      <c r="J308" s="2" t="str">
        <f t="shared" si="8"/>
        <v>18-24</v>
      </c>
      <c r="K308" s="17" t="str">
        <f t="shared" si="9"/>
        <v>12-15</v>
      </c>
    </row>
    <row r="309" spans="1:11" x14ac:dyDescent="0.2">
      <c r="A309" s="4">
        <v>63</v>
      </c>
      <c r="B309" s="4">
        <v>15</v>
      </c>
      <c r="C309" t="s">
        <v>8</v>
      </c>
      <c r="D309" s="4">
        <v>0</v>
      </c>
      <c r="E309" s="3">
        <v>0.753905533929355</v>
      </c>
      <c r="F309" s="4">
        <v>1</v>
      </c>
      <c r="G309" s="2">
        <v>1221.83</v>
      </c>
      <c r="H309" s="2">
        <v>1221.83</v>
      </c>
      <c r="I309" s="2">
        <v>1221.83</v>
      </c>
      <c r="J309" s="2" t="str">
        <f t="shared" si="8"/>
        <v>55-64</v>
      </c>
      <c r="K309" s="17" t="str">
        <f t="shared" si="9"/>
        <v>12-15</v>
      </c>
    </row>
    <row r="310" spans="1:11" x14ac:dyDescent="0.2">
      <c r="A310" s="4">
        <v>57</v>
      </c>
      <c r="B310" s="4">
        <v>4</v>
      </c>
      <c r="C310" t="s">
        <v>16</v>
      </c>
      <c r="D310" s="4">
        <v>0</v>
      </c>
      <c r="E310" s="3">
        <v>0.66445410321466603</v>
      </c>
      <c r="F310" s="4">
        <v>1</v>
      </c>
      <c r="G310" s="2">
        <v>1174.8399999999999</v>
      </c>
      <c r="H310" s="2">
        <v>1174.8399999999999</v>
      </c>
      <c r="I310" s="2">
        <v>1174.8399999999999</v>
      </c>
      <c r="J310" s="2" t="str">
        <f t="shared" si="8"/>
        <v>55-64</v>
      </c>
      <c r="K310" s="17" t="str">
        <f t="shared" si="9"/>
        <v>3-5</v>
      </c>
    </row>
    <row r="311" spans="1:11" x14ac:dyDescent="0.2">
      <c r="A311" s="4">
        <v>77</v>
      </c>
      <c r="B311" s="4">
        <v>7</v>
      </c>
      <c r="C311" t="s">
        <v>10</v>
      </c>
      <c r="D311" s="4">
        <v>0</v>
      </c>
      <c r="E311" s="3">
        <v>0.62580901116598397</v>
      </c>
      <c r="F311" s="4">
        <v>1</v>
      </c>
      <c r="G311" s="2">
        <v>1692.99</v>
      </c>
      <c r="H311" s="2">
        <v>1692.99</v>
      </c>
      <c r="I311" s="2">
        <v>1692.99</v>
      </c>
      <c r="J311" s="2" t="str">
        <f t="shared" si="8"/>
        <v>75-90</v>
      </c>
      <c r="K311" s="17" t="str">
        <f t="shared" si="9"/>
        <v>6-8</v>
      </c>
    </row>
    <row r="312" spans="1:11" x14ac:dyDescent="0.2">
      <c r="A312" s="4">
        <v>37</v>
      </c>
      <c r="B312" s="4">
        <v>2</v>
      </c>
      <c r="C312" t="s">
        <v>8</v>
      </c>
      <c r="D312" s="4">
        <v>2</v>
      </c>
      <c r="E312" s="3">
        <v>0.68959062697831497</v>
      </c>
      <c r="F312" s="4">
        <v>1</v>
      </c>
      <c r="G312" s="2">
        <v>462.23</v>
      </c>
      <c r="H312" s="2">
        <v>462.23</v>
      </c>
      <c r="I312" s="2">
        <v>462.23</v>
      </c>
      <c r="J312" s="2" t="str">
        <f t="shared" si="8"/>
        <v>35-44</v>
      </c>
      <c r="K312" s="17" t="str">
        <f t="shared" si="9"/>
        <v>0-2</v>
      </c>
    </row>
    <row r="313" spans="1:11" x14ac:dyDescent="0.2">
      <c r="A313" s="4">
        <v>38</v>
      </c>
      <c r="B313" s="4">
        <v>12</v>
      </c>
      <c r="C313" t="s">
        <v>10</v>
      </c>
      <c r="D313" s="4">
        <v>1</v>
      </c>
      <c r="E313" s="3">
        <v>0.63079013442620602</v>
      </c>
      <c r="F313" s="4">
        <v>1</v>
      </c>
      <c r="G313" s="2">
        <v>1279.92</v>
      </c>
      <c r="H313" s="2">
        <v>1279.92</v>
      </c>
      <c r="I313" s="2">
        <v>1279.92</v>
      </c>
      <c r="J313" s="2" t="str">
        <f t="shared" si="8"/>
        <v>35-44</v>
      </c>
      <c r="K313" s="17" t="str">
        <f t="shared" si="9"/>
        <v>12-15</v>
      </c>
    </row>
    <row r="314" spans="1:11" x14ac:dyDescent="0.2">
      <c r="A314" s="4">
        <v>64</v>
      </c>
      <c r="B314" s="4">
        <v>2</v>
      </c>
      <c r="C314" t="s">
        <v>10</v>
      </c>
      <c r="D314" s="4">
        <v>1</v>
      </c>
      <c r="E314" s="3">
        <v>0.624967026175</v>
      </c>
      <c r="F314" s="4">
        <v>2</v>
      </c>
      <c r="G314" s="2">
        <v>604.25</v>
      </c>
      <c r="H314" s="2">
        <v>302.13</v>
      </c>
      <c r="I314" s="2">
        <v>604.25</v>
      </c>
      <c r="J314" s="2" t="str">
        <f t="shared" si="8"/>
        <v>55-64</v>
      </c>
      <c r="K314" s="17" t="str">
        <f t="shared" si="9"/>
        <v>0-2</v>
      </c>
    </row>
    <row r="315" spans="1:11" x14ac:dyDescent="0.2">
      <c r="A315" s="4">
        <v>86</v>
      </c>
      <c r="B315" s="4">
        <v>8</v>
      </c>
      <c r="C315" t="s">
        <v>8</v>
      </c>
      <c r="D315" s="4">
        <v>0</v>
      </c>
      <c r="E315" s="3">
        <v>0.765823000576347</v>
      </c>
      <c r="F315" s="4">
        <v>1</v>
      </c>
      <c r="G315" s="2">
        <v>3963.76</v>
      </c>
      <c r="H315" s="2">
        <v>3963.76</v>
      </c>
      <c r="I315" s="2">
        <v>3963.76</v>
      </c>
      <c r="J315" s="2" t="str">
        <f t="shared" si="8"/>
        <v>75-90</v>
      </c>
      <c r="K315" s="17" t="str">
        <f t="shared" si="9"/>
        <v>6-8</v>
      </c>
    </row>
    <row r="316" spans="1:11" x14ac:dyDescent="0.2">
      <c r="A316" s="4">
        <v>43</v>
      </c>
      <c r="B316" s="4">
        <v>9</v>
      </c>
      <c r="C316" t="s">
        <v>8</v>
      </c>
      <c r="D316" s="4">
        <v>0</v>
      </c>
      <c r="E316" s="3">
        <v>0.81568208918906704</v>
      </c>
      <c r="F316" s="4">
        <v>1</v>
      </c>
      <c r="G316" s="2">
        <v>293.85000000000002</v>
      </c>
      <c r="H316" s="2">
        <v>293.85000000000002</v>
      </c>
      <c r="I316" s="2">
        <v>293.85000000000002</v>
      </c>
      <c r="J316" s="2" t="str">
        <f t="shared" si="8"/>
        <v>35-44</v>
      </c>
      <c r="K316" s="17" t="str">
        <f t="shared" si="9"/>
        <v>9-11</v>
      </c>
    </row>
    <row r="317" spans="1:11" x14ac:dyDescent="0.2">
      <c r="A317" s="4">
        <v>48</v>
      </c>
      <c r="B317" s="4">
        <v>8</v>
      </c>
      <c r="C317" t="s">
        <v>8</v>
      </c>
      <c r="D317" s="4">
        <v>0</v>
      </c>
      <c r="E317" s="3">
        <v>0.72866292914841302</v>
      </c>
      <c r="F317" s="4">
        <v>1</v>
      </c>
      <c r="G317" s="2">
        <v>339.12</v>
      </c>
      <c r="H317" s="2">
        <v>339.12</v>
      </c>
      <c r="I317" s="2">
        <v>339.12</v>
      </c>
      <c r="J317" s="2" t="str">
        <f t="shared" si="8"/>
        <v>45-54</v>
      </c>
      <c r="K317" s="17" t="str">
        <f t="shared" si="9"/>
        <v>6-8</v>
      </c>
    </row>
    <row r="318" spans="1:11" x14ac:dyDescent="0.2">
      <c r="A318" s="4">
        <v>69</v>
      </c>
      <c r="B318" s="4">
        <v>3</v>
      </c>
      <c r="C318" t="s">
        <v>8</v>
      </c>
      <c r="D318" s="4">
        <v>0</v>
      </c>
      <c r="E318" s="3">
        <v>0.52295485557988297</v>
      </c>
      <c r="F318" s="4">
        <v>1</v>
      </c>
      <c r="G318" s="2">
        <v>285.83</v>
      </c>
      <c r="H318" s="2">
        <v>285.83</v>
      </c>
      <c r="I318" s="2">
        <v>285.83</v>
      </c>
      <c r="J318" s="2" t="str">
        <f t="shared" si="8"/>
        <v>65-74</v>
      </c>
      <c r="K318" s="17" t="str">
        <f t="shared" si="9"/>
        <v>3-5</v>
      </c>
    </row>
    <row r="319" spans="1:11" x14ac:dyDescent="0.2">
      <c r="A319" s="4">
        <v>73</v>
      </c>
      <c r="B319" s="4">
        <v>14</v>
      </c>
      <c r="C319" t="s">
        <v>8</v>
      </c>
      <c r="D319" s="4">
        <v>1</v>
      </c>
      <c r="E319" s="3">
        <v>0.94283066852949604</v>
      </c>
      <c r="F319" s="4">
        <v>2</v>
      </c>
      <c r="G319" s="2">
        <v>3082.63</v>
      </c>
      <c r="H319" s="2">
        <v>1541.31</v>
      </c>
      <c r="I319" s="2">
        <v>3082.63</v>
      </c>
      <c r="J319" s="2" t="str">
        <f t="shared" si="8"/>
        <v>65-74</v>
      </c>
      <c r="K319" s="17" t="str">
        <f t="shared" si="9"/>
        <v>12-15</v>
      </c>
    </row>
    <row r="320" spans="1:11" x14ac:dyDescent="0.2">
      <c r="A320" s="4">
        <v>46</v>
      </c>
      <c r="B320" s="4">
        <v>14</v>
      </c>
      <c r="C320" t="s">
        <v>16</v>
      </c>
      <c r="D320" s="4">
        <v>0</v>
      </c>
      <c r="E320" s="3">
        <v>0.68637077580206096</v>
      </c>
      <c r="F320" s="4">
        <v>1</v>
      </c>
      <c r="G320" s="2">
        <v>903.51</v>
      </c>
      <c r="H320" s="2">
        <v>903.51</v>
      </c>
      <c r="I320" s="2">
        <v>903.51</v>
      </c>
      <c r="J320" s="2" t="str">
        <f t="shared" si="8"/>
        <v>45-54</v>
      </c>
      <c r="K320" s="17" t="str">
        <f t="shared" si="9"/>
        <v>12-15</v>
      </c>
    </row>
    <row r="321" spans="1:11" x14ac:dyDescent="0.2">
      <c r="A321" s="4">
        <v>69</v>
      </c>
      <c r="B321" s="4">
        <v>12</v>
      </c>
      <c r="C321" t="s">
        <v>8</v>
      </c>
      <c r="D321" s="4">
        <v>0</v>
      </c>
      <c r="E321" s="3">
        <v>0.562240007566288</v>
      </c>
      <c r="F321" s="4">
        <v>1</v>
      </c>
      <c r="G321" s="2">
        <v>861.05</v>
      </c>
      <c r="H321" s="2">
        <v>861.05</v>
      </c>
      <c r="I321" s="2">
        <v>861.05</v>
      </c>
      <c r="J321" s="2" t="str">
        <f t="shared" si="8"/>
        <v>65-74</v>
      </c>
      <c r="K321" s="17" t="str">
        <f t="shared" si="9"/>
        <v>12-15</v>
      </c>
    </row>
    <row r="322" spans="1:11" x14ac:dyDescent="0.2">
      <c r="A322" s="4">
        <v>79</v>
      </c>
      <c r="B322" s="4">
        <v>8</v>
      </c>
      <c r="C322" t="s">
        <v>10</v>
      </c>
      <c r="D322" s="4">
        <v>0</v>
      </c>
      <c r="E322" s="3">
        <v>0.71943037933669995</v>
      </c>
      <c r="F322" s="4">
        <v>2</v>
      </c>
      <c r="G322" s="2">
        <v>2089.7800000000002</v>
      </c>
      <c r="H322" s="2">
        <v>1044.8900000000001</v>
      </c>
      <c r="I322" s="2">
        <v>2089.7800000000002</v>
      </c>
      <c r="J322" s="2" t="str">
        <f t="shared" ref="J322:J385" si="10" xml:space="preserve"> IF(A322&lt;25,"18-24",
 IF(A322&lt;35,"25-34",
 IF(A322&lt;45,"35-44",
 IF(A322&lt;55,"45-54", IF(A322&lt;65, "55-64", IF(A322&lt;75, "65-74", "75-90"))))))</f>
        <v>75-90</v>
      </c>
      <c r="K322" s="17" t="str">
        <f t="shared" ref="K322:K385" si="11" xml:space="preserve"> IF(B322 &lt; 3, "0-2", IF(B322 &lt; 6, "3-5", IF(B322 &lt; 9, "6-8", IF(B322 &lt; 12, "9-11", "12-15"))))</f>
        <v>6-8</v>
      </c>
    </row>
    <row r="323" spans="1:11" x14ac:dyDescent="0.2">
      <c r="A323" s="4">
        <v>79</v>
      </c>
      <c r="B323" s="4">
        <v>1</v>
      </c>
      <c r="C323" t="s">
        <v>8</v>
      </c>
      <c r="D323" s="4">
        <v>0</v>
      </c>
      <c r="E323" s="3">
        <v>0.85896802879869905</v>
      </c>
      <c r="F323" s="4">
        <v>1</v>
      </c>
      <c r="G323" s="2">
        <v>510.71</v>
      </c>
      <c r="H323" s="2">
        <v>510.71</v>
      </c>
      <c r="I323" s="2">
        <v>510.71</v>
      </c>
      <c r="J323" s="2" t="str">
        <f t="shared" si="10"/>
        <v>75-90</v>
      </c>
      <c r="K323" s="17" t="str">
        <f t="shared" si="11"/>
        <v>0-2</v>
      </c>
    </row>
    <row r="324" spans="1:11" x14ac:dyDescent="0.2">
      <c r="A324" s="4">
        <v>52</v>
      </c>
      <c r="B324" s="4">
        <v>11</v>
      </c>
      <c r="C324" t="s">
        <v>8</v>
      </c>
      <c r="D324" s="4">
        <v>1</v>
      </c>
      <c r="E324" s="3">
        <v>0.92669945571105905</v>
      </c>
      <c r="F324" s="4">
        <v>1</v>
      </c>
      <c r="G324" s="2">
        <v>1191.77</v>
      </c>
      <c r="H324" s="2">
        <v>1191.77</v>
      </c>
      <c r="I324" s="2">
        <v>1191.77</v>
      </c>
      <c r="J324" s="2" t="str">
        <f t="shared" si="10"/>
        <v>45-54</v>
      </c>
      <c r="K324" s="17" t="str">
        <f t="shared" si="11"/>
        <v>9-11</v>
      </c>
    </row>
    <row r="325" spans="1:11" x14ac:dyDescent="0.2">
      <c r="A325" s="4">
        <v>39</v>
      </c>
      <c r="B325" s="4">
        <v>13</v>
      </c>
      <c r="C325" t="s">
        <v>8</v>
      </c>
      <c r="D325" s="4">
        <v>0</v>
      </c>
      <c r="E325" s="3">
        <v>0.85455970978364304</v>
      </c>
      <c r="F325" s="4">
        <v>2</v>
      </c>
      <c r="G325" s="2">
        <v>898.48</v>
      </c>
      <c r="H325" s="2">
        <v>449.24</v>
      </c>
      <c r="I325" s="2">
        <v>898.48</v>
      </c>
      <c r="J325" s="2" t="str">
        <f t="shared" si="10"/>
        <v>35-44</v>
      </c>
      <c r="K325" s="17" t="str">
        <f t="shared" si="11"/>
        <v>12-15</v>
      </c>
    </row>
    <row r="326" spans="1:11" x14ac:dyDescent="0.2">
      <c r="A326" s="4">
        <v>51</v>
      </c>
      <c r="B326" s="4">
        <v>7</v>
      </c>
      <c r="C326" t="s">
        <v>16</v>
      </c>
      <c r="D326" s="4">
        <v>0</v>
      </c>
      <c r="E326" s="3">
        <v>0.85887881403323296</v>
      </c>
      <c r="F326" s="4">
        <v>1</v>
      </c>
      <c r="G326" s="2">
        <v>1424.84</v>
      </c>
      <c r="H326" s="2">
        <v>1424.84</v>
      </c>
      <c r="I326" s="2">
        <v>1424.84</v>
      </c>
      <c r="J326" s="2" t="str">
        <f t="shared" si="10"/>
        <v>45-54</v>
      </c>
      <c r="K326" s="17" t="str">
        <f t="shared" si="11"/>
        <v>6-8</v>
      </c>
    </row>
    <row r="327" spans="1:11" x14ac:dyDescent="0.2">
      <c r="A327" s="4">
        <v>74</v>
      </c>
      <c r="B327" s="4">
        <v>14</v>
      </c>
      <c r="C327" t="s">
        <v>10</v>
      </c>
      <c r="D327" s="4">
        <v>1</v>
      </c>
      <c r="E327" s="3">
        <v>0.91833070688881002</v>
      </c>
      <c r="F327" s="4">
        <v>2</v>
      </c>
      <c r="G327" s="2">
        <v>3567.43</v>
      </c>
      <c r="H327" s="2">
        <v>1783.71</v>
      </c>
      <c r="I327" s="2">
        <v>3567.43</v>
      </c>
      <c r="J327" s="2" t="str">
        <f t="shared" si="10"/>
        <v>65-74</v>
      </c>
      <c r="K327" s="17" t="str">
        <f t="shared" si="11"/>
        <v>12-15</v>
      </c>
    </row>
    <row r="328" spans="1:11" x14ac:dyDescent="0.2">
      <c r="A328" s="4">
        <v>52</v>
      </c>
      <c r="B328" s="4">
        <v>7</v>
      </c>
      <c r="C328" t="s">
        <v>16</v>
      </c>
      <c r="D328" s="4">
        <v>0</v>
      </c>
      <c r="E328" s="3">
        <v>0.92519396543502797</v>
      </c>
      <c r="F328" s="4">
        <v>1</v>
      </c>
      <c r="G328" s="2">
        <v>1305.8</v>
      </c>
      <c r="H328" s="2">
        <v>1305.8</v>
      </c>
      <c r="I328" s="2">
        <v>1305.8</v>
      </c>
      <c r="J328" s="2" t="str">
        <f t="shared" si="10"/>
        <v>45-54</v>
      </c>
      <c r="K328" s="17" t="str">
        <f t="shared" si="11"/>
        <v>6-8</v>
      </c>
    </row>
    <row r="329" spans="1:11" x14ac:dyDescent="0.2">
      <c r="A329" s="4">
        <v>51</v>
      </c>
      <c r="B329" s="4">
        <v>14</v>
      </c>
      <c r="C329" t="s">
        <v>8</v>
      </c>
      <c r="D329" s="4">
        <v>0</v>
      </c>
      <c r="E329" s="3">
        <v>0.68949580728076398</v>
      </c>
      <c r="F329" s="4">
        <v>1</v>
      </c>
      <c r="G329" s="2">
        <v>1073.02</v>
      </c>
      <c r="H329" s="2">
        <v>1073.02</v>
      </c>
      <c r="I329" s="2">
        <v>1073.02</v>
      </c>
      <c r="J329" s="2" t="str">
        <f t="shared" si="10"/>
        <v>45-54</v>
      </c>
      <c r="K329" s="17" t="str">
        <f t="shared" si="11"/>
        <v>12-15</v>
      </c>
    </row>
    <row r="330" spans="1:11" x14ac:dyDescent="0.2">
      <c r="A330" s="4">
        <v>60</v>
      </c>
      <c r="B330" s="4">
        <v>5</v>
      </c>
      <c r="C330" t="s">
        <v>8</v>
      </c>
      <c r="D330" s="4">
        <v>0</v>
      </c>
      <c r="E330" s="3">
        <v>0.74126117897685595</v>
      </c>
      <c r="F330" s="4">
        <v>1</v>
      </c>
      <c r="G330" s="2">
        <v>978.74</v>
      </c>
      <c r="H330" s="2">
        <v>978.74</v>
      </c>
      <c r="I330" s="2">
        <v>978.74</v>
      </c>
      <c r="J330" s="2" t="str">
        <f t="shared" si="10"/>
        <v>55-64</v>
      </c>
      <c r="K330" s="17" t="str">
        <f t="shared" si="11"/>
        <v>3-5</v>
      </c>
    </row>
    <row r="331" spans="1:11" x14ac:dyDescent="0.2">
      <c r="A331" s="4">
        <v>60</v>
      </c>
      <c r="B331" s="4">
        <v>12</v>
      </c>
      <c r="C331" t="s">
        <v>16</v>
      </c>
      <c r="D331" s="4">
        <v>2</v>
      </c>
      <c r="E331" s="3">
        <v>0.83419571316335395</v>
      </c>
      <c r="F331" s="4">
        <v>1</v>
      </c>
      <c r="G331" s="2">
        <v>3292.66</v>
      </c>
      <c r="H331" s="2">
        <v>3292.66</v>
      </c>
      <c r="I331" s="2">
        <v>3292.66</v>
      </c>
      <c r="J331" s="2" t="str">
        <f t="shared" si="10"/>
        <v>55-64</v>
      </c>
      <c r="K331" s="17" t="str">
        <f t="shared" si="11"/>
        <v>12-15</v>
      </c>
    </row>
    <row r="332" spans="1:11" x14ac:dyDescent="0.2">
      <c r="A332" s="4">
        <v>58</v>
      </c>
      <c r="B332" s="4">
        <v>4</v>
      </c>
      <c r="C332" t="s">
        <v>10</v>
      </c>
      <c r="D332" s="4">
        <v>1</v>
      </c>
      <c r="E332" s="3">
        <v>0.899667217745446</v>
      </c>
      <c r="F332" s="4">
        <v>1</v>
      </c>
      <c r="G332" s="2">
        <v>442.39</v>
      </c>
      <c r="H332" s="2">
        <v>442.39</v>
      </c>
      <c r="I332" s="2">
        <v>442.39</v>
      </c>
      <c r="J332" s="2" t="str">
        <f t="shared" si="10"/>
        <v>55-64</v>
      </c>
      <c r="K332" s="17" t="str">
        <f t="shared" si="11"/>
        <v>3-5</v>
      </c>
    </row>
    <row r="333" spans="1:11" x14ac:dyDescent="0.2">
      <c r="A333" s="4">
        <v>35</v>
      </c>
      <c r="B333" s="4">
        <v>14</v>
      </c>
      <c r="C333" t="s">
        <v>16</v>
      </c>
      <c r="D333" s="4">
        <v>0</v>
      </c>
      <c r="E333" s="3">
        <v>0.55906617315486096</v>
      </c>
      <c r="F333" s="4">
        <v>1</v>
      </c>
      <c r="G333" s="2">
        <v>2220.3200000000002</v>
      </c>
      <c r="H333" s="2">
        <v>2220.3200000000002</v>
      </c>
      <c r="I333" s="2">
        <v>2220.3200000000002</v>
      </c>
      <c r="J333" s="2" t="str">
        <f t="shared" si="10"/>
        <v>35-44</v>
      </c>
      <c r="K333" s="17" t="str">
        <f t="shared" si="11"/>
        <v>12-15</v>
      </c>
    </row>
    <row r="334" spans="1:11" x14ac:dyDescent="0.2">
      <c r="A334" s="4">
        <v>27</v>
      </c>
      <c r="B334" s="4">
        <v>8</v>
      </c>
      <c r="C334" t="s">
        <v>10</v>
      </c>
      <c r="D334" s="4">
        <v>1</v>
      </c>
      <c r="E334" s="3">
        <v>0.93903449806384698</v>
      </c>
      <c r="F334" s="4">
        <v>1</v>
      </c>
      <c r="G334" s="2">
        <v>454.77</v>
      </c>
      <c r="H334" s="2">
        <v>454.77</v>
      </c>
      <c r="I334" s="2">
        <v>454.77</v>
      </c>
      <c r="J334" s="2" t="str">
        <f t="shared" si="10"/>
        <v>25-34</v>
      </c>
      <c r="K334" s="17" t="str">
        <f t="shared" si="11"/>
        <v>6-8</v>
      </c>
    </row>
    <row r="335" spans="1:11" x14ac:dyDescent="0.2">
      <c r="A335" s="4">
        <v>63</v>
      </c>
      <c r="B335" s="4">
        <v>14</v>
      </c>
      <c r="C335" t="s">
        <v>10</v>
      </c>
      <c r="D335" s="4">
        <v>1</v>
      </c>
      <c r="E335" s="3">
        <v>0.95751920691691295</v>
      </c>
      <c r="F335" s="4">
        <v>1</v>
      </c>
      <c r="G335" s="2">
        <v>4025.55</v>
      </c>
      <c r="H335" s="2">
        <v>4025.55</v>
      </c>
      <c r="I335" s="2">
        <v>4025.55</v>
      </c>
      <c r="J335" s="2" t="str">
        <f t="shared" si="10"/>
        <v>55-64</v>
      </c>
      <c r="K335" s="17" t="str">
        <f t="shared" si="11"/>
        <v>12-15</v>
      </c>
    </row>
    <row r="336" spans="1:11" x14ac:dyDescent="0.2">
      <c r="A336" s="4">
        <v>57</v>
      </c>
      <c r="B336" s="4">
        <v>8</v>
      </c>
      <c r="C336" t="s">
        <v>8</v>
      </c>
      <c r="D336" s="4">
        <v>0</v>
      </c>
      <c r="E336" s="3">
        <v>0.94870169367641199</v>
      </c>
      <c r="F336" s="4">
        <v>1</v>
      </c>
      <c r="G336" s="2">
        <v>871.3</v>
      </c>
      <c r="H336" s="2">
        <v>871.3</v>
      </c>
      <c r="I336" s="2">
        <v>871.3</v>
      </c>
      <c r="J336" s="2" t="str">
        <f t="shared" si="10"/>
        <v>55-64</v>
      </c>
      <c r="K336" s="17" t="str">
        <f t="shared" si="11"/>
        <v>6-8</v>
      </c>
    </row>
    <row r="337" spans="1:11" x14ac:dyDescent="0.2">
      <c r="A337" s="4">
        <v>49</v>
      </c>
      <c r="B337" s="4">
        <v>5</v>
      </c>
      <c r="C337" t="s">
        <v>10</v>
      </c>
      <c r="D337" s="4">
        <v>1</v>
      </c>
      <c r="E337" s="3">
        <v>0.88756030518561602</v>
      </c>
      <c r="F337" s="4">
        <v>1</v>
      </c>
      <c r="G337" s="2">
        <v>725.57</v>
      </c>
      <c r="H337" s="2">
        <v>725.57</v>
      </c>
      <c r="I337" s="2">
        <v>725.57</v>
      </c>
      <c r="J337" s="2" t="str">
        <f t="shared" si="10"/>
        <v>45-54</v>
      </c>
      <c r="K337" s="17" t="str">
        <f t="shared" si="11"/>
        <v>3-5</v>
      </c>
    </row>
    <row r="338" spans="1:11" x14ac:dyDescent="0.2">
      <c r="A338" s="4">
        <v>78</v>
      </c>
      <c r="B338" s="4">
        <v>11</v>
      </c>
      <c r="C338" t="s">
        <v>16</v>
      </c>
      <c r="D338" s="4">
        <v>0</v>
      </c>
      <c r="E338" s="3">
        <v>0.52971291169524204</v>
      </c>
      <c r="F338" s="4">
        <v>1</v>
      </c>
      <c r="G338" s="2">
        <v>935.4</v>
      </c>
      <c r="H338" s="2">
        <v>935.4</v>
      </c>
      <c r="I338" s="2">
        <v>935.4</v>
      </c>
      <c r="J338" s="2" t="str">
        <f t="shared" si="10"/>
        <v>75-90</v>
      </c>
      <c r="K338" s="17" t="str">
        <f t="shared" si="11"/>
        <v>9-11</v>
      </c>
    </row>
    <row r="339" spans="1:11" x14ac:dyDescent="0.2">
      <c r="A339" s="4">
        <v>70</v>
      </c>
      <c r="B339" s="4">
        <v>12</v>
      </c>
      <c r="C339" t="s">
        <v>10</v>
      </c>
      <c r="D339" s="4">
        <v>0</v>
      </c>
      <c r="E339" s="3">
        <v>0.85487370064947799</v>
      </c>
      <c r="F339" s="4">
        <v>2</v>
      </c>
      <c r="G339" s="2">
        <v>1829.2</v>
      </c>
      <c r="H339" s="2">
        <v>914.6</v>
      </c>
      <c r="I339" s="2">
        <v>1829.2</v>
      </c>
      <c r="J339" s="2" t="str">
        <f t="shared" si="10"/>
        <v>65-74</v>
      </c>
      <c r="K339" s="17" t="str">
        <f t="shared" si="11"/>
        <v>12-15</v>
      </c>
    </row>
    <row r="340" spans="1:11" x14ac:dyDescent="0.2">
      <c r="A340" s="4">
        <v>56</v>
      </c>
      <c r="B340" s="4">
        <v>1</v>
      </c>
      <c r="C340" t="s">
        <v>8</v>
      </c>
      <c r="D340" s="4">
        <v>0</v>
      </c>
      <c r="E340" s="3">
        <v>0.84754951845388904</v>
      </c>
      <c r="F340" s="4">
        <v>1</v>
      </c>
      <c r="G340" s="2">
        <v>507.83</v>
      </c>
      <c r="H340" s="2">
        <v>507.83</v>
      </c>
      <c r="I340" s="2">
        <v>507.83</v>
      </c>
      <c r="J340" s="2" t="str">
        <f t="shared" si="10"/>
        <v>55-64</v>
      </c>
      <c r="K340" s="17" t="str">
        <f t="shared" si="11"/>
        <v>0-2</v>
      </c>
    </row>
    <row r="341" spans="1:11" x14ac:dyDescent="0.2">
      <c r="A341" s="4">
        <v>39</v>
      </c>
      <c r="B341" s="4">
        <v>11</v>
      </c>
      <c r="C341" t="s">
        <v>16</v>
      </c>
      <c r="D341" s="4">
        <v>0</v>
      </c>
      <c r="E341" s="3">
        <v>0.79429905326105699</v>
      </c>
      <c r="F341" s="4">
        <v>2</v>
      </c>
      <c r="G341" s="2">
        <v>710.38</v>
      </c>
      <c r="H341" s="2">
        <v>355.19</v>
      </c>
      <c r="I341" s="2">
        <v>710.38</v>
      </c>
      <c r="J341" s="2" t="str">
        <f t="shared" si="10"/>
        <v>35-44</v>
      </c>
      <c r="K341" s="17" t="str">
        <f t="shared" si="11"/>
        <v>9-11</v>
      </c>
    </row>
    <row r="342" spans="1:11" x14ac:dyDescent="0.2">
      <c r="A342" s="4">
        <v>70</v>
      </c>
      <c r="B342" s="4">
        <v>3</v>
      </c>
      <c r="C342" t="s">
        <v>16</v>
      </c>
      <c r="D342" s="4">
        <v>0</v>
      </c>
      <c r="E342" s="3">
        <v>0.974424632731825</v>
      </c>
      <c r="F342" s="4">
        <v>1</v>
      </c>
      <c r="G342" s="2">
        <v>673.5</v>
      </c>
      <c r="H342" s="2">
        <v>673.5</v>
      </c>
      <c r="I342" s="2">
        <v>673.5</v>
      </c>
      <c r="J342" s="2" t="str">
        <f t="shared" si="10"/>
        <v>65-74</v>
      </c>
      <c r="K342" s="17" t="str">
        <f t="shared" si="11"/>
        <v>3-5</v>
      </c>
    </row>
    <row r="343" spans="1:11" x14ac:dyDescent="0.2">
      <c r="A343" s="4">
        <v>69</v>
      </c>
      <c r="B343" s="4">
        <v>4</v>
      </c>
      <c r="C343" t="s">
        <v>8</v>
      </c>
      <c r="D343" s="4">
        <v>1</v>
      </c>
      <c r="E343" s="3">
        <v>0.63732044503558405</v>
      </c>
      <c r="F343" s="4">
        <v>1</v>
      </c>
      <c r="G343" s="2">
        <v>1002.52</v>
      </c>
      <c r="H343" s="2">
        <v>1002.52</v>
      </c>
      <c r="I343" s="2">
        <v>1002.52</v>
      </c>
      <c r="J343" s="2" t="str">
        <f t="shared" si="10"/>
        <v>65-74</v>
      </c>
      <c r="K343" s="17" t="str">
        <f t="shared" si="11"/>
        <v>3-5</v>
      </c>
    </row>
    <row r="344" spans="1:11" x14ac:dyDescent="0.2">
      <c r="A344" s="4">
        <v>88</v>
      </c>
      <c r="B344" s="4">
        <v>11</v>
      </c>
      <c r="C344" t="s">
        <v>10</v>
      </c>
      <c r="D344" s="4">
        <v>0</v>
      </c>
      <c r="E344" s="3">
        <v>0.92033507721498597</v>
      </c>
      <c r="F344" s="4">
        <v>1</v>
      </c>
      <c r="G344" s="2">
        <v>3402.86</v>
      </c>
      <c r="H344" s="2">
        <v>3402.86</v>
      </c>
      <c r="I344" s="2">
        <v>3402.86</v>
      </c>
      <c r="J344" s="2" t="str">
        <f t="shared" si="10"/>
        <v>75-90</v>
      </c>
      <c r="K344" s="17" t="str">
        <f t="shared" si="11"/>
        <v>9-11</v>
      </c>
    </row>
    <row r="345" spans="1:11" x14ac:dyDescent="0.2">
      <c r="A345" s="4">
        <v>58</v>
      </c>
      <c r="B345" s="4">
        <v>5</v>
      </c>
      <c r="C345" t="s">
        <v>8</v>
      </c>
      <c r="D345" s="4">
        <v>1</v>
      </c>
      <c r="E345" s="3">
        <v>0.9380130127538</v>
      </c>
      <c r="F345" s="4">
        <v>1</v>
      </c>
      <c r="G345" s="2">
        <v>1301.8399999999999</v>
      </c>
      <c r="H345" s="2">
        <v>1301.8399999999999</v>
      </c>
      <c r="I345" s="2">
        <v>1301.8399999999999</v>
      </c>
      <c r="J345" s="2" t="str">
        <f t="shared" si="10"/>
        <v>55-64</v>
      </c>
      <c r="K345" s="17" t="str">
        <f t="shared" si="11"/>
        <v>3-5</v>
      </c>
    </row>
    <row r="346" spans="1:11" x14ac:dyDescent="0.2">
      <c r="A346" s="4">
        <v>81</v>
      </c>
      <c r="B346" s="4">
        <v>1</v>
      </c>
      <c r="C346" t="s">
        <v>10</v>
      </c>
      <c r="D346" s="4">
        <v>0</v>
      </c>
      <c r="E346" s="3">
        <v>0.73202575754839905</v>
      </c>
      <c r="F346" s="4">
        <v>1</v>
      </c>
      <c r="G346" s="2">
        <v>2766.73</v>
      </c>
      <c r="H346" s="2">
        <v>2766.73</v>
      </c>
      <c r="I346" s="2">
        <v>2766.73</v>
      </c>
      <c r="J346" s="2" t="str">
        <f t="shared" si="10"/>
        <v>75-90</v>
      </c>
      <c r="K346" s="17" t="str">
        <f t="shared" si="11"/>
        <v>0-2</v>
      </c>
    </row>
    <row r="347" spans="1:11" x14ac:dyDescent="0.2">
      <c r="A347" s="4">
        <v>64</v>
      </c>
      <c r="B347" s="4">
        <v>4</v>
      </c>
      <c r="C347" t="s">
        <v>16</v>
      </c>
      <c r="D347" s="4">
        <v>1</v>
      </c>
      <c r="E347" s="3">
        <v>0.92118362709879897</v>
      </c>
      <c r="F347" s="4">
        <v>1</v>
      </c>
      <c r="G347" s="2">
        <v>1212.6199999999999</v>
      </c>
      <c r="H347" s="2">
        <v>1212.6199999999999</v>
      </c>
      <c r="I347" s="2">
        <v>1212.6199999999999</v>
      </c>
      <c r="J347" s="2" t="str">
        <f t="shared" si="10"/>
        <v>55-64</v>
      </c>
      <c r="K347" s="17" t="str">
        <f t="shared" si="11"/>
        <v>3-5</v>
      </c>
    </row>
    <row r="348" spans="1:11" x14ac:dyDescent="0.2">
      <c r="A348" s="4">
        <v>63</v>
      </c>
      <c r="B348" s="4">
        <v>5</v>
      </c>
      <c r="C348" t="s">
        <v>8</v>
      </c>
      <c r="D348" s="4">
        <v>0</v>
      </c>
      <c r="E348" s="3">
        <v>0.67373898590449199</v>
      </c>
      <c r="F348" s="4">
        <v>2</v>
      </c>
      <c r="G348" s="2">
        <v>845.63</v>
      </c>
      <c r="H348" s="2">
        <v>422.81</v>
      </c>
      <c r="I348" s="2">
        <v>845.63</v>
      </c>
      <c r="J348" s="2" t="str">
        <f t="shared" si="10"/>
        <v>55-64</v>
      </c>
      <c r="K348" s="17" t="str">
        <f t="shared" si="11"/>
        <v>3-5</v>
      </c>
    </row>
    <row r="349" spans="1:11" x14ac:dyDescent="0.2">
      <c r="A349" s="4">
        <v>38</v>
      </c>
      <c r="B349" s="4">
        <v>13</v>
      </c>
      <c r="C349" t="s">
        <v>10</v>
      </c>
      <c r="D349" s="4">
        <v>0</v>
      </c>
      <c r="E349" s="3">
        <v>0.78601917426567502</v>
      </c>
      <c r="F349" s="4">
        <v>2</v>
      </c>
      <c r="G349" s="2">
        <v>790.31</v>
      </c>
      <c r="H349" s="2">
        <v>395.16</v>
      </c>
      <c r="I349" s="2">
        <v>790.31</v>
      </c>
      <c r="J349" s="2" t="str">
        <f t="shared" si="10"/>
        <v>35-44</v>
      </c>
      <c r="K349" s="17" t="str">
        <f t="shared" si="11"/>
        <v>12-15</v>
      </c>
    </row>
    <row r="350" spans="1:11" x14ac:dyDescent="0.2">
      <c r="A350" s="4">
        <v>48</v>
      </c>
      <c r="B350" s="4">
        <v>6</v>
      </c>
      <c r="C350" t="s">
        <v>16</v>
      </c>
      <c r="D350" s="4">
        <v>0</v>
      </c>
      <c r="E350" s="3">
        <v>0.73468153027351901</v>
      </c>
      <c r="F350" s="4">
        <v>1</v>
      </c>
      <c r="G350" s="2">
        <v>429.47</v>
      </c>
      <c r="H350" s="2">
        <v>429.47</v>
      </c>
      <c r="I350" s="2">
        <v>429.47</v>
      </c>
      <c r="J350" s="2" t="str">
        <f t="shared" si="10"/>
        <v>45-54</v>
      </c>
      <c r="K350" s="17" t="str">
        <f t="shared" si="11"/>
        <v>6-8</v>
      </c>
    </row>
    <row r="351" spans="1:11" x14ac:dyDescent="0.2">
      <c r="A351" s="4">
        <v>46</v>
      </c>
      <c r="B351" s="4">
        <v>8</v>
      </c>
      <c r="C351" t="s">
        <v>8</v>
      </c>
      <c r="D351" s="4">
        <v>1</v>
      </c>
      <c r="E351" s="3">
        <v>0.75864064844790802</v>
      </c>
      <c r="F351" s="4">
        <v>2</v>
      </c>
      <c r="G351" s="2">
        <v>508.22</v>
      </c>
      <c r="H351" s="2">
        <v>254.11</v>
      </c>
      <c r="I351" s="2">
        <v>508.22</v>
      </c>
      <c r="J351" s="2" t="str">
        <f t="shared" si="10"/>
        <v>45-54</v>
      </c>
      <c r="K351" s="17" t="str">
        <f t="shared" si="11"/>
        <v>6-8</v>
      </c>
    </row>
    <row r="352" spans="1:11" x14ac:dyDescent="0.2">
      <c r="A352" s="4">
        <v>41</v>
      </c>
      <c r="B352" s="4">
        <v>10</v>
      </c>
      <c r="C352" t="s">
        <v>10</v>
      </c>
      <c r="D352" s="4">
        <v>0</v>
      </c>
      <c r="E352" s="3">
        <v>0.936429638648406</v>
      </c>
      <c r="F352" s="4">
        <v>1</v>
      </c>
      <c r="G352" s="2">
        <v>963.56</v>
      </c>
      <c r="H352" s="2">
        <v>963.56</v>
      </c>
      <c r="I352" s="2">
        <v>963.56</v>
      </c>
      <c r="J352" s="2" t="str">
        <f t="shared" si="10"/>
        <v>35-44</v>
      </c>
      <c r="K352" s="17" t="str">
        <f t="shared" si="11"/>
        <v>9-11</v>
      </c>
    </row>
    <row r="353" spans="1:11" x14ac:dyDescent="0.2">
      <c r="A353" s="4">
        <v>73</v>
      </c>
      <c r="B353" s="4">
        <v>11</v>
      </c>
      <c r="C353" t="s">
        <v>16</v>
      </c>
      <c r="D353" s="4">
        <v>0</v>
      </c>
      <c r="E353" s="3">
        <v>0.60621002409607205</v>
      </c>
      <c r="F353" s="4">
        <v>2</v>
      </c>
      <c r="G353" s="2">
        <v>1425.39</v>
      </c>
      <c r="H353" s="2">
        <v>712.7</v>
      </c>
      <c r="I353" s="2">
        <v>1425.39</v>
      </c>
      <c r="J353" s="2" t="str">
        <f t="shared" si="10"/>
        <v>65-74</v>
      </c>
      <c r="K353" s="17" t="str">
        <f t="shared" si="11"/>
        <v>9-11</v>
      </c>
    </row>
    <row r="354" spans="1:11" x14ac:dyDescent="0.2">
      <c r="A354" s="4">
        <v>26</v>
      </c>
      <c r="B354" s="4">
        <v>5</v>
      </c>
      <c r="C354" t="s">
        <v>16</v>
      </c>
      <c r="D354" s="4">
        <v>2</v>
      </c>
      <c r="E354" s="3">
        <v>0.85846519551705602</v>
      </c>
      <c r="F354" s="4">
        <v>1</v>
      </c>
      <c r="G354" s="2">
        <v>961.75</v>
      </c>
      <c r="H354" s="2">
        <v>961.75</v>
      </c>
      <c r="I354" s="2">
        <v>961.75</v>
      </c>
      <c r="J354" s="2" t="str">
        <f t="shared" si="10"/>
        <v>25-34</v>
      </c>
      <c r="K354" s="17" t="str">
        <f t="shared" si="11"/>
        <v>3-5</v>
      </c>
    </row>
    <row r="355" spans="1:11" x14ac:dyDescent="0.2">
      <c r="A355" s="4">
        <v>71</v>
      </c>
      <c r="B355" s="4">
        <v>9</v>
      </c>
      <c r="C355" t="s">
        <v>8</v>
      </c>
      <c r="D355" s="4">
        <v>1</v>
      </c>
      <c r="E355" s="3">
        <v>0.82728133606724397</v>
      </c>
      <c r="F355" s="4">
        <v>1</v>
      </c>
      <c r="G355" s="2">
        <v>931.31</v>
      </c>
      <c r="H355" s="2">
        <v>931.31</v>
      </c>
      <c r="I355" s="2">
        <v>931.31</v>
      </c>
      <c r="J355" s="2" t="str">
        <f t="shared" si="10"/>
        <v>65-74</v>
      </c>
      <c r="K355" s="17" t="str">
        <f t="shared" si="11"/>
        <v>9-11</v>
      </c>
    </row>
    <row r="356" spans="1:11" x14ac:dyDescent="0.2">
      <c r="A356" s="4">
        <v>73</v>
      </c>
      <c r="B356" s="4">
        <v>4</v>
      </c>
      <c r="C356" t="s">
        <v>10</v>
      </c>
      <c r="D356" s="4">
        <v>0</v>
      </c>
      <c r="E356" s="3">
        <v>0.70233493368141398</v>
      </c>
      <c r="F356" s="4">
        <v>1</v>
      </c>
      <c r="G356" s="2">
        <v>814.83</v>
      </c>
      <c r="H356" s="2">
        <v>814.83</v>
      </c>
      <c r="I356" s="2">
        <v>814.83</v>
      </c>
      <c r="J356" s="2" t="str">
        <f t="shared" si="10"/>
        <v>65-74</v>
      </c>
      <c r="K356" s="17" t="str">
        <f t="shared" si="11"/>
        <v>3-5</v>
      </c>
    </row>
    <row r="357" spans="1:11" x14ac:dyDescent="0.2">
      <c r="A357" s="4">
        <v>89</v>
      </c>
      <c r="B357" s="4">
        <v>7</v>
      </c>
      <c r="C357" t="s">
        <v>8</v>
      </c>
      <c r="D357" s="4">
        <v>0</v>
      </c>
      <c r="E357" s="3">
        <v>0.98124487884342704</v>
      </c>
      <c r="F357" s="4">
        <v>1</v>
      </c>
      <c r="G357" s="2">
        <v>1457.21</v>
      </c>
      <c r="H357" s="2">
        <v>1457.21</v>
      </c>
      <c r="I357" s="2">
        <v>1457.21</v>
      </c>
      <c r="J357" s="2" t="str">
        <f t="shared" si="10"/>
        <v>75-90</v>
      </c>
      <c r="K357" s="17" t="str">
        <f t="shared" si="11"/>
        <v>6-8</v>
      </c>
    </row>
    <row r="358" spans="1:11" x14ac:dyDescent="0.2">
      <c r="A358" s="4">
        <v>34</v>
      </c>
      <c r="B358" s="4">
        <v>13</v>
      </c>
      <c r="C358" t="s">
        <v>16</v>
      </c>
      <c r="D358" s="4">
        <v>0</v>
      </c>
      <c r="E358" s="3">
        <v>0.95990401471499398</v>
      </c>
      <c r="F358" s="4">
        <v>1</v>
      </c>
      <c r="G358" s="2">
        <v>621.27</v>
      </c>
      <c r="H358" s="2">
        <v>621.27</v>
      </c>
      <c r="I358" s="2">
        <v>621.27</v>
      </c>
      <c r="J358" s="2" t="str">
        <f t="shared" si="10"/>
        <v>25-34</v>
      </c>
      <c r="K358" s="17" t="str">
        <f t="shared" si="11"/>
        <v>12-15</v>
      </c>
    </row>
    <row r="359" spans="1:11" x14ac:dyDescent="0.2">
      <c r="A359" s="4">
        <v>56</v>
      </c>
      <c r="B359" s="4">
        <v>9</v>
      </c>
      <c r="C359" t="s">
        <v>16</v>
      </c>
      <c r="D359" s="4">
        <v>0</v>
      </c>
      <c r="E359" s="3">
        <v>0.97997704485896997</v>
      </c>
      <c r="F359" s="4">
        <v>1</v>
      </c>
      <c r="G359" s="2">
        <v>908.17</v>
      </c>
      <c r="H359" s="2">
        <v>908.17</v>
      </c>
      <c r="I359" s="2">
        <v>908.17</v>
      </c>
      <c r="J359" s="2" t="str">
        <f t="shared" si="10"/>
        <v>55-64</v>
      </c>
      <c r="K359" s="17" t="str">
        <f t="shared" si="11"/>
        <v>9-11</v>
      </c>
    </row>
    <row r="360" spans="1:11" x14ac:dyDescent="0.2">
      <c r="A360" s="4">
        <v>86</v>
      </c>
      <c r="B360" s="4">
        <v>12</v>
      </c>
      <c r="C360" t="s">
        <v>8</v>
      </c>
      <c r="D360" s="4">
        <v>0</v>
      </c>
      <c r="E360" s="3">
        <v>0.97137334826402399</v>
      </c>
      <c r="F360" s="4">
        <v>1</v>
      </c>
      <c r="G360" s="2">
        <v>2751.93</v>
      </c>
      <c r="H360" s="2">
        <v>2751.93</v>
      </c>
      <c r="I360" s="2">
        <v>2751.93</v>
      </c>
      <c r="J360" s="2" t="str">
        <f t="shared" si="10"/>
        <v>75-90</v>
      </c>
      <c r="K360" s="17" t="str">
        <f t="shared" si="11"/>
        <v>12-15</v>
      </c>
    </row>
    <row r="361" spans="1:11" x14ac:dyDescent="0.2">
      <c r="A361" s="4">
        <v>86</v>
      </c>
      <c r="B361" s="4">
        <v>9</v>
      </c>
      <c r="C361" t="s">
        <v>16</v>
      </c>
      <c r="D361" s="4">
        <v>0</v>
      </c>
      <c r="E361" s="3">
        <v>0.79113135812804103</v>
      </c>
      <c r="F361" s="4">
        <v>1</v>
      </c>
      <c r="G361" s="2">
        <v>790.69</v>
      </c>
      <c r="H361" s="2">
        <v>790.69</v>
      </c>
      <c r="I361" s="2">
        <v>790.69</v>
      </c>
      <c r="J361" s="2" t="str">
        <f t="shared" si="10"/>
        <v>75-90</v>
      </c>
      <c r="K361" s="17" t="str">
        <f t="shared" si="11"/>
        <v>9-11</v>
      </c>
    </row>
    <row r="362" spans="1:11" x14ac:dyDescent="0.2">
      <c r="A362" s="4">
        <v>40</v>
      </c>
      <c r="B362" s="4">
        <v>15</v>
      </c>
      <c r="C362" t="s">
        <v>8</v>
      </c>
      <c r="D362" s="4">
        <v>0</v>
      </c>
      <c r="E362" s="3">
        <v>0.60729242651723303</v>
      </c>
      <c r="F362" s="4">
        <v>1</v>
      </c>
      <c r="G362" s="2">
        <v>1033.03</v>
      </c>
      <c r="H362" s="2">
        <v>1033.03</v>
      </c>
      <c r="I362" s="2">
        <v>1033.03</v>
      </c>
      <c r="J362" s="2" t="str">
        <f t="shared" si="10"/>
        <v>35-44</v>
      </c>
      <c r="K362" s="17" t="str">
        <f t="shared" si="11"/>
        <v>12-15</v>
      </c>
    </row>
    <row r="363" spans="1:11" x14ac:dyDescent="0.2">
      <c r="A363" s="4">
        <v>37</v>
      </c>
      <c r="B363" s="4">
        <v>5</v>
      </c>
      <c r="C363" t="s">
        <v>8</v>
      </c>
      <c r="D363" s="4">
        <v>0</v>
      </c>
      <c r="E363" s="3">
        <v>0.94802406511735204</v>
      </c>
      <c r="F363" s="4">
        <v>1</v>
      </c>
      <c r="G363" s="2">
        <v>922.79</v>
      </c>
      <c r="H363" s="2">
        <v>922.79</v>
      </c>
      <c r="I363" s="2">
        <v>922.79</v>
      </c>
      <c r="J363" s="2" t="str">
        <f t="shared" si="10"/>
        <v>35-44</v>
      </c>
      <c r="K363" s="17" t="str">
        <f t="shared" si="11"/>
        <v>3-5</v>
      </c>
    </row>
    <row r="364" spans="1:11" x14ac:dyDescent="0.2">
      <c r="A364" s="4">
        <v>70</v>
      </c>
      <c r="B364" s="4">
        <v>0</v>
      </c>
      <c r="C364" t="s">
        <v>8</v>
      </c>
      <c r="D364" s="4">
        <v>0</v>
      </c>
      <c r="E364" s="3">
        <v>0.81030767783522595</v>
      </c>
      <c r="F364" s="4">
        <v>2</v>
      </c>
      <c r="G364" s="2">
        <v>458.23</v>
      </c>
      <c r="H364" s="2">
        <v>229.12</v>
      </c>
      <c r="I364" s="2">
        <v>458.23</v>
      </c>
      <c r="J364" s="2" t="str">
        <f t="shared" si="10"/>
        <v>65-74</v>
      </c>
      <c r="K364" s="17" t="str">
        <f t="shared" si="11"/>
        <v>0-2</v>
      </c>
    </row>
    <row r="365" spans="1:11" x14ac:dyDescent="0.2">
      <c r="A365" s="4">
        <v>59</v>
      </c>
      <c r="B365" s="4">
        <v>4</v>
      </c>
      <c r="C365" t="s">
        <v>8</v>
      </c>
      <c r="D365" s="4">
        <v>0</v>
      </c>
      <c r="E365" s="3">
        <v>0.66585481876973096</v>
      </c>
      <c r="F365" s="4">
        <v>1</v>
      </c>
      <c r="G365" s="2">
        <v>262.63</v>
      </c>
      <c r="H365" s="2">
        <v>262.63</v>
      </c>
      <c r="I365" s="2">
        <v>262.63</v>
      </c>
      <c r="J365" s="2" t="str">
        <f t="shared" si="10"/>
        <v>55-64</v>
      </c>
      <c r="K365" s="17" t="str">
        <f t="shared" si="11"/>
        <v>3-5</v>
      </c>
    </row>
    <row r="366" spans="1:11" x14ac:dyDescent="0.2">
      <c r="A366" s="4">
        <v>26</v>
      </c>
      <c r="B366" s="4">
        <v>15</v>
      </c>
      <c r="C366" t="s">
        <v>10</v>
      </c>
      <c r="D366" s="4">
        <v>1</v>
      </c>
      <c r="E366" s="3">
        <v>0.71143784804735299</v>
      </c>
      <c r="F366" s="4">
        <v>1</v>
      </c>
      <c r="G366" s="2">
        <v>1048.58</v>
      </c>
      <c r="H366" s="2">
        <v>1048.58</v>
      </c>
      <c r="I366" s="2">
        <v>1048.58</v>
      </c>
      <c r="J366" s="2" t="str">
        <f t="shared" si="10"/>
        <v>25-34</v>
      </c>
      <c r="K366" s="17" t="str">
        <f t="shared" si="11"/>
        <v>12-15</v>
      </c>
    </row>
    <row r="367" spans="1:11" x14ac:dyDescent="0.2">
      <c r="A367" s="4">
        <v>57</v>
      </c>
      <c r="B367" s="4">
        <v>0</v>
      </c>
      <c r="C367" t="s">
        <v>16</v>
      </c>
      <c r="D367" s="4">
        <v>0</v>
      </c>
      <c r="E367" s="3">
        <v>0.51460451632738102</v>
      </c>
      <c r="F367" s="4">
        <v>1</v>
      </c>
      <c r="G367" s="2">
        <v>863.8</v>
      </c>
      <c r="H367" s="2">
        <v>863.8</v>
      </c>
      <c r="I367" s="2">
        <v>863.8</v>
      </c>
      <c r="J367" s="2" t="str">
        <f t="shared" si="10"/>
        <v>55-64</v>
      </c>
      <c r="K367" s="17" t="str">
        <f t="shared" si="11"/>
        <v>0-2</v>
      </c>
    </row>
    <row r="368" spans="1:11" x14ac:dyDescent="0.2">
      <c r="A368" s="4">
        <v>70</v>
      </c>
      <c r="B368" s="4">
        <v>13</v>
      </c>
      <c r="C368" t="s">
        <v>16</v>
      </c>
      <c r="D368" s="4">
        <v>0</v>
      </c>
      <c r="E368" s="3">
        <v>0.94549614330753695</v>
      </c>
      <c r="F368" s="4">
        <v>1</v>
      </c>
      <c r="G368" s="2">
        <v>1365.4</v>
      </c>
      <c r="H368" s="2">
        <v>1365.4</v>
      </c>
      <c r="I368" s="2">
        <v>1365.4</v>
      </c>
      <c r="J368" s="2" t="str">
        <f t="shared" si="10"/>
        <v>65-74</v>
      </c>
      <c r="K368" s="17" t="str">
        <f t="shared" si="11"/>
        <v>12-15</v>
      </c>
    </row>
    <row r="369" spans="1:11" x14ac:dyDescent="0.2">
      <c r="A369" s="4">
        <v>72</v>
      </c>
      <c r="B369" s="4">
        <v>12</v>
      </c>
      <c r="C369" t="s">
        <v>8</v>
      </c>
      <c r="D369" s="4">
        <v>1</v>
      </c>
      <c r="E369" s="3">
        <v>0.67171278316527605</v>
      </c>
      <c r="F369" s="4">
        <v>1</v>
      </c>
      <c r="G369" s="2">
        <v>1284.3</v>
      </c>
      <c r="H369" s="2">
        <v>1284.3</v>
      </c>
      <c r="I369" s="2">
        <v>1284.3</v>
      </c>
      <c r="J369" s="2" t="str">
        <f t="shared" si="10"/>
        <v>65-74</v>
      </c>
      <c r="K369" s="17" t="str">
        <f t="shared" si="11"/>
        <v>12-15</v>
      </c>
    </row>
    <row r="370" spans="1:11" x14ac:dyDescent="0.2">
      <c r="A370" s="4">
        <v>39</v>
      </c>
      <c r="B370" s="4">
        <v>9</v>
      </c>
      <c r="C370" t="s">
        <v>16</v>
      </c>
      <c r="D370" s="4">
        <v>0</v>
      </c>
      <c r="E370" s="3">
        <v>0.94708799268119004</v>
      </c>
      <c r="F370" s="4">
        <v>2</v>
      </c>
      <c r="G370" s="2">
        <v>468.21</v>
      </c>
      <c r="H370" s="2">
        <v>234.11</v>
      </c>
      <c r="I370" s="2">
        <v>468.21</v>
      </c>
      <c r="J370" s="2" t="str">
        <f t="shared" si="10"/>
        <v>35-44</v>
      </c>
      <c r="K370" s="17" t="str">
        <f t="shared" si="11"/>
        <v>9-11</v>
      </c>
    </row>
    <row r="371" spans="1:11" x14ac:dyDescent="0.2">
      <c r="A371" s="4">
        <v>56</v>
      </c>
      <c r="B371" s="4">
        <v>8</v>
      </c>
      <c r="C371" t="s">
        <v>8</v>
      </c>
      <c r="D371" s="4">
        <v>0</v>
      </c>
      <c r="E371" s="3">
        <v>0.91268114384729404</v>
      </c>
      <c r="F371" s="4">
        <v>1</v>
      </c>
      <c r="G371" s="2">
        <v>989.15</v>
      </c>
      <c r="H371" s="2">
        <v>989.15</v>
      </c>
      <c r="I371" s="2">
        <v>989.15</v>
      </c>
      <c r="J371" s="2" t="str">
        <f t="shared" si="10"/>
        <v>55-64</v>
      </c>
      <c r="K371" s="17" t="str">
        <f t="shared" si="11"/>
        <v>6-8</v>
      </c>
    </row>
    <row r="372" spans="1:11" x14ac:dyDescent="0.2">
      <c r="A372" s="4">
        <v>23</v>
      </c>
      <c r="B372" s="4">
        <v>13</v>
      </c>
      <c r="C372" t="s">
        <v>8</v>
      </c>
      <c r="D372" s="4">
        <v>0</v>
      </c>
      <c r="E372" s="3">
        <v>0.95343400677666101</v>
      </c>
      <c r="F372" s="4">
        <v>1</v>
      </c>
      <c r="G372" s="2">
        <v>238.3</v>
      </c>
      <c r="H372" s="2">
        <v>238.3</v>
      </c>
      <c r="I372" s="2">
        <v>238.3</v>
      </c>
      <c r="J372" s="2" t="str">
        <f t="shared" si="10"/>
        <v>18-24</v>
      </c>
      <c r="K372" s="17" t="str">
        <f t="shared" si="11"/>
        <v>12-15</v>
      </c>
    </row>
    <row r="373" spans="1:11" x14ac:dyDescent="0.2">
      <c r="A373" s="4">
        <v>34</v>
      </c>
      <c r="B373" s="4">
        <v>3</v>
      </c>
      <c r="C373" t="s">
        <v>10</v>
      </c>
      <c r="D373" s="4">
        <v>0</v>
      </c>
      <c r="E373" s="3">
        <v>0.703750186017714</v>
      </c>
      <c r="F373" s="4">
        <v>1</v>
      </c>
      <c r="G373" s="2">
        <v>456.74</v>
      </c>
      <c r="H373" s="2">
        <v>456.74</v>
      </c>
      <c r="I373" s="2">
        <v>456.74</v>
      </c>
      <c r="J373" s="2" t="str">
        <f t="shared" si="10"/>
        <v>25-34</v>
      </c>
      <c r="K373" s="17" t="str">
        <f t="shared" si="11"/>
        <v>3-5</v>
      </c>
    </row>
    <row r="374" spans="1:11" x14ac:dyDescent="0.2">
      <c r="A374" s="4">
        <v>47</v>
      </c>
      <c r="B374" s="4">
        <v>6</v>
      </c>
      <c r="C374" t="s">
        <v>16</v>
      </c>
      <c r="D374" s="4">
        <v>0</v>
      </c>
      <c r="E374" s="3">
        <v>0.64302865962963596</v>
      </c>
      <c r="F374" s="4">
        <v>1</v>
      </c>
      <c r="G374" s="2">
        <v>493</v>
      </c>
      <c r="H374" s="2">
        <v>493</v>
      </c>
      <c r="I374" s="2">
        <v>493</v>
      </c>
      <c r="J374" s="2" t="str">
        <f t="shared" si="10"/>
        <v>45-54</v>
      </c>
      <c r="K374" s="17" t="str">
        <f t="shared" si="11"/>
        <v>6-8</v>
      </c>
    </row>
    <row r="375" spans="1:11" x14ac:dyDescent="0.2">
      <c r="A375" s="4">
        <v>63</v>
      </c>
      <c r="B375" s="4">
        <v>11</v>
      </c>
      <c r="C375" t="s">
        <v>16</v>
      </c>
      <c r="D375" s="4">
        <v>1</v>
      </c>
      <c r="E375" s="3">
        <v>0.51441617857199196</v>
      </c>
      <c r="F375" s="4">
        <v>1</v>
      </c>
      <c r="G375" s="2">
        <v>1525.57</v>
      </c>
      <c r="H375" s="2">
        <v>1525.57</v>
      </c>
      <c r="I375" s="2">
        <v>1525.57</v>
      </c>
      <c r="J375" s="2" t="str">
        <f t="shared" si="10"/>
        <v>55-64</v>
      </c>
      <c r="K375" s="17" t="str">
        <f t="shared" si="11"/>
        <v>9-11</v>
      </c>
    </row>
    <row r="376" spans="1:11" x14ac:dyDescent="0.2">
      <c r="A376" s="4">
        <v>42</v>
      </c>
      <c r="B376" s="4">
        <v>10</v>
      </c>
      <c r="C376" t="s">
        <v>8</v>
      </c>
      <c r="D376" s="4">
        <v>1</v>
      </c>
      <c r="E376" s="3">
        <v>0.98563178745098401</v>
      </c>
      <c r="F376" s="4">
        <v>1</v>
      </c>
      <c r="G376" s="2">
        <v>509.21</v>
      </c>
      <c r="H376" s="2">
        <v>509.21</v>
      </c>
      <c r="I376" s="2">
        <v>509.21</v>
      </c>
      <c r="J376" s="2" t="str">
        <f t="shared" si="10"/>
        <v>35-44</v>
      </c>
      <c r="K376" s="17" t="str">
        <f t="shared" si="11"/>
        <v>9-11</v>
      </c>
    </row>
    <row r="377" spans="1:11" x14ac:dyDescent="0.2">
      <c r="A377" s="4">
        <v>84</v>
      </c>
      <c r="B377" s="4">
        <v>13</v>
      </c>
      <c r="C377" t="s">
        <v>8</v>
      </c>
      <c r="D377" s="4">
        <v>1</v>
      </c>
      <c r="E377" s="3">
        <v>0.94167032430414099</v>
      </c>
      <c r="F377" s="4">
        <v>1</v>
      </c>
      <c r="G377" s="2">
        <v>3265.81</v>
      </c>
      <c r="H377" s="2">
        <v>3265.81</v>
      </c>
      <c r="I377" s="2">
        <v>3265.81</v>
      </c>
      <c r="J377" s="2" t="str">
        <f t="shared" si="10"/>
        <v>75-90</v>
      </c>
      <c r="K377" s="17" t="str">
        <f t="shared" si="11"/>
        <v>12-15</v>
      </c>
    </row>
    <row r="378" spans="1:11" x14ac:dyDescent="0.2">
      <c r="A378" s="4">
        <v>61</v>
      </c>
      <c r="B378" s="4">
        <v>3</v>
      </c>
      <c r="C378" t="s">
        <v>16</v>
      </c>
      <c r="D378" s="4">
        <v>1</v>
      </c>
      <c r="E378" s="3">
        <v>0.87984340067487199</v>
      </c>
      <c r="F378" s="4">
        <v>3</v>
      </c>
      <c r="G378" s="2">
        <v>1222.43</v>
      </c>
      <c r="H378" s="2">
        <v>407.48</v>
      </c>
      <c r="I378" s="2">
        <v>1222.43</v>
      </c>
      <c r="J378" s="2" t="str">
        <f t="shared" si="10"/>
        <v>55-64</v>
      </c>
      <c r="K378" s="17" t="str">
        <f t="shared" si="11"/>
        <v>3-5</v>
      </c>
    </row>
    <row r="379" spans="1:11" x14ac:dyDescent="0.2">
      <c r="A379" s="4">
        <v>56</v>
      </c>
      <c r="B379" s="4">
        <v>4</v>
      </c>
      <c r="C379" t="s">
        <v>8</v>
      </c>
      <c r="D379" s="4">
        <v>1</v>
      </c>
      <c r="E379" s="3">
        <v>0.55092195456381898</v>
      </c>
      <c r="F379" s="4">
        <v>1</v>
      </c>
      <c r="G379" s="2">
        <v>688.29</v>
      </c>
      <c r="H379" s="2">
        <v>688.29</v>
      </c>
      <c r="I379" s="2">
        <v>688.29</v>
      </c>
      <c r="J379" s="2" t="str">
        <f t="shared" si="10"/>
        <v>55-64</v>
      </c>
      <c r="K379" s="17" t="str">
        <f t="shared" si="11"/>
        <v>3-5</v>
      </c>
    </row>
    <row r="380" spans="1:11" x14ac:dyDescent="0.2">
      <c r="A380" s="4">
        <v>55</v>
      </c>
      <c r="B380" s="4">
        <v>9</v>
      </c>
      <c r="C380" t="s">
        <v>8</v>
      </c>
      <c r="D380" s="4">
        <v>0</v>
      </c>
      <c r="E380" s="3">
        <v>0.72299527935683705</v>
      </c>
      <c r="F380" s="4">
        <v>1</v>
      </c>
      <c r="G380" s="2">
        <v>523.41</v>
      </c>
      <c r="H380" s="2">
        <v>523.41</v>
      </c>
      <c r="I380" s="2">
        <v>523.41</v>
      </c>
      <c r="J380" s="2" t="str">
        <f t="shared" si="10"/>
        <v>55-64</v>
      </c>
      <c r="K380" s="17" t="str">
        <f t="shared" si="11"/>
        <v>9-11</v>
      </c>
    </row>
    <row r="381" spans="1:11" x14ac:dyDescent="0.2">
      <c r="A381" s="4">
        <v>33</v>
      </c>
      <c r="B381" s="4">
        <v>1</v>
      </c>
      <c r="C381" t="s">
        <v>10</v>
      </c>
      <c r="D381" s="4">
        <v>2</v>
      </c>
      <c r="E381" s="3">
        <v>0.673366459319368</v>
      </c>
      <c r="F381" s="4">
        <v>1</v>
      </c>
      <c r="G381" s="2">
        <v>1317.61</v>
      </c>
      <c r="H381" s="2">
        <v>1317.61</v>
      </c>
      <c r="I381" s="2">
        <v>1317.61</v>
      </c>
      <c r="J381" s="2" t="str">
        <f t="shared" si="10"/>
        <v>25-34</v>
      </c>
      <c r="K381" s="17" t="str">
        <f t="shared" si="11"/>
        <v>0-2</v>
      </c>
    </row>
    <row r="382" spans="1:11" x14ac:dyDescent="0.2">
      <c r="A382" s="4">
        <v>51</v>
      </c>
      <c r="B382" s="4">
        <v>10</v>
      </c>
      <c r="C382" t="s">
        <v>10</v>
      </c>
      <c r="D382" s="4">
        <v>2</v>
      </c>
      <c r="E382" s="3">
        <v>0.98760859691537906</v>
      </c>
      <c r="F382" s="4">
        <v>1</v>
      </c>
      <c r="G382" s="2">
        <v>2838.13</v>
      </c>
      <c r="H382" s="2">
        <v>2838.13</v>
      </c>
      <c r="I382" s="2">
        <v>2838.13</v>
      </c>
      <c r="J382" s="2" t="str">
        <f t="shared" si="10"/>
        <v>45-54</v>
      </c>
      <c r="K382" s="17" t="str">
        <f t="shared" si="11"/>
        <v>9-11</v>
      </c>
    </row>
    <row r="383" spans="1:11" x14ac:dyDescent="0.2">
      <c r="A383" s="4">
        <v>48</v>
      </c>
      <c r="B383" s="4">
        <v>13</v>
      </c>
      <c r="C383" t="s">
        <v>16</v>
      </c>
      <c r="D383" s="4">
        <v>0</v>
      </c>
      <c r="E383" s="3">
        <v>0.93263278820086304</v>
      </c>
      <c r="F383" s="4">
        <v>1</v>
      </c>
      <c r="G383" s="2">
        <v>1108.4000000000001</v>
      </c>
      <c r="H383" s="2">
        <v>1108.4000000000001</v>
      </c>
      <c r="I383" s="2">
        <v>1108.4000000000001</v>
      </c>
      <c r="J383" s="2" t="str">
        <f t="shared" si="10"/>
        <v>45-54</v>
      </c>
      <c r="K383" s="17" t="str">
        <f t="shared" si="11"/>
        <v>12-15</v>
      </c>
    </row>
    <row r="384" spans="1:11" x14ac:dyDescent="0.2">
      <c r="A384" s="4">
        <v>57</v>
      </c>
      <c r="B384" s="4">
        <v>8</v>
      </c>
      <c r="C384" t="s">
        <v>8</v>
      </c>
      <c r="D384" s="4">
        <v>0</v>
      </c>
      <c r="E384" s="3">
        <v>0.75394112290814497</v>
      </c>
      <c r="F384" s="4">
        <v>1</v>
      </c>
      <c r="G384" s="2">
        <v>809.44</v>
      </c>
      <c r="H384" s="2">
        <v>809.44</v>
      </c>
      <c r="I384" s="2">
        <v>809.44</v>
      </c>
      <c r="J384" s="2" t="str">
        <f t="shared" si="10"/>
        <v>55-64</v>
      </c>
      <c r="K384" s="17" t="str">
        <f t="shared" si="11"/>
        <v>6-8</v>
      </c>
    </row>
    <row r="385" spans="1:11" x14ac:dyDescent="0.2">
      <c r="A385" s="4">
        <v>47</v>
      </c>
      <c r="B385" s="4">
        <v>4</v>
      </c>
      <c r="C385" t="s">
        <v>8</v>
      </c>
      <c r="D385" s="4">
        <v>0</v>
      </c>
      <c r="E385" s="3">
        <v>0.56348737410735295</v>
      </c>
      <c r="F385" s="4">
        <v>1</v>
      </c>
      <c r="G385" s="2">
        <v>754.43</v>
      </c>
      <c r="H385" s="2">
        <v>754.43</v>
      </c>
      <c r="I385" s="2">
        <v>754.43</v>
      </c>
      <c r="J385" s="2" t="str">
        <f t="shared" si="10"/>
        <v>45-54</v>
      </c>
      <c r="K385" s="17" t="str">
        <f t="shared" si="11"/>
        <v>3-5</v>
      </c>
    </row>
    <row r="386" spans="1:11" x14ac:dyDescent="0.2">
      <c r="A386" s="4">
        <v>25</v>
      </c>
      <c r="B386" s="4">
        <v>9</v>
      </c>
      <c r="C386" t="s">
        <v>8</v>
      </c>
      <c r="D386" s="4">
        <v>0</v>
      </c>
      <c r="E386" s="3">
        <v>0.87618835398461703</v>
      </c>
      <c r="F386" s="4">
        <v>1</v>
      </c>
      <c r="G386" s="2">
        <v>443.45</v>
      </c>
      <c r="H386" s="2">
        <v>443.45</v>
      </c>
      <c r="I386" s="2">
        <v>443.45</v>
      </c>
      <c r="J386" s="2" t="str">
        <f t="shared" ref="J386:J449" si="12" xml:space="preserve"> IF(A386&lt;25,"18-24",
 IF(A386&lt;35,"25-34",
 IF(A386&lt;45,"35-44",
 IF(A386&lt;55,"45-54", IF(A386&lt;65, "55-64", IF(A386&lt;75, "65-74", "75-90"))))))</f>
        <v>25-34</v>
      </c>
      <c r="K386" s="17" t="str">
        <f t="shared" ref="K386:K449" si="13" xml:space="preserve"> IF(B386 &lt; 3, "0-2", IF(B386 &lt; 6, "3-5", IF(B386 &lt; 9, "6-8", IF(B386 &lt; 12, "9-11", "12-15"))))</f>
        <v>9-11</v>
      </c>
    </row>
    <row r="387" spans="1:11" x14ac:dyDescent="0.2">
      <c r="A387" s="4">
        <v>67</v>
      </c>
      <c r="B387" s="4">
        <v>6</v>
      </c>
      <c r="C387" t="s">
        <v>8</v>
      </c>
      <c r="D387" s="4">
        <v>0</v>
      </c>
      <c r="E387" s="3">
        <v>0.52910191169939902</v>
      </c>
      <c r="F387" s="4">
        <v>1</v>
      </c>
      <c r="G387" s="2">
        <v>429.88</v>
      </c>
      <c r="H387" s="2">
        <v>429.88</v>
      </c>
      <c r="I387" s="2">
        <v>429.88</v>
      </c>
      <c r="J387" s="2" t="str">
        <f t="shared" si="12"/>
        <v>65-74</v>
      </c>
      <c r="K387" s="17" t="str">
        <f t="shared" si="13"/>
        <v>6-8</v>
      </c>
    </row>
    <row r="388" spans="1:11" x14ac:dyDescent="0.2">
      <c r="A388" s="4">
        <v>76</v>
      </c>
      <c r="B388" s="4">
        <v>1</v>
      </c>
      <c r="C388" t="s">
        <v>8</v>
      </c>
      <c r="D388" s="4">
        <v>0</v>
      </c>
      <c r="E388" s="3">
        <v>0.85596904018893805</v>
      </c>
      <c r="F388" s="4">
        <v>2</v>
      </c>
      <c r="G388" s="2">
        <v>512.70000000000005</v>
      </c>
      <c r="H388" s="2">
        <v>256.35000000000002</v>
      </c>
      <c r="I388" s="2">
        <v>512.70000000000005</v>
      </c>
      <c r="J388" s="2" t="str">
        <f t="shared" si="12"/>
        <v>75-90</v>
      </c>
      <c r="K388" s="17" t="str">
        <f t="shared" si="13"/>
        <v>0-2</v>
      </c>
    </row>
    <row r="389" spans="1:11" x14ac:dyDescent="0.2">
      <c r="A389" s="4">
        <v>28</v>
      </c>
      <c r="B389" s="4">
        <v>13</v>
      </c>
      <c r="C389" t="s">
        <v>8</v>
      </c>
      <c r="D389" s="4">
        <v>0</v>
      </c>
      <c r="E389" s="3">
        <v>0.93042007461190201</v>
      </c>
      <c r="F389" s="4">
        <v>1</v>
      </c>
      <c r="G389" s="2">
        <v>711.46</v>
      </c>
      <c r="H389" s="2">
        <v>711.46</v>
      </c>
      <c r="I389" s="2">
        <v>711.46</v>
      </c>
      <c r="J389" s="2" t="str">
        <f t="shared" si="12"/>
        <v>25-34</v>
      </c>
      <c r="K389" s="17" t="str">
        <f t="shared" si="13"/>
        <v>12-15</v>
      </c>
    </row>
    <row r="390" spans="1:11" x14ac:dyDescent="0.2">
      <c r="A390" s="4">
        <v>46</v>
      </c>
      <c r="B390" s="4">
        <v>4</v>
      </c>
      <c r="C390" t="s">
        <v>10</v>
      </c>
      <c r="D390" s="4">
        <v>0</v>
      </c>
      <c r="E390" s="3">
        <v>0.745744982617907</v>
      </c>
      <c r="F390" s="4">
        <v>1</v>
      </c>
      <c r="G390" s="2">
        <v>1309.3599999999999</v>
      </c>
      <c r="H390" s="2">
        <v>1309.3599999999999</v>
      </c>
      <c r="I390" s="2">
        <v>1309.3599999999999</v>
      </c>
      <c r="J390" s="2" t="str">
        <f t="shared" si="12"/>
        <v>45-54</v>
      </c>
      <c r="K390" s="17" t="str">
        <f t="shared" si="13"/>
        <v>3-5</v>
      </c>
    </row>
    <row r="391" spans="1:11" x14ac:dyDescent="0.2">
      <c r="A391" s="4">
        <v>61</v>
      </c>
      <c r="B391" s="4">
        <v>14</v>
      </c>
      <c r="C391" t="s">
        <v>8</v>
      </c>
      <c r="D391" s="4">
        <v>0</v>
      </c>
      <c r="E391" s="3">
        <v>0.82005879899952605</v>
      </c>
      <c r="F391" s="4">
        <v>1</v>
      </c>
      <c r="G391" s="2">
        <v>623.55999999999995</v>
      </c>
      <c r="H391" s="2">
        <v>623.55999999999995</v>
      </c>
      <c r="I391" s="2">
        <v>623.55999999999995</v>
      </c>
      <c r="J391" s="2" t="str">
        <f t="shared" si="12"/>
        <v>55-64</v>
      </c>
      <c r="K391" s="17" t="str">
        <f t="shared" si="13"/>
        <v>12-15</v>
      </c>
    </row>
    <row r="392" spans="1:11" x14ac:dyDescent="0.2">
      <c r="A392" s="4">
        <v>58</v>
      </c>
      <c r="B392" s="4">
        <v>6</v>
      </c>
      <c r="C392" t="s">
        <v>10</v>
      </c>
      <c r="D392" s="4">
        <v>1</v>
      </c>
      <c r="E392" s="3">
        <v>0.62494949286337897</v>
      </c>
      <c r="F392" s="4">
        <v>2</v>
      </c>
      <c r="G392" s="2">
        <v>963.84</v>
      </c>
      <c r="H392" s="2">
        <v>481.92</v>
      </c>
      <c r="I392" s="2">
        <v>963.84</v>
      </c>
      <c r="J392" s="2" t="str">
        <f t="shared" si="12"/>
        <v>55-64</v>
      </c>
      <c r="K392" s="17" t="str">
        <f t="shared" si="13"/>
        <v>6-8</v>
      </c>
    </row>
    <row r="393" spans="1:11" x14ac:dyDescent="0.2">
      <c r="A393" s="4">
        <v>20</v>
      </c>
      <c r="B393" s="4">
        <v>3</v>
      </c>
      <c r="C393" t="s">
        <v>8</v>
      </c>
      <c r="D393" s="4">
        <v>0</v>
      </c>
      <c r="E393" s="3">
        <v>0.80621414538472902</v>
      </c>
      <c r="F393" s="4">
        <v>1</v>
      </c>
      <c r="G393" s="2">
        <v>301.23</v>
      </c>
      <c r="H393" s="2">
        <v>301.23</v>
      </c>
      <c r="I393" s="2">
        <v>301.23</v>
      </c>
      <c r="J393" s="2" t="str">
        <f t="shared" si="12"/>
        <v>18-24</v>
      </c>
      <c r="K393" s="17" t="str">
        <f t="shared" si="13"/>
        <v>3-5</v>
      </c>
    </row>
    <row r="394" spans="1:11" x14ac:dyDescent="0.2">
      <c r="A394" s="4">
        <v>32</v>
      </c>
      <c r="B394" s="4">
        <v>4</v>
      </c>
      <c r="C394" t="s">
        <v>16</v>
      </c>
      <c r="D394" s="4">
        <v>1</v>
      </c>
      <c r="E394" s="3">
        <v>0.5308536964003</v>
      </c>
      <c r="F394" s="4">
        <v>1</v>
      </c>
      <c r="G394" s="2">
        <v>597.61</v>
      </c>
      <c r="H394" s="2">
        <v>597.61</v>
      </c>
      <c r="I394" s="2">
        <v>597.61</v>
      </c>
      <c r="J394" s="2" t="str">
        <f t="shared" si="12"/>
        <v>25-34</v>
      </c>
      <c r="K394" s="17" t="str">
        <f t="shared" si="13"/>
        <v>3-5</v>
      </c>
    </row>
    <row r="395" spans="1:11" x14ac:dyDescent="0.2">
      <c r="A395" s="4">
        <v>26</v>
      </c>
      <c r="B395" s="4">
        <v>7</v>
      </c>
      <c r="C395" t="s">
        <v>16</v>
      </c>
      <c r="D395" s="4">
        <v>0</v>
      </c>
      <c r="E395" s="3">
        <v>0.50181493186391901</v>
      </c>
      <c r="F395" s="4">
        <v>1</v>
      </c>
      <c r="G395" s="2">
        <v>550.13</v>
      </c>
      <c r="H395" s="2">
        <v>550.13</v>
      </c>
      <c r="I395" s="2">
        <v>550.13</v>
      </c>
      <c r="J395" s="2" t="str">
        <f t="shared" si="12"/>
        <v>25-34</v>
      </c>
      <c r="K395" s="17" t="str">
        <f t="shared" si="13"/>
        <v>6-8</v>
      </c>
    </row>
    <row r="396" spans="1:11" x14ac:dyDescent="0.2">
      <c r="A396" s="4">
        <v>88</v>
      </c>
      <c r="B396" s="4">
        <v>14</v>
      </c>
      <c r="C396" t="s">
        <v>10</v>
      </c>
      <c r="D396" s="4">
        <v>1</v>
      </c>
      <c r="E396" s="3">
        <v>0.61971618514507998</v>
      </c>
      <c r="F396" s="4">
        <v>1</v>
      </c>
      <c r="G396" s="2">
        <v>2526.7600000000002</v>
      </c>
      <c r="H396" s="2">
        <v>2526.7600000000002</v>
      </c>
      <c r="I396" s="2">
        <v>2526.7600000000002</v>
      </c>
      <c r="J396" s="2" t="str">
        <f t="shared" si="12"/>
        <v>75-90</v>
      </c>
      <c r="K396" s="17" t="str">
        <f t="shared" si="13"/>
        <v>12-15</v>
      </c>
    </row>
    <row r="397" spans="1:11" x14ac:dyDescent="0.2">
      <c r="A397" s="4">
        <v>82</v>
      </c>
      <c r="B397" s="4">
        <v>9</v>
      </c>
      <c r="C397" t="s">
        <v>16</v>
      </c>
      <c r="D397" s="4">
        <v>1</v>
      </c>
      <c r="E397" s="3">
        <v>0.75353334960527696</v>
      </c>
      <c r="F397" s="4">
        <v>1</v>
      </c>
      <c r="G397" s="2">
        <v>1921.49</v>
      </c>
      <c r="H397" s="2">
        <v>1921.49</v>
      </c>
      <c r="I397" s="2">
        <v>1921.49</v>
      </c>
      <c r="J397" s="2" t="str">
        <f t="shared" si="12"/>
        <v>75-90</v>
      </c>
      <c r="K397" s="17" t="str">
        <f t="shared" si="13"/>
        <v>9-11</v>
      </c>
    </row>
    <row r="398" spans="1:11" x14ac:dyDescent="0.2">
      <c r="A398" s="4">
        <v>75</v>
      </c>
      <c r="B398" s="4">
        <v>7</v>
      </c>
      <c r="C398" t="s">
        <v>8</v>
      </c>
      <c r="D398" s="4">
        <v>0</v>
      </c>
      <c r="E398" s="3">
        <v>0.92480938299559101</v>
      </c>
      <c r="F398" s="4">
        <v>1</v>
      </c>
      <c r="G398" s="2">
        <v>572.89</v>
      </c>
      <c r="H398" s="2">
        <v>572.89</v>
      </c>
      <c r="I398" s="2">
        <v>572.89</v>
      </c>
      <c r="J398" s="2" t="str">
        <f t="shared" si="12"/>
        <v>75-90</v>
      </c>
      <c r="K398" s="17" t="str">
        <f t="shared" si="13"/>
        <v>6-8</v>
      </c>
    </row>
    <row r="399" spans="1:11" x14ac:dyDescent="0.2">
      <c r="A399" s="4">
        <v>57</v>
      </c>
      <c r="B399" s="4">
        <v>15</v>
      </c>
      <c r="C399" t="s">
        <v>16</v>
      </c>
      <c r="D399" s="4">
        <v>0</v>
      </c>
      <c r="E399" s="3">
        <v>0.56765074911527302</v>
      </c>
      <c r="F399" s="4">
        <v>1</v>
      </c>
      <c r="G399" s="2">
        <v>1715.15</v>
      </c>
      <c r="H399" s="2">
        <v>1715.15</v>
      </c>
      <c r="I399" s="2">
        <v>1715.15</v>
      </c>
      <c r="J399" s="2" t="str">
        <f t="shared" si="12"/>
        <v>55-64</v>
      </c>
      <c r="K399" s="17" t="str">
        <f t="shared" si="13"/>
        <v>12-15</v>
      </c>
    </row>
    <row r="400" spans="1:11" x14ac:dyDescent="0.2">
      <c r="A400" s="4">
        <v>36</v>
      </c>
      <c r="B400" s="4">
        <v>6</v>
      </c>
      <c r="C400" t="s">
        <v>8</v>
      </c>
      <c r="D400" s="4">
        <v>0</v>
      </c>
      <c r="E400" s="3">
        <v>0.85369306791108102</v>
      </c>
      <c r="F400" s="4">
        <v>2</v>
      </c>
      <c r="G400" s="2">
        <v>275.04000000000002</v>
      </c>
      <c r="H400" s="2">
        <v>137.52000000000001</v>
      </c>
      <c r="I400" s="2">
        <v>275.04000000000002</v>
      </c>
      <c r="J400" s="2" t="str">
        <f t="shared" si="12"/>
        <v>35-44</v>
      </c>
      <c r="K400" s="17" t="str">
        <f t="shared" si="13"/>
        <v>6-8</v>
      </c>
    </row>
    <row r="401" spans="1:11" x14ac:dyDescent="0.2">
      <c r="A401" s="4">
        <v>24</v>
      </c>
      <c r="B401" s="4">
        <v>7</v>
      </c>
      <c r="C401" t="s">
        <v>8</v>
      </c>
      <c r="D401" s="4">
        <v>1</v>
      </c>
      <c r="E401" s="3">
        <v>0.67620065016672004</v>
      </c>
      <c r="F401" s="4">
        <v>1</v>
      </c>
      <c r="G401" s="2">
        <v>500.32</v>
      </c>
      <c r="H401" s="2">
        <v>500.32</v>
      </c>
      <c r="I401" s="2">
        <v>500.32</v>
      </c>
      <c r="J401" s="2" t="str">
        <f t="shared" si="12"/>
        <v>18-24</v>
      </c>
      <c r="K401" s="17" t="str">
        <f t="shared" si="13"/>
        <v>6-8</v>
      </c>
    </row>
    <row r="402" spans="1:11" x14ac:dyDescent="0.2">
      <c r="A402" s="4">
        <v>77</v>
      </c>
      <c r="B402" s="4">
        <v>15</v>
      </c>
      <c r="C402" t="s">
        <v>16</v>
      </c>
      <c r="D402" s="4">
        <v>0</v>
      </c>
      <c r="E402" s="3">
        <v>0.87437559408135701</v>
      </c>
      <c r="F402" s="4">
        <v>1</v>
      </c>
      <c r="G402" s="2">
        <v>866.73</v>
      </c>
      <c r="H402" s="2">
        <v>866.73</v>
      </c>
      <c r="I402" s="2">
        <v>866.73</v>
      </c>
      <c r="J402" s="2" t="str">
        <f t="shared" si="12"/>
        <v>75-90</v>
      </c>
      <c r="K402" s="17" t="str">
        <f t="shared" si="13"/>
        <v>12-15</v>
      </c>
    </row>
    <row r="403" spans="1:11" x14ac:dyDescent="0.2">
      <c r="A403" s="4">
        <v>82</v>
      </c>
      <c r="B403" s="4">
        <v>14</v>
      </c>
      <c r="C403" t="s">
        <v>10</v>
      </c>
      <c r="D403" s="4">
        <v>1</v>
      </c>
      <c r="E403" s="3">
        <v>0.64180208207108103</v>
      </c>
      <c r="F403" s="4">
        <v>2</v>
      </c>
      <c r="G403" s="2">
        <v>6202.92</v>
      </c>
      <c r="H403" s="2">
        <v>3101.46</v>
      </c>
      <c r="I403" s="2">
        <v>6202.92</v>
      </c>
      <c r="J403" s="2" t="str">
        <f t="shared" si="12"/>
        <v>75-90</v>
      </c>
      <c r="K403" s="17" t="str">
        <f t="shared" si="13"/>
        <v>12-15</v>
      </c>
    </row>
    <row r="404" spans="1:11" x14ac:dyDescent="0.2">
      <c r="A404" s="4">
        <v>87</v>
      </c>
      <c r="B404" s="4">
        <v>6</v>
      </c>
      <c r="C404" t="s">
        <v>10</v>
      </c>
      <c r="D404" s="4">
        <v>0</v>
      </c>
      <c r="E404" s="3">
        <v>0.70869262597989302</v>
      </c>
      <c r="F404" s="4">
        <v>1</v>
      </c>
      <c r="G404" s="2">
        <v>1340.62</v>
      </c>
      <c r="H404" s="2">
        <v>1340.62</v>
      </c>
      <c r="I404" s="2">
        <v>1340.62</v>
      </c>
      <c r="J404" s="2" t="str">
        <f t="shared" si="12"/>
        <v>75-90</v>
      </c>
      <c r="K404" s="17" t="str">
        <f t="shared" si="13"/>
        <v>6-8</v>
      </c>
    </row>
    <row r="405" spans="1:11" x14ac:dyDescent="0.2">
      <c r="A405" s="4">
        <v>18</v>
      </c>
      <c r="B405" s="4">
        <v>6</v>
      </c>
      <c r="C405" t="s">
        <v>8</v>
      </c>
      <c r="D405" s="4">
        <v>0</v>
      </c>
      <c r="E405" s="3">
        <v>0.75550622446462501</v>
      </c>
      <c r="F405" s="4">
        <v>1</v>
      </c>
      <c r="G405" s="2">
        <v>191.81</v>
      </c>
      <c r="H405" s="2">
        <v>191.81</v>
      </c>
      <c r="I405" s="2">
        <v>191.81</v>
      </c>
      <c r="J405" s="2" t="str">
        <f t="shared" si="12"/>
        <v>18-24</v>
      </c>
      <c r="K405" s="17" t="str">
        <f t="shared" si="13"/>
        <v>6-8</v>
      </c>
    </row>
    <row r="406" spans="1:11" x14ac:dyDescent="0.2">
      <c r="A406" s="4">
        <v>38</v>
      </c>
      <c r="B406" s="4">
        <v>10</v>
      </c>
      <c r="C406" t="s">
        <v>8</v>
      </c>
      <c r="D406" s="4">
        <v>1</v>
      </c>
      <c r="E406" s="3">
        <v>0.64897303155157704</v>
      </c>
      <c r="F406" s="4">
        <v>1</v>
      </c>
      <c r="G406" s="2">
        <v>735.73</v>
      </c>
      <c r="H406" s="2">
        <v>735.73</v>
      </c>
      <c r="I406" s="2">
        <v>735.73</v>
      </c>
      <c r="J406" s="2" t="str">
        <f t="shared" si="12"/>
        <v>35-44</v>
      </c>
      <c r="K406" s="17" t="str">
        <f t="shared" si="13"/>
        <v>9-11</v>
      </c>
    </row>
    <row r="407" spans="1:11" x14ac:dyDescent="0.2">
      <c r="A407" s="4">
        <v>21</v>
      </c>
      <c r="B407" s="4">
        <v>14</v>
      </c>
      <c r="C407" t="s">
        <v>8</v>
      </c>
      <c r="D407" s="4">
        <v>0</v>
      </c>
      <c r="E407" s="3">
        <v>0.81264651077799499</v>
      </c>
      <c r="F407" s="4">
        <v>1</v>
      </c>
      <c r="G407" s="2">
        <v>217.93</v>
      </c>
      <c r="H407" s="2">
        <v>217.93</v>
      </c>
      <c r="I407" s="2">
        <v>217.93</v>
      </c>
      <c r="J407" s="2" t="str">
        <f t="shared" si="12"/>
        <v>18-24</v>
      </c>
      <c r="K407" s="17" t="str">
        <f t="shared" si="13"/>
        <v>12-15</v>
      </c>
    </row>
    <row r="408" spans="1:11" x14ac:dyDescent="0.2">
      <c r="A408" s="4">
        <v>69</v>
      </c>
      <c r="B408" s="4">
        <v>4</v>
      </c>
      <c r="C408" t="s">
        <v>8</v>
      </c>
      <c r="D408" s="4">
        <v>2</v>
      </c>
      <c r="E408" s="3">
        <v>0.78164676204323802</v>
      </c>
      <c r="F408" s="4">
        <v>1</v>
      </c>
      <c r="G408" s="2">
        <v>3212.7</v>
      </c>
      <c r="H408" s="2">
        <v>3212.7</v>
      </c>
      <c r="I408" s="2">
        <v>3212.7</v>
      </c>
      <c r="J408" s="2" t="str">
        <f t="shared" si="12"/>
        <v>65-74</v>
      </c>
      <c r="K408" s="17" t="str">
        <f t="shared" si="13"/>
        <v>3-5</v>
      </c>
    </row>
    <row r="409" spans="1:11" x14ac:dyDescent="0.2">
      <c r="A409" s="4">
        <v>50</v>
      </c>
      <c r="B409" s="4">
        <v>6</v>
      </c>
      <c r="C409" t="s">
        <v>10</v>
      </c>
      <c r="D409" s="4">
        <v>0</v>
      </c>
      <c r="E409" s="3">
        <v>0.85519415279850397</v>
      </c>
      <c r="F409" s="4">
        <v>3</v>
      </c>
      <c r="G409" s="2">
        <v>1126.29</v>
      </c>
      <c r="H409" s="2">
        <v>375.43</v>
      </c>
      <c r="I409" s="2">
        <v>1126.29</v>
      </c>
      <c r="J409" s="2" t="str">
        <f t="shared" si="12"/>
        <v>45-54</v>
      </c>
      <c r="K409" s="17" t="str">
        <f t="shared" si="13"/>
        <v>6-8</v>
      </c>
    </row>
    <row r="410" spans="1:11" x14ac:dyDescent="0.2">
      <c r="A410" s="4">
        <v>76</v>
      </c>
      <c r="B410" s="4">
        <v>10</v>
      </c>
      <c r="C410" t="s">
        <v>8</v>
      </c>
      <c r="D410" s="4">
        <v>1</v>
      </c>
      <c r="E410" s="3">
        <v>0.51857815647963401</v>
      </c>
      <c r="F410" s="4">
        <v>2</v>
      </c>
      <c r="G410" s="2">
        <v>1224.1400000000001</v>
      </c>
      <c r="H410" s="2">
        <v>612.07000000000005</v>
      </c>
      <c r="I410" s="2">
        <v>1224.1400000000001</v>
      </c>
      <c r="J410" s="2" t="str">
        <f t="shared" si="12"/>
        <v>75-90</v>
      </c>
      <c r="K410" s="17" t="str">
        <f t="shared" si="13"/>
        <v>9-11</v>
      </c>
    </row>
    <row r="411" spans="1:11" x14ac:dyDescent="0.2">
      <c r="A411" s="4">
        <v>78</v>
      </c>
      <c r="B411" s="4">
        <v>11</v>
      </c>
      <c r="C411" t="s">
        <v>10</v>
      </c>
      <c r="D411" s="4">
        <v>0</v>
      </c>
      <c r="E411" s="3">
        <v>0.88648156239651099</v>
      </c>
      <c r="F411" s="4">
        <v>1</v>
      </c>
      <c r="G411" s="2">
        <v>1104.76</v>
      </c>
      <c r="H411" s="2">
        <v>1104.76</v>
      </c>
      <c r="I411" s="2">
        <v>1104.76</v>
      </c>
      <c r="J411" s="2" t="str">
        <f t="shared" si="12"/>
        <v>75-90</v>
      </c>
      <c r="K411" s="17" t="str">
        <f t="shared" si="13"/>
        <v>9-11</v>
      </c>
    </row>
    <row r="412" spans="1:11" x14ac:dyDescent="0.2">
      <c r="A412" s="4">
        <v>59</v>
      </c>
      <c r="B412" s="4">
        <v>6</v>
      </c>
      <c r="C412" t="s">
        <v>8</v>
      </c>
      <c r="D412" s="4">
        <v>0</v>
      </c>
      <c r="E412" s="3">
        <v>0.97339726577047303</v>
      </c>
      <c r="F412" s="4">
        <v>2</v>
      </c>
      <c r="G412" s="2">
        <v>854.68</v>
      </c>
      <c r="H412" s="2">
        <v>427.34</v>
      </c>
      <c r="I412" s="2">
        <v>854.68</v>
      </c>
      <c r="J412" s="2" t="str">
        <f t="shared" si="12"/>
        <v>55-64</v>
      </c>
      <c r="K412" s="17" t="str">
        <f t="shared" si="13"/>
        <v>6-8</v>
      </c>
    </row>
    <row r="413" spans="1:11" x14ac:dyDescent="0.2">
      <c r="A413" s="4">
        <v>18</v>
      </c>
      <c r="B413" s="4">
        <v>6</v>
      </c>
      <c r="C413" t="s">
        <v>8</v>
      </c>
      <c r="D413" s="4">
        <v>0</v>
      </c>
      <c r="E413" s="3">
        <v>0.80380609747953702</v>
      </c>
      <c r="F413" s="4">
        <v>1</v>
      </c>
      <c r="G413" s="2">
        <v>332.88</v>
      </c>
      <c r="H413" s="2">
        <v>332.88</v>
      </c>
      <c r="I413" s="2">
        <v>332.88</v>
      </c>
      <c r="J413" s="2" t="str">
        <f t="shared" si="12"/>
        <v>18-24</v>
      </c>
      <c r="K413" s="17" t="str">
        <f t="shared" si="13"/>
        <v>6-8</v>
      </c>
    </row>
    <row r="414" spans="1:11" x14ac:dyDescent="0.2">
      <c r="A414" s="4">
        <v>89</v>
      </c>
      <c r="B414" s="4">
        <v>6</v>
      </c>
      <c r="C414" t="s">
        <v>8</v>
      </c>
      <c r="D414" s="4">
        <v>2</v>
      </c>
      <c r="E414" s="3">
        <v>0.75766974908765405</v>
      </c>
      <c r="F414" s="4">
        <v>1</v>
      </c>
      <c r="G414" s="2">
        <v>2845.72</v>
      </c>
      <c r="H414" s="2">
        <v>2845.72</v>
      </c>
      <c r="I414" s="2">
        <v>2845.72</v>
      </c>
      <c r="J414" s="2" t="str">
        <f t="shared" si="12"/>
        <v>75-90</v>
      </c>
      <c r="K414" s="17" t="str">
        <f t="shared" si="13"/>
        <v>6-8</v>
      </c>
    </row>
    <row r="415" spans="1:11" x14ac:dyDescent="0.2">
      <c r="A415" s="4">
        <v>62</v>
      </c>
      <c r="B415" s="4">
        <v>1</v>
      </c>
      <c r="C415" t="s">
        <v>16</v>
      </c>
      <c r="D415" s="4">
        <v>0</v>
      </c>
      <c r="E415" s="3">
        <v>0.81254852493293594</v>
      </c>
      <c r="F415" s="4">
        <v>1</v>
      </c>
      <c r="G415" s="2">
        <v>490.77</v>
      </c>
      <c r="H415" s="2">
        <v>490.77</v>
      </c>
      <c r="I415" s="2">
        <v>490.77</v>
      </c>
      <c r="J415" s="2" t="str">
        <f t="shared" si="12"/>
        <v>55-64</v>
      </c>
      <c r="K415" s="17" t="str">
        <f t="shared" si="13"/>
        <v>0-2</v>
      </c>
    </row>
    <row r="416" spans="1:11" x14ac:dyDescent="0.2">
      <c r="A416" s="4">
        <v>63</v>
      </c>
      <c r="B416" s="4">
        <v>4</v>
      </c>
      <c r="C416" t="s">
        <v>16</v>
      </c>
      <c r="D416" s="4">
        <v>1</v>
      </c>
      <c r="E416" s="3">
        <v>0.75764075340703096</v>
      </c>
      <c r="F416" s="4">
        <v>1</v>
      </c>
      <c r="G416" s="2">
        <v>966.72</v>
      </c>
      <c r="H416" s="2">
        <v>966.72</v>
      </c>
      <c r="I416" s="2">
        <v>966.72</v>
      </c>
      <c r="J416" s="2" t="str">
        <f t="shared" si="12"/>
        <v>55-64</v>
      </c>
      <c r="K416" s="17" t="str">
        <f t="shared" si="13"/>
        <v>3-5</v>
      </c>
    </row>
    <row r="417" spans="1:11" x14ac:dyDescent="0.2">
      <c r="A417" s="4">
        <v>85</v>
      </c>
      <c r="B417" s="4">
        <v>1</v>
      </c>
      <c r="C417" t="s">
        <v>8</v>
      </c>
      <c r="D417" s="4">
        <v>0</v>
      </c>
      <c r="E417" s="3">
        <v>0.97376206016633704</v>
      </c>
      <c r="F417" s="4">
        <v>2</v>
      </c>
      <c r="G417" s="2">
        <v>823.42</v>
      </c>
      <c r="H417" s="2">
        <v>411.71</v>
      </c>
      <c r="I417" s="2">
        <v>823.42</v>
      </c>
      <c r="J417" s="2" t="str">
        <f t="shared" si="12"/>
        <v>75-90</v>
      </c>
      <c r="K417" s="17" t="str">
        <f t="shared" si="13"/>
        <v>0-2</v>
      </c>
    </row>
    <row r="418" spans="1:11" x14ac:dyDescent="0.2">
      <c r="A418" s="4">
        <v>70</v>
      </c>
      <c r="B418" s="4">
        <v>8</v>
      </c>
      <c r="C418" t="s">
        <v>8</v>
      </c>
      <c r="D418" s="4">
        <v>1</v>
      </c>
      <c r="E418" s="3">
        <v>0.662434851983562</v>
      </c>
      <c r="F418" s="4">
        <v>1</v>
      </c>
      <c r="G418" s="2">
        <v>1086.3399999999999</v>
      </c>
      <c r="H418" s="2">
        <v>1086.3399999999999</v>
      </c>
      <c r="I418" s="2">
        <v>1086.3399999999999</v>
      </c>
      <c r="J418" s="2" t="str">
        <f t="shared" si="12"/>
        <v>65-74</v>
      </c>
      <c r="K418" s="17" t="str">
        <f t="shared" si="13"/>
        <v>6-8</v>
      </c>
    </row>
    <row r="419" spans="1:11" x14ac:dyDescent="0.2">
      <c r="A419" s="4">
        <v>51</v>
      </c>
      <c r="B419" s="4">
        <v>5</v>
      </c>
      <c r="C419" t="s">
        <v>10</v>
      </c>
      <c r="D419" s="4">
        <v>2</v>
      </c>
      <c r="E419" s="3">
        <v>0.586500464822166</v>
      </c>
      <c r="F419" s="4">
        <v>1</v>
      </c>
      <c r="G419" s="2">
        <v>1332.79</v>
      </c>
      <c r="H419" s="2">
        <v>1332.79</v>
      </c>
      <c r="I419" s="2">
        <v>1332.79</v>
      </c>
      <c r="J419" s="2" t="str">
        <f t="shared" si="12"/>
        <v>45-54</v>
      </c>
      <c r="K419" s="17" t="str">
        <f t="shared" si="13"/>
        <v>3-5</v>
      </c>
    </row>
    <row r="420" spans="1:11" x14ac:dyDescent="0.2">
      <c r="A420" s="4">
        <v>81</v>
      </c>
      <c r="B420" s="4">
        <v>5</v>
      </c>
      <c r="C420" t="s">
        <v>16</v>
      </c>
      <c r="D420" s="4">
        <v>1</v>
      </c>
      <c r="E420" s="3">
        <v>0.77404580730944905</v>
      </c>
      <c r="F420" s="4">
        <v>1</v>
      </c>
      <c r="G420" s="2">
        <v>908.45</v>
      </c>
      <c r="H420" s="2">
        <v>908.45</v>
      </c>
      <c r="I420" s="2">
        <v>908.45</v>
      </c>
      <c r="J420" s="2" t="str">
        <f t="shared" si="12"/>
        <v>75-90</v>
      </c>
      <c r="K420" s="17" t="str">
        <f t="shared" si="13"/>
        <v>3-5</v>
      </c>
    </row>
    <row r="421" spans="1:11" x14ac:dyDescent="0.2">
      <c r="A421" s="4">
        <v>46</v>
      </c>
      <c r="B421" s="4">
        <v>10</v>
      </c>
      <c r="C421" t="s">
        <v>8</v>
      </c>
      <c r="D421" s="4">
        <v>1</v>
      </c>
      <c r="E421" s="3">
        <v>0.80595681373961303</v>
      </c>
      <c r="F421" s="4">
        <v>2</v>
      </c>
      <c r="G421" s="2">
        <v>377.59</v>
      </c>
      <c r="H421" s="2">
        <v>188.79</v>
      </c>
      <c r="I421" s="2">
        <v>377.59</v>
      </c>
      <c r="J421" s="2" t="str">
        <f t="shared" si="12"/>
        <v>45-54</v>
      </c>
      <c r="K421" s="17" t="str">
        <f t="shared" si="13"/>
        <v>9-11</v>
      </c>
    </row>
    <row r="422" spans="1:11" x14ac:dyDescent="0.2">
      <c r="A422" s="4">
        <v>33</v>
      </c>
      <c r="B422" s="4">
        <v>1</v>
      </c>
      <c r="C422" t="s">
        <v>16</v>
      </c>
      <c r="D422" s="4">
        <v>0</v>
      </c>
      <c r="E422" s="3">
        <v>0.59278463444206897</v>
      </c>
      <c r="F422" s="4">
        <v>1</v>
      </c>
      <c r="G422" s="2">
        <v>169.52</v>
      </c>
      <c r="H422" s="2">
        <v>169.52</v>
      </c>
      <c r="I422" s="2">
        <v>169.52</v>
      </c>
      <c r="J422" s="2" t="str">
        <f t="shared" si="12"/>
        <v>25-34</v>
      </c>
      <c r="K422" s="17" t="str">
        <f t="shared" si="13"/>
        <v>0-2</v>
      </c>
    </row>
    <row r="423" spans="1:11" x14ac:dyDescent="0.2">
      <c r="A423" s="4">
        <v>38</v>
      </c>
      <c r="B423" s="4">
        <v>4</v>
      </c>
      <c r="C423" t="s">
        <v>8</v>
      </c>
      <c r="D423" s="4">
        <v>0</v>
      </c>
      <c r="E423" s="3">
        <v>0.71496351703535799</v>
      </c>
      <c r="F423" s="4">
        <v>1</v>
      </c>
      <c r="G423" s="2">
        <v>326.16000000000003</v>
      </c>
      <c r="H423" s="2">
        <v>326.16000000000003</v>
      </c>
      <c r="I423" s="2">
        <v>326.16000000000003</v>
      </c>
      <c r="J423" s="2" t="str">
        <f t="shared" si="12"/>
        <v>35-44</v>
      </c>
      <c r="K423" s="17" t="str">
        <f t="shared" si="13"/>
        <v>3-5</v>
      </c>
    </row>
    <row r="424" spans="1:11" x14ac:dyDescent="0.2">
      <c r="A424" s="4">
        <v>71</v>
      </c>
      <c r="B424" s="4">
        <v>1</v>
      </c>
      <c r="C424" t="s">
        <v>10</v>
      </c>
      <c r="D424" s="4">
        <v>1</v>
      </c>
      <c r="E424" s="3">
        <v>0.61692953389138006</v>
      </c>
      <c r="F424" s="4">
        <v>1</v>
      </c>
      <c r="G424" s="2">
        <v>1429.02</v>
      </c>
      <c r="H424" s="2">
        <v>1429.02</v>
      </c>
      <c r="I424" s="2">
        <v>1429.02</v>
      </c>
      <c r="J424" s="2" t="str">
        <f t="shared" si="12"/>
        <v>65-74</v>
      </c>
      <c r="K424" s="17" t="str">
        <f t="shared" si="13"/>
        <v>0-2</v>
      </c>
    </row>
    <row r="425" spans="1:11" x14ac:dyDescent="0.2">
      <c r="A425" s="4">
        <v>58</v>
      </c>
      <c r="B425" s="4">
        <v>6</v>
      </c>
      <c r="C425" t="s">
        <v>10</v>
      </c>
      <c r="D425" s="4">
        <v>1</v>
      </c>
      <c r="E425" s="3">
        <v>0.68612537870649204</v>
      </c>
      <c r="F425" s="4">
        <v>1</v>
      </c>
      <c r="G425" s="2">
        <v>720</v>
      </c>
      <c r="H425" s="2">
        <v>720</v>
      </c>
      <c r="I425" s="2">
        <v>720</v>
      </c>
      <c r="J425" s="2" t="str">
        <f t="shared" si="12"/>
        <v>55-64</v>
      </c>
      <c r="K425" s="17" t="str">
        <f t="shared" si="13"/>
        <v>6-8</v>
      </c>
    </row>
    <row r="426" spans="1:11" x14ac:dyDescent="0.2">
      <c r="A426" s="4">
        <v>33</v>
      </c>
      <c r="B426" s="4">
        <v>9</v>
      </c>
      <c r="C426" t="s">
        <v>16</v>
      </c>
      <c r="D426" s="4">
        <v>1</v>
      </c>
      <c r="E426" s="3">
        <v>0.66003978461958501</v>
      </c>
      <c r="F426" s="4">
        <v>1</v>
      </c>
      <c r="G426" s="2">
        <v>317.32</v>
      </c>
      <c r="H426" s="2">
        <v>317.32</v>
      </c>
      <c r="I426" s="2">
        <v>317.32</v>
      </c>
      <c r="J426" s="2" t="str">
        <f t="shared" si="12"/>
        <v>25-34</v>
      </c>
      <c r="K426" s="17" t="str">
        <f t="shared" si="13"/>
        <v>9-11</v>
      </c>
    </row>
    <row r="427" spans="1:11" x14ac:dyDescent="0.2">
      <c r="A427" s="4">
        <v>79</v>
      </c>
      <c r="B427" s="4">
        <v>10</v>
      </c>
      <c r="C427" t="s">
        <v>10</v>
      </c>
      <c r="D427" s="4">
        <v>0</v>
      </c>
      <c r="E427" s="3">
        <v>0.83126793499104701</v>
      </c>
      <c r="F427" s="4">
        <v>3</v>
      </c>
      <c r="G427" s="2">
        <v>758.63</v>
      </c>
      <c r="H427" s="2">
        <v>252.88</v>
      </c>
      <c r="I427" s="2">
        <v>758.63</v>
      </c>
      <c r="J427" s="2" t="str">
        <f t="shared" si="12"/>
        <v>75-90</v>
      </c>
      <c r="K427" s="17" t="str">
        <f t="shared" si="13"/>
        <v>9-11</v>
      </c>
    </row>
    <row r="428" spans="1:11" x14ac:dyDescent="0.2">
      <c r="A428" s="4">
        <v>45</v>
      </c>
      <c r="B428" s="4">
        <v>8</v>
      </c>
      <c r="C428" t="s">
        <v>16</v>
      </c>
      <c r="D428" s="4">
        <v>0</v>
      </c>
      <c r="E428" s="3">
        <v>0.56582448456902101</v>
      </c>
      <c r="F428" s="4">
        <v>1</v>
      </c>
      <c r="G428" s="2">
        <v>609.01</v>
      </c>
      <c r="H428" s="2">
        <v>609.01</v>
      </c>
      <c r="I428" s="2">
        <v>609.01</v>
      </c>
      <c r="J428" s="2" t="str">
        <f t="shared" si="12"/>
        <v>45-54</v>
      </c>
      <c r="K428" s="17" t="str">
        <f t="shared" si="13"/>
        <v>6-8</v>
      </c>
    </row>
    <row r="429" spans="1:11" x14ac:dyDescent="0.2">
      <c r="A429" s="4">
        <v>71</v>
      </c>
      <c r="B429" s="4">
        <v>8</v>
      </c>
      <c r="C429" t="s">
        <v>16</v>
      </c>
      <c r="D429" s="4">
        <v>1</v>
      </c>
      <c r="E429" s="3">
        <v>0.91263434721622605</v>
      </c>
      <c r="F429" s="4">
        <v>2</v>
      </c>
      <c r="G429" s="2">
        <v>1228.19</v>
      </c>
      <c r="H429" s="2">
        <v>614.1</v>
      </c>
      <c r="I429" s="2">
        <v>1228.19</v>
      </c>
      <c r="J429" s="2" t="str">
        <f t="shared" si="12"/>
        <v>65-74</v>
      </c>
      <c r="K429" s="17" t="str">
        <f t="shared" si="13"/>
        <v>6-8</v>
      </c>
    </row>
    <row r="430" spans="1:11" x14ac:dyDescent="0.2">
      <c r="A430" s="4">
        <v>78</v>
      </c>
      <c r="B430" s="4">
        <v>10</v>
      </c>
      <c r="C430" t="s">
        <v>8</v>
      </c>
      <c r="D430" s="4">
        <v>0</v>
      </c>
      <c r="E430" s="3">
        <v>0.91528332978487004</v>
      </c>
      <c r="F430" s="4">
        <v>1</v>
      </c>
      <c r="G430" s="2">
        <v>1529.23</v>
      </c>
      <c r="H430" s="2">
        <v>1529.23</v>
      </c>
      <c r="I430" s="2">
        <v>1529.23</v>
      </c>
      <c r="J430" s="2" t="str">
        <f t="shared" si="12"/>
        <v>75-90</v>
      </c>
      <c r="K430" s="17" t="str">
        <f t="shared" si="13"/>
        <v>9-11</v>
      </c>
    </row>
    <row r="431" spans="1:11" x14ac:dyDescent="0.2">
      <c r="A431" s="4">
        <v>58</v>
      </c>
      <c r="B431" s="4">
        <v>4</v>
      </c>
      <c r="C431" t="s">
        <v>16</v>
      </c>
      <c r="D431" s="4">
        <v>0</v>
      </c>
      <c r="E431" s="3">
        <v>0.99030123907141399</v>
      </c>
      <c r="F431" s="4">
        <v>1</v>
      </c>
      <c r="G431" s="2">
        <v>533.71</v>
      </c>
      <c r="H431" s="2">
        <v>533.71</v>
      </c>
      <c r="I431" s="2">
        <v>533.71</v>
      </c>
      <c r="J431" s="2" t="str">
        <f t="shared" si="12"/>
        <v>55-64</v>
      </c>
      <c r="K431" s="17" t="str">
        <f t="shared" si="13"/>
        <v>3-5</v>
      </c>
    </row>
    <row r="432" spans="1:11" x14ac:dyDescent="0.2">
      <c r="A432" s="4">
        <v>67</v>
      </c>
      <c r="B432" s="4">
        <v>6</v>
      </c>
      <c r="C432" t="s">
        <v>8</v>
      </c>
      <c r="D432" s="4">
        <v>0</v>
      </c>
      <c r="E432" s="3">
        <v>0.80211120948661097</v>
      </c>
      <c r="F432" s="4">
        <v>2</v>
      </c>
      <c r="G432" s="2">
        <v>711.72</v>
      </c>
      <c r="H432" s="2">
        <v>355.86</v>
      </c>
      <c r="I432" s="2">
        <v>711.72</v>
      </c>
      <c r="J432" s="2" t="str">
        <f t="shared" si="12"/>
        <v>65-74</v>
      </c>
      <c r="K432" s="17" t="str">
        <f t="shared" si="13"/>
        <v>6-8</v>
      </c>
    </row>
    <row r="433" spans="1:11" x14ac:dyDescent="0.2">
      <c r="A433" s="4">
        <v>25</v>
      </c>
      <c r="B433" s="4">
        <v>6</v>
      </c>
      <c r="C433" t="s">
        <v>8</v>
      </c>
      <c r="D433" s="4">
        <v>1</v>
      </c>
      <c r="E433" s="3">
        <v>0.91015071317087903</v>
      </c>
      <c r="F433" s="4">
        <v>1</v>
      </c>
      <c r="G433" s="2">
        <v>140.65</v>
      </c>
      <c r="H433" s="2">
        <v>140.65</v>
      </c>
      <c r="I433" s="2">
        <v>140.65</v>
      </c>
      <c r="J433" s="2" t="str">
        <f t="shared" si="12"/>
        <v>25-34</v>
      </c>
      <c r="K433" s="17" t="str">
        <f t="shared" si="13"/>
        <v>6-8</v>
      </c>
    </row>
    <row r="434" spans="1:11" x14ac:dyDescent="0.2">
      <c r="A434" s="4">
        <v>33</v>
      </c>
      <c r="B434" s="4">
        <v>3</v>
      </c>
      <c r="C434" t="s">
        <v>8</v>
      </c>
      <c r="D434" s="4">
        <v>5</v>
      </c>
      <c r="E434" s="3">
        <v>0.63569496292620897</v>
      </c>
      <c r="F434" s="4">
        <v>2</v>
      </c>
      <c r="G434" s="2">
        <v>3168.3</v>
      </c>
      <c r="H434" s="2">
        <v>1584.15</v>
      </c>
      <c r="I434" s="2">
        <v>3168.3</v>
      </c>
      <c r="J434" s="2" t="str">
        <f t="shared" si="12"/>
        <v>25-34</v>
      </c>
      <c r="K434" s="17" t="str">
        <f t="shared" si="13"/>
        <v>3-5</v>
      </c>
    </row>
    <row r="435" spans="1:11" x14ac:dyDescent="0.2">
      <c r="A435" s="4">
        <v>79</v>
      </c>
      <c r="B435" s="4">
        <v>13</v>
      </c>
      <c r="C435" t="s">
        <v>10</v>
      </c>
      <c r="D435" s="4">
        <v>0</v>
      </c>
      <c r="E435" s="3">
        <v>0.71324184990953698</v>
      </c>
      <c r="F435" s="4">
        <v>1</v>
      </c>
      <c r="G435" s="2">
        <v>1734.47</v>
      </c>
      <c r="H435" s="2">
        <v>1734.47</v>
      </c>
      <c r="I435" s="2">
        <v>1734.47</v>
      </c>
      <c r="J435" s="2" t="str">
        <f t="shared" si="12"/>
        <v>75-90</v>
      </c>
      <c r="K435" s="17" t="str">
        <f t="shared" si="13"/>
        <v>12-15</v>
      </c>
    </row>
    <row r="436" spans="1:11" x14ac:dyDescent="0.2">
      <c r="A436" s="4">
        <v>26</v>
      </c>
      <c r="B436" s="4">
        <v>9</v>
      </c>
      <c r="C436" t="s">
        <v>8</v>
      </c>
      <c r="D436" s="4">
        <v>0</v>
      </c>
      <c r="E436" s="3">
        <v>0.766752532683313</v>
      </c>
      <c r="F436" s="4">
        <v>1</v>
      </c>
      <c r="G436" s="2">
        <v>410.75</v>
      </c>
      <c r="H436" s="2">
        <v>410.75</v>
      </c>
      <c r="I436" s="2">
        <v>410.75</v>
      </c>
      <c r="J436" s="2" t="str">
        <f t="shared" si="12"/>
        <v>25-34</v>
      </c>
      <c r="K436" s="17" t="str">
        <f t="shared" si="13"/>
        <v>9-11</v>
      </c>
    </row>
    <row r="437" spans="1:11" x14ac:dyDescent="0.2">
      <c r="A437" s="4">
        <v>74</v>
      </c>
      <c r="B437" s="4">
        <v>3</v>
      </c>
      <c r="C437" t="s">
        <v>10</v>
      </c>
      <c r="D437" s="4">
        <v>0</v>
      </c>
      <c r="E437" s="3">
        <v>0.76595023821573704</v>
      </c>
      <c r="F437" s="4">
        <v>1</v>
      </c>
      <c r="G437" s="2">
        <v>653.91999999999996</v>
      </c>
      <c r="H437" s="2">
        <v>653.91999999999996</v>
      </c>
      <c r="I437" s="2">
        <v>653.91999999999996</v>
      </c>
      <c r="J437" s="2" t="str">
        <f t="shared" si="12"/>
        <v>65-74</v>
      </c>
      <c r="K437" s="17" t="str">
        <f t="shared" si="13"/>
        <v>3-5</v>
      </c>
    </row>
    <row r="438" spans="1:11" x14ac:dyDescent="0.2">
      <c r="A438" s="4">
        <v>20</v>
      </c>
      <c r="B438" s="4">
        <v>0</v>
      </c>
      <c r="C438" t="s">
        <v>8</v>
      </c>
      <c r="D438" s="4">
        <v>0</v>
      </c>
      <c r="E438" s="3">
        <v>0.88420022372156404</v>
      </c>
      <c r="F438" s="4">
        <v>1</v>
      </c>
      <c r="G438" s="2">
        <v>104.59</v>
      </c>
      <c r="H438" s="2">
        <v>104.59</v>
      </c>
      <c r="I438" s="2">
        <v>104.59</v>
      </c>
      <c r="J438" s="2" t="str">
        <f t="shared" si="12"/>
        <v>18-24</v>
      </c>
      <c r="K438" s="17" t="str">
        <f t="shared" si="13"/>
        <v>0-2</v>
      </c>
    </row>
    <row r="439" spans="1:11" x14ac:dyDescent="0.2">
      <c r="A439" s="4">
        <v>76</v>
      </c>
      <c r="B439" s="4">
        <v>10</v>
      </c>
      <c r="C439" t="s">
        <v>16</v>
      </c>
      <c r="D439" s="4">
        <v>4</v>
      </c>
      <c r="E439" s="3">
        <v>0.83808058092836302</v>
      </c>
      <c r="F439" s="4">
        <v>3</v>
      </c>
      <c r="G439" s="2">
        <v>6304.42</v>
      </c>
      <c r="H439" s="2">
        <v>2101.4699999999998</v>
      </c>
      <c r="I439" s="2">
        <v>6304.42</v>
      </c>
      <c r="J439" s="2" t="str">
        <f t="shared" si="12"/>
        <v>75-90</v>
      </c>
      <c r="K439" s="17" t="str">
        <f t="shared" si="13"/>
        <v>9-11</v>
      </c>
    </row>
    <row r="440" spans="1:11" x14ac:dyDescent="0.2">
      <c r="A440" s="4">
        <v>42</v>
      </c>
      <c r="B440" s="4">
        <v>11</v>
      </c>
      <c r="C440" t="s">
        <v>8</v>
      </c>
      <c r="D440" s="4">
        <v>0</v>
      </c>
      <c r="E440" s="3">
        <v>0.93633205583319101</v>
      </c>
      <c r="F440" s="4">
        <v>2</v>
      </c>
      <c r="G440" s="2">
        <v>284.33</v>
      </c>
      <c r="H440" s="2">
        <v>142.16999999999999</v>
      </c>
      <c r="I440" s="2">
        <v>284.33</v>
      </c>
      <c r="J440" s="2" t="str">
        <f t="shared" si="12"/>
        <v>35-44</v>
      </c>
      <c r="K440" s="17" t="str">
        <f t="shared" si="13"/>
        <v>9-11</v>
      </c>
    </row>
    <row r="441" spans="1:11" x14ac:dyDescent="0.2">
      <c r="A441" s="4">
        <v>84</v>
      </c>
      <c r="B441" s="4">
        <v>7</v>
      </c>
      <c r="C441" t="s">
        <v>8</v>
      </c>
      <c r="D441" s="4">
        <v>0</v>
      </c>
      <c r="E441" s="3">
        <v>0.85142077843192998</v>
      </c>
      <c r="F441" s="4">
        <v>1</v>
      </c>
      <c r="G441" s="2">
        <v>1072.02</v>
      </c>
      <c r="H441" s="2">
        <v>1072.02</v>
      </c>
      <c r="I441" s="2">
        <v>1072.02</v>
      </c>
      <c r="J441" s="2" t="str">
        <f t="shared" si="12"/>
        <v>75-90</v>
      </c>
      <c r="K441" s="17" t="str">
        <f t="shared" si="13"/>
        <v>6-8</v>
      </c>
    </row>
    <row r="442" spans="1:11" x14ac:dyDescent="0.2">
      <c r="A442" s="4">
        <v>88</v>
      </c>
      <c r="B442" s="4">
        <v>10</v>
      </c>
      <c r="C442" t="s">
        <v>10</v>
      </c>
      <c r="D442" s="4">
        <v>0</v>
      </c>
      <c r="E442" s="3">
        <v>0.57075538788922098</v>
      </c>
      <c r="F442" s="4">
        <v>1</v>
      </c>
      <c r="G442" s="2">
        <v>1557.41</v>
      </c>
      <c r="H442" s="2">
        <v>1557.41</v>
      </c>
      <c r="I442" s="2">
        <v>1557.41</v>
      </c>
      <c r="J442" s="2" t="str">
        <f t="shared" si="12"/>
        <v>75-90</v>
      </c>
      <c r="K442" s="17" t="str">
        <f t="shared" si="13"/>
        <v>9-11</v>
      </c>
    </row>
    <row r="443" spans="1:11" x14ac:dyDescent="0.2">
      <c r="A443" s="4">
        <v>19</v>
      </c>
      <c r="B443" s="4">
        <v>6</v>
      </c>
      <c r="C443" t="s">
        <v>16</v>
      </c>
      <c r="D443" s="4">
        <v>1</v>
      </c>
      <c r="E443" s="3">
        <v>0.89955461013596505</v>
      </c>
      <c r="F443" s="4">
        <v>1</v>
      </c>
      <c r="G443" s="2">
        <v>353.42</v>
      </c>
      <c r="H443" s="2">
        <v>353.42</v>
      </c>
      <c r="I443" s="2">
        <v>353.42</v>
      </c>
      <c r="J443" s="2" t="str">
        <f t="shared" si="12"/>
        <v>18-24</v>
      </c>
      <c r="K443" s="17" t="str">
        <f t="shared" si="13"/>
        <v>6-8</v>
      </c>
    </row>
    <row r="444" spans="1:11" x14ac:dyDescent="0.2">
      <c r="A444" s="4">
        <v>55</v>
      </c>
      <c r="B444" s="4">
        <v>2</v>
      </c>
      <c r="C444" t="s">
        <v>8</v>
      </c>
      <c r="D444" s="4">
        <v>0</v>
      </c>
      <c r="E444" s="3">
        <v>0.58295828558038898</v>
      </c>
      <c r="F444" s="4">
        <v>1</v>
      </c>
      <c r="G444" s="2">
        <v>364.33</v>
      </c>
      <c r="H444" s="2">
        <v>364.33</v>
      </c>
      <c r="I444" s="2">
        <v>364.33</v>
      </c>
      <c r="J444" s="2" t="str">
        <f t="shared" si="12"/>
        <v>55-64</v>
      </c>
      <c r="K444" s="17" t="str">
        <f t="shared" si="13"/>
        <v>0-2</v>
      </c>
    </row>
    <row r="445" spans="1:11" x14ac:dyDescent="0.2">
      <c r="A445" s="4">
        <v>69</v>
      </c>
      <c r="B445" s="4">
        <v>9</v>
      </c>
      <c r="C445" t="s">
        <v>8</v>
      </c>
      <c r="D445" s="4">
        <v>0</v>
      </c>
      <c r="E445" s="3">
        <v>0.80423272203188401</v>
      </c>
      <c r="F445" s="4">
        <v>1</v>
      </c>
      <c r="G445" s="2">
        <v>626.74</v>
      </c>
      <c r="H445" s="2">
        <v>626.74</v>
      </c>
      <c r="I445" s="2">
        <v>626.74</v>
      </c>
      <c r="J445" s="2" t="str">
        <f t="shared" si="12"/>
        <v>65-74</v>
      </c>
      <c r="K445" s="17" t="str">
        <f t="shared" si="13"/>
        <v>9-11</v>
      </c>
    </row>
    <row r="446" spans="1:11" x14ac:dyDescent="0.2">
      <c r="A446" s="4">
        <v>72</v>
      </c>
      <c r="B446" s="4">
        <v>14</v>
      </c>
      <c r="C446" t="s">
        <v>8</v>
      </c>
      <c r="D446" s="4">
        <v>0</v>
      </c>
      <c r="E446" s="3">
        <v>0.82285347348079096</v>
      </c>
      <c r="F446" s="4">
        <v>2</v>
      </c>
      <c r="G446" s="2">
        <v>879.23</v>
      </c>
      <c r="H446" s="2">
        <v>439.62</v>
      </c>
      <c r="I446" s="2">
        <v>879.23</v>
      </c>
      <c r="J446" s="2" t="str">
        <f t="shared" si="12"/>
        <v>65-74</v>
      </c>
      <c r="K446" s="17" t="str">
        <f t="shared" si="13"/>
        <v>12-15</v>
      </c>
    </row>
    <row r="447" spans="1:11" x14ac:dyDescent="0.2">
      <c r="A447" s="4">
        <v>40</v>
      </c>
      <c r="B447" s="4">
        <v>6</v>
      </c>
      <c r="C447" t="s">
        <v>10</v>
      </c>
      <c r="D447" s="4">
        <v>0</v>
      </c>
      <c r="E447" s="3">
        <v>0.56469028606079497</v>
      </c>
      <c r="F447" s="4">
        <v>1</v>
      </c>
      <c r="G447" s="2">
        <v>512.21</v>
      </c>
      <c r="H447" s="2">
        <v>512.21</v>
      </c>
      <c r="I447" s="2">
        <v>512.21</v>
      </c>
      <c r="J447" s="2" t="str">
        <f t="shared" si="12"/>
        <v>35-44</v>
      </c>
      <c r="K447" s="17" t="str">
        <f t="shared" si="13"/>
        <v>6-8</v>
      </c>
    </row>
    <row r="448" spans="1:11" x14ac:dyDescent="0.2">
      <c r="A448" s="4">
        <v>51</v>
      </c>
      <c r="B448" s="4">
        <v>13</v>
      </c>
      <c r="C448" t="s">
        <v>8</v>
      </c>
      <c r="D448" s="4">
        <v>2</v>
      </c>
      <c r="E448" s="3">
        <v>0.82363804511260197</v>
      </c>
      <c r="F448" s="4">
        <v>2</v>
      </c>
      <c r="G448" s="2">
        <v>1588.74</v>
      </c>
      <c r="H448" s="2">
        <v>794.37</v>
      </c>
      <c r="I448" s="2">
        <v>1588.74</v>
      </c>
      <c r="J448" s="2" t="str">
        <f t="shared" si="12"/>
        <v>45-54</v>
      </c>
      <c r="K448" s="17" t="str">
        <f t="shared" si="13"/>
        <v>12-15</v>
      </c>
    </row>
    <row r="449" spans="1:11" x14ac:dyDescent="0.2">
      <c r="A449" s="4">
        <v>46</v>
      </c>
      <c r="B449" s="4">
        <v>1</v>
      </c>
      <c r="C449" t="s">
        <v>8</v>
      </c>
      <c r="D449" s="4">
        <v>1</v>
      </c>
      <c r="E449" s="3">
        <v>0.66101376642472998</v>
      </c>
      <c r="F449" s="4">
        <v>1</v>
      </c>
      <c r="G449" s="2">
        <v>580.49</v>
      </c>
      <c r="H449" s="2">
        <v>580.49</v>
      </c>
      <c r="I449" s="2">
        <v>580.49</v>
      </c>
      <c r="J449" s="2" t="str">
        <f t="shared" si="12"/>
        <v>45-54</v>
      </c>
      <c r="K449" s="17" t="str">
        <f t="shared" si="13"/>
        <v>0-2</v>
      </c>
    </row>
    <row r="450" spans="1:11" x14ac:dyDescent="0.2">
      <c r="A450" s="4">
        <v>36</v>
      </c>
      <c r="B450" s="4">
        <v>0</v>
      </c>
      <c r="C450" t="s">
        <v>10</v>
      </c>
      <c r="D450" s="4">
        <v>1</v>
      </c>
      <c r="E450" s="3">
        <v>0.82863849645946197</v>
      </c>
      <c r="F450" s="4">
        <v>1</v>
      </c>
      <c r="G450" s="2">
        <v>599.16999999999996</v>
      </c>
      <c r="H450" s="2">
        <v>599.16999999999996</v>
      </c>
      <c r="I450" s="2">
        <v>599.16999999999996</v>
      </c>
      <c r="J450" s="2" t="str">
        <f t="shared" ref="J450:J513" si="14" xml:space="preserve"> IF(A450&lt;25,"18-24",
 IF(A450&lt;35,"25-34",
 IF(A450&lt;45,"35-44",
 IF(A450&lt;55,"45-54", IF(A450&lt;65, "55-64", IF(A450&lt;75, "65-74", "75-90"))))))</f>
        <v>35-44</v>
      </c>
      <c r="K450" s="17" t="str">
        <f t="shared" ref="K450:K513" si="15" xml:space="preserve"> IF(B450 &lt; 3, "0-2", IF(B450 &lt; 6, "3-5", IF(B450 &lt; 9, "6-8", IF(B450 &lt; 12, "9-11", "12-15"))))</f>
        <v>0-2</v>
      </c>
    </row>
    <row r="451" spans="1:11" x14ac:dyDescent="0.2">
      <c r="A451" s="4">
        <v>65</v>
      </c>
      <c r="B451" s="4">
        <v>5</v>
      </c>
      <c r="C451" t="s">
        <v>10</v>
      </c>
      <c r="D451" s="4">
        <v>0</v>
      </c>
      <c r="E451" s="3">
        <v>0.538164040772244</v>
      </c>
      <c r="F451" s="4">
        <v>1</v>
      </c>
      <c r="G451" s="2">
        <v>557.63</v>
      </c>
      <c r="H451" s="2">
        <v>557.63</v>
      </c>
      <c r="I451" s="2">
        <v>557.63</v>
      </c>
      <c r="J451" s="2" t="str">
        <f t="shared" si="14"/>
        <v>65-74</v>
      </c>
      <c r="K451" s="17" t="str">
        <f t="shared" si="15"/>
        <v>3-5</v>
      </c>
    </row>
    <row r="452" spans="1:11" x14ac:dyDescent="0.2">
      <c r="A452" s="4">
        <v>39</v>
      </c>
      <c r="B452" s="4">
        <v>13</v>
      </c>
      <c r="C452" t="s">
        <v>10</v>
      </c>
      <c r="D452" s="4">
        <v>0</v>
      </c>
      <c r="E452" s="3">
        <v>0.90640645974781398</v>
      </c>
      <c r="F452" s="4">
        <v>1</v>
      </c>
      <c r="G452" s="2">
        <v>609.32000000000005</v>
      </c>
      <c r="H452" s="2">
        <v>609.32000000000005</v>
      </c>
      <c r="I452" s="2">
        <v>609.32000000000005</v>
      </c>
      <c r="J452" s="2" t="str">
        <f t="shared" si="14"/>
        <v>35-44</v>
      </c>
      <c r="K452" s="17" t="str">
        <f t="shared" si="15"/>
        <v>12-15</v>
      </c>
    </row>
    <row r="453" spans="1:11" x14ac:dyDescent="0.2">
      <c r="A453" s="4">
        <v>65</v>
      </c>
      <c r="B453" s="4">
        <v>8</v>
      </c>
      <c r="C453" t="s">
        <v>16</v>
      </c>
      <c r="D453" s="4">
        <v>0</v>
      </c>
      <c r="E453" s="3">
        <v>0.61818823788780697</v>
      </c>
      <c r="F453" s="4">
        <v>1</v>
      </c>
      <c r="G453" s="2">
        <v>897.86</v>
      </c>
      <c r="H453" s="2">
        <v>897.86</v>
      </c>
      <c r="I453" s="2">
        <v>897.86</v>
      </c>
      <c r="J453" s="2" t="str">
        <f t="shared" si="14"/>
        <v>65-74</v>
      </c>
      <c r="K453" s="17" t="str">
        <f t="shared" si="15"/>
        <v>6-8</v>
      </c>
    </row>
    <row r="454" spans="1:11" x14ac:dyDescent="0.2">
      <c r="A454" s="4">
        <v>57</v>
      </c>
      <c r="B454" s="4">
        <v>2</v>
      </c>
      <c r="C454" t="s">
        <v>8</v>
      </c>
      <c r="D454" s="4">
        <v>0</v>
      </c>
      <c r="E454" s="3">
        <v>0.61087950353976295</v>
      </c>
      <c r="F454" s="4">
        <v>1</v>
      </c>
      <c r="G454" s="2">
        <v>355.94</v>
      </c>
      <c r="H454" s="2">
        <v>355.94</v>
      </c>
      <c r="I454" s="2">
        <v>355.94</v>
      </c>
      <c r="J454" s="2" t="str">
        <f t="shared" si="14"/>
        <v>55-64</v>
      </c>
      <c r="K454" s="17" t="str">
        <f t="shared" si="15"/>
        <v>0-2</v>
      </c>
    </row>
    <row r="455" spans="1:11" x14ac:dyDescent="0.2">
      <c r="A455" s="4">
        <v>20</v>
      </c>
      <c r="B455" s="4">
        <v>15</v>
      </c>
      <c r="C455" t="s">
        <v>8</v>
      </c>
      <c r="D455" s="4">
        <v>0</v>
      </c>
      <c r="E455" s="3">
        <v>0.87188425997737795</v>
      </c>
      <c r="F455" s="4">
        <v>1</v>
      </c>
      <c r="G455" s="2">
        <v>499.61</v>
      </c>
      <c r="H455" s="2">
        <v>499.61</v>
      </c>
      <c r="I455" s="2">
        <v>499.61</v>
      </c>
      <c r="J455" s="2" t="str">
        <f t="shared" si="14"/>
        <v>18-24</v>
      </c>
      <c r="K455" s="17" t="str">
        <f t="shared" si="15"/>
        <v>12-15</v>
      </c>
    </row>
    <row r="456" spans="1:11" x14ac:dyDescent="0.2">
      <c r="A456" s="4">
        <v>52</v>
      </c>
      <c r="B456" s="4">
        <v>4</v>
      </c>
      <c r="C456" t="s">
        <v>10</v>
      </c>
      <c r="D456" s="4">
        <v>1</v>
      </c>
      <c r="E456" s="3">
        <v>0.67362998996395596</v>
      </c>
      <c r="F456" s="4">
        <v>1</v>
      </c>
      <c r="G456" s="2">
        <v>791.36</v>
      </c>
      <c r="H456" s="2">
        <v>791.36</v>
      </c>
      <c r="I456" s="2">
        <v>791.36</v>
      </c>
      <c r="J456" s="2" t="str">
        <f t="shared" si="14"/>
        <v>45-54</v>
      </c>
      <c r="K456" s="17" t="str">
        <f t="shared" si="15"/>
        <v>3-5</v>
      </c>
    </row>
    <row r="457" spans="1:11" x14ac:dyDescent="0.2">
      <c r="A457" s="4">
        <v>32</v>
      </c>
      <c r="B457" s="4">
        <v>13</v>
      </c>
      <c r="C457" t="s">
        <v>8</v>
      </c>
      <c r="D457" s="4">
        <v>1</v>
      </c>
      <c r="E457" s="3">
        <v>0.63009102188516397</v>
      </c>
      <c r="F457" s="4">
        <v>1</v>
      </c>
      <c r="G457" s="2">
        <v>577.86</v>
      </c>
      <c r="H457" s="2">
        <v>577.86</v>
      </c>
      <c r="I457" s="2">
        <v>577.86</v>
      </c>
      <c r="J457" s="2" t="str">
        <f t="shared" si="14"/>
        <v>25-34</v>
      </c>
      <c r="K457" s="17" t="str">
        <f t="shared" si="15"/>
        <v>12-15</v>
      </c>
    </row>
    <row r="458" spans="1:11" x14ac:dyDescent="0.2">
      <c r="A458" s="4">
        <v>36</v>
      </c>
      <c r="B458" s="4">
        <v>15</v>
      </c>
      <c r="C458" t="s">
        <v>8</v>
      </c>
      <c r="D458" s="4">
        <v>0</v>
      </c>
      <c r="E458" s="3">
        <v>0.90688611776567996</v>
      </c>
      <c r="F458" s="4">
        <v>1</v>
      </c>
      <c r="G458" s="2">
        <v>766.99</v>
      </c>
      <c r="H458" s="2">
        <v>766.99</v>
      </c>
      <c r="I458" s="2">
        <v>766.99</v>
      </c>
      <c r="J458" s="2" t="str">
        <f t="shared" si="14"/>
        <v>35-44</v>
      </c>
      <c r="K458" s="17" t="str">
        <f t="shared" si="15"/>
        <v>12-15</v>
      </c>
    </row>
    <row r="459" spans="1:11" x14ac:dyDescent="0.2">
      <c r="A459" s="4">
        <v>53</v>
      </c>
      <c r="B459" s="4">
        <v>2</v>
      </c>
      <c r="C459" t="s">
        <v>16</v>
      </c>
      <c r="D459" s="4">
        <v>1</v>
      </c>
      <c r="E459" s="3">
        <v>0.76921018527355001</v>
      </c>
      <c r="F459" s="4">
        <v>1</v>
      </c>
      <c r="G459" s="2">
        <v>739.12</v>
      </c>
      <c r="H459" s="2">
        <v>739.12</v>
      </c>
      <c r="I459" s="2">
        <v>739.12</v>
      </c>
      <c r="J459" s="2" t="str">
        <f t="shared" si="14"/>
        <v>45-54</v>
      </c>
      <c r="K459" s="17" t="str">
        <f t="shared" si="15"/>
        <v>0-2</v>
      </c>
    </row>
    <row r="460" spans="1:11" x14ac:dyDescent="0.2">
      <c r="A460" s="4">
        <v>78</v>
      </c>
      <c r="B460" s="4">
        <v>11</v>
      </c>
      <c r="C460" t="s">
        <v>16</v>
      </c>
      <c r="D460" s="4">
        <v>1</v>
      </c>
      <c r="E460" s="3">
        <v>0.83892356441356197</v>
      </c>
      <c r="F460" s="4">
        <v>1</v>
      </c>
      <c r="G460" s="2">
        <v>2552.6999999999998</v>
      </c>
      <c r="H460" s="2">
        <v>2552.6999999999998</v>
      </c>
      <c r="I460" s="2">
        <v>2552.6999999999998</v>
      </c>
      <c r="J460" s="2" t="str">
        <f t="shared" si="14"/>
        <v>75-90</v>
      </c>
      <c r="K460" s="17" t="str">
        <f t="shared" si="15"/>
        <v>9-11</v>
      </c>
    </row>
    <row r="461" spans="1:11" x14ac:dyDescent="0.2">
      <c r="A461" s="4">
        <v>77</v>
      </c>
      <c r="B461" s="4">
        <v>2</v>
      </c>
      <c r="C461" t="s">
        <v>8</v>
      </c>
      <c r="D461" s="4">
        <v>0</v>
      </c>
      <c r="E461" s="3">
        <v>0.933203637134284</v>
      </c>
      <c r="F461" s="4">
        <v>1</v>
      </c>
      <c r="G461" s="2">
        <v>603.82000000000005</v>
      </c>
      <c r="H461" s="2">
        <v>603.82000000000005</v>
      </c>
      <c r="I461" s="2">
        <v>603.82000000000005</v>
      </c>
      <c r="J461" s="2" t="str">
        <f t="shared" si="14"/>
        <v>75-90</v>
      </c>
      <c r="K461" s="17" t="str">
        <f t="shared" si="15"/>
        <v>0-2</v>
      </c>
    </row>
    <row r="462" spans="1:11" x14ac:dyDescent="0.2">
      <c r="A462" s="4">
        <v>82</v>
      </c>
      <c r="B462" s="4">
        <v>2</v>
      </c>
      <c r="C462" t="s">
        <v>16</v>
      </c>
      <c r="D462" s="4">
        <v>1</v>
      </c>
      <c r="E462" s="3">
        <v>0.58990891813300494</v>
      </c>
      <c r="F462" s="4">
        <v>2</v>
      </c>
      <c r="G462" s="2">
        <v>1080.04</v>
      </c>
      <c r="H462" s="2">
        <v>540.02</v>
      </c>
      <c r="I462" s="2">
        <v>1080.04</v>
      </c>
      <c r="J462" s="2" t="str">
        <f t="shared" si="14"/>
        <v>75-90</v>
      </c>
      <c r="K462" s="17" t="str">
        <f t="shared" si="15"/>
        <v>0-2</v>
      </c>
    </row>
    <row r="463" spans="1:11" x14ac:dyDescent="0.2">
      <c r="A463" s="4">
        <v>23</v>
      </c>
      <c r="B463" s="4">
        <v>6</v>
      </c>
      <c r="C463" t="s">
        <v>10</v>
      </c>
      <c r="D463" s="4">
        <v>1</v>
      </c>
      <c r="E463" s="3">
        <v>0.90460699913092002</v>
      </c>
      <c r="F463" s="4">
        <v>2</v>
      </c>
      <c r="G463" s="2">
        <v>812.6</v>
      </c>
      <c r="H463" s="2">
        <v>406.3</v>
      </c>
      <c r="I463" s="2">
        <v>812.6</v>
      </c>
      <c r="J463" s="2" t="str">
        <f t="shared" si="14"/>
        <v>18-24</v>
      </c>
      <c r="K463" s="17" t="str">
        <f t="shared" si="15"/>
        <v>6-8</v>
      </c>
    </row>
    <row r="464" spans="1:11" x14ac:dyDescent="0.2">
      <c r="A464" s="4">
        <v>81</v>
      </c>
      <c r="B464" s="4">
        <v>12</v>
      </c>
      <c r="C464" t="s">
        <v>8</v>
      </c>
      <c r="D464" s="4">
        <v>0</v>
      </c>
      <c r="E464" s="3">
        <v>0.87667532684281502</v>
      </c>
      <c r="F464" s="4">
        <v>1</v>
      </c>
      <c r="G464" s="2">
        <v>555.38</v>
      </c>
      <c r="H464" s="2">
        <v>555.38</v>
      </c>
      <c r="I464" s="2">
        <v>555.38</v>
      </c>
      <c r="J464" s="2" t="str">
        <f t="shared" si="14"/>
        <v>75-90</v>
      </c>
      <c r="K464" s="17" t="str">
        <f t="shared" si="15"/>
        <v>12-15</v>
      </c>
    </row>
    <row r="465" spans="1:11" x14ac:dyDescent="0.2">
      <c r="A465" s="4">
        <v>35</v>
      </c>
      <c r="B465" s="4">
        <v>3</v>
      </c>
      <c r="C465" t="s">
        <v>8</v>
      </c>
      <c r="D465" s="4">
        <v>0</v>
      </c>
      <c r="E465" s="3">
        <v>0.64919622801244303</v>
      </c>
      <c r="F465" s="4">
        <v>1</v>
      </c>
      <c r="G465" s="2">
        <v>777.61</v>
      </c>
      <c r="H465" s="2">
        <v>777.61</v>
      </c>
      <c r="I465" s="2">
        <v>777.61</v>
      </c>
      <c r="J465" s="2" t="str">
        <f t="shared" si="14"/>
        <v>35-44</v>
      </c>
      <c r="K465" s="17" t="str">
        <f t="shared" si="15"/>
        <v>3-5</v>
      </c>
    </row>
    <row r="466" spans="1:11" x14ac:dyDescent="0.2">
      <c r="A466" s="4">
        <v>89</v>
      </c>
      <c r="B466" s="4">
        <v>8</v>
      </c>
      <c r="C466" t="s">
        <v>8</v>
      </c>
      <c r="D466" s="4">
        <v>1</v>
      </c>
      <c r="E466" s="3">
        <v>0.704338912037201</v>
      </c>
      <c r="F466" s="4">
        <v>1</v>
      </c>
      <c r="G466" s="2">
        <v>1987.44</v>
      </c>
      <c r="H466" s="2">
        <v>1987.44</v>
      </c>
      <c r="I466" s="2">
        <v>1987.44</v>
      </c>
      <c r="J466" s="2" t="str">
        <f t="shared" si="14"/>
        <v>75-90</v>
      </c>
      <c r="K466" s="17" t="str">
        <f t="shared" si="15"/>
        <v>6-8</v>
      </c>
    </row>
    <row r="467" spans="1:11" x14ac:dyDescent="0.2">
      <c r="A467" s="4">
        <v>52</v>
      </c>
      <c r="B467" s="4">
        <v>13</v>
      </c>
      <c r="C467" t="s">
        <v>16</v>
      </c>
      <c r="D467" s="4">
        <v>0</v>
      </c>
      <c r="E467" s="3">
        <v>0.62493163323961198</v>
      </c>
      <c r="F467" s="4">
        <v>3</v>
      </c>
      <c r="G467" s="2">
        <v>561.42999999999995</v>
      </c>
      <c r="H467" s="2">
        <v>187.14</v>
      </c>
      <c r="I467" s="2">
        <v>561.42999999999995</v>
      </c>
      <c r="J467" s="2" t="str">
        <f t="shared" si="14"/>
        <v>45-54</v>
      </c>
      <c r="K467" s="17" t="str">
        <f t="shared" si="15"/>
        <v>12-15</v>
      </c>
    </row>
    <row r="468" spans="1:11" x14ac:dyDescent="0.2">
      <c r="A468" s="4">
        <v>22</v>
      </c>
      <c r="B468" s="4">
        <v>7</v>
      </c>
      <c r="C468" t="s">
        <v>8</v>
      </c>
      <c r="D468" s="4">
        <v>1</v>
      </c>
      <c r="E468" s="3">
        <v>0.97433849307708398</v>
      </c>
      <c r="F468" s="4">
        <v>1</v>
      </c>
      <c r="G468" s="2">
        <v>383.49</v>
      </c>
      <c r="H468" s="2">
        <v>383.49</v>
      </c>
      <c r="I468" s="2">
        <v>383.49</v>
      </c>
      <c r="J468" s="2" t="str">
        <f t="shared" si="14"/>
        <v>18-24</v>
      </c>
      <c r="K468" s="17" t="str">
        <f t="shared" si="15"/>
        <v>6-8</v>
      </c>
    </row>
    <row r="469" spans="1:11" x14ac:dyDescent="0.2">
      <c r="A469" s="4">
        <v>54</v>
      </c>
      <c r="B469" s="4">
        <v>11</v>
      </c>
      <c r="C469" t="s">
        <v>8</v>
      </c>
      <c r="D469" s="4">
        <v>0</v>
      </c>
      <c r="E469" s="3">
        <v>0.99514597584493503</v>
      </c>
      <c r="F469" s="4">
        <v>1</v>
      </c>
      <c r="G469" s="2">
        <v>1020.09</v>
      </c>
      <c r="H469" s="2">
        <v>1020.09</v>
      </c>
      <c r="I469" s="2">
        <v>1020.09</v>
      </c>
      <c r="J469" s="2" t="str">
        <f t="shared" si="14"/>
        <v>45-54</v>
      </c>
      <c r="K469" s="17" t="str">
        <f t="shared" si="15"/>
        <v>9-11</v>
      </c>
    </row>
    <row r="470" spans="1:11" x14ac:dyDescent="0.2">
      <c r="A470" s="4">
        <v>86</v>
      </c>
      <c r="B470" s="4">
        <v>2</v>
      </c>
      <c r="C470" t="s">
        <v>10</v>
      </c>
      <c r="D470" s="4">
        <v>0</v>
      </c>
      <c r="E470" s="3">
        <v>0.96428100240882497</v>
      </c>
      <c r="F470" s="4">
        <v>1</v>
      </c>
      <c r="G470" s="2">
        <v>2808.23</v>
      </c>
      <c r="H470" s="2">
        <v>2808.23</v>
      </c>
      <c r="I470" s="2">
        <v>2808.23</v>
      </c>
      <c r="J470" s="2" t="str">
        <f t="shared" si="14"/>
        <v>75-90</v>
      </c>
      <c r="K470" s="17" t="str">
        <f t="shared" si="15"/>
        <v>0-2</v>
      </c>
    </row>
    <row r="471" spans="1:11" x14ac:dyDescent="0.2">
      <c r="A471" s="4">
        <v>84</v>
      </c>
      <c r="B471" s="4">
        <v>8</v>
      </c>
      <c r="C471" t="s">
        <v>16</v>
      </c>
      <c r="D471" s="4">
        <v>0</v>
      </c>
      <c r="E471" s="3">
        <v>0.77469755220226899</v>
      </c>
      <c r="F471" s="4">
        <v>1</v>
      </c>
      <c r="G471" s="2">
        <v>1302.43</v>
      </c>
      <c r="H471" s="2">
        <v>1302.43</v>
      </c>
      <c r="I471" s="2">
        <v>1302.43</v>
      </c>
      <c r="J471" s="2" t="str">
        <f t="shared" si="14"/>
        <v>75-90</v>
      </c>
      <c r="K471" s="17" t="str">
        <f t="shared" si="15"/>
        <v>6-8</v>
      </c>
    </row>
    <row r="472" spans="1:11" x14ac:dyDescent="0.2">
      <c r="A472" s="4">
        <v>71</v>
      </c>
      <c r="B472" s="4">
        <v>11</v>
      </c>
      <c r="C472" t="s">
        <v>16</v>
      </c>
      <c r="D472" s="4">
        <v>0</v>
      </c>
      <c r="E472" s="3">
        <v>0.59603865351527896</v>
      </c>
      <c r="F472" s="4">
        <v>1</v>
      </c>
      <c r="G472" s="2">
        <v>2467.2600000000002</v>
      </c>
      <c r="H472" s="2">
        <v>2467.2600000000002</v>
      </c>
      <c r="I472" s="2">
        <v>2467.2600000000002</v>
      </c>
      <c r="J472" s="2" t="str">
        <f t="shared" si="14"/>
        <v>65-74</v>
      </c>
      <c r="K472" s="17" t="str">
        <f t="shared" si="15"/>
        <v>9-11</v>
      </c>
    </row>
    <row r="473" spans="1:11" x14ac:dyDescent="0.2">
      <c r="A473" s="4">
        <v>60</v>
      </c>
      <c r="B473" s="4">
        <v>6</v>
      </c>
      <c r="C473" t="s">
        <v>16</v>
      </c>
      <c r="D473" s="4">
        <v>1</v>
      </c>
      <c r="E473" s="3">
        <v>0.70094088325277004</v>
      </c>
      <c r="F473" s="4">
        <v>2</v>
      </c>
      <c r="G473" s="2">
        <v>1010.51</v>
      </c>
      <c r="H473" s="2">
        <v>505.26</v>
      </c>
      <c r="I473" s="2">
        <v>1010.51</v>
      </c>
      <c r="J473" s="2" t="str">
        <f t="shared" si="14"/>
        <v>55-64</v>
      </c>
      <c r="K473" s="17" t="str">
        <f t="shared" si="15"/>
        <v>6-8</v>
      </c>
    </row>
    <row r="474" spans="1:11" x14ac:dyDescent="0.2">
      <c r="A474" s="4">
        <v>40</v>
      </c>
      <c r="B474" s="4">
        <v>2</v>
      </c>
      <c r="C474" t="s">
        <v>8</v>
      </c>
      <c r="D474" s="4">
        <v>0</v>
      </c>
      <c r="E474" s="3">
        <v>0.635472545283847</v>
      </c>
      <c r="F474" s="4">
        <v>1</v>
      </c>
      <c r="G474" s="2">
        <v>520.65</v>
      </c>
      <c r="H474" s="2">
        <v>520.65</v>
      </c>
      <c r="I474" s="2">
        <v>520.65</v>
      </c>
      <c r="J474" s="2" t="str">
        <f t="shared" si="14"/>
        <v>35-44</v>
      </c>
      <c r="K474" s="17" t="str">
        <f t="shared" si="15"/>
        <v>0-2</v>
      </c>
    </row>
    <row r="475" spans="1:11" x14ac:dyDescent="0.2">
      <c r="A475" s="4">
        <v>74</v>
      </c>
      <c r="B475" s="4">
        <v>10</v>
      </c>
      <c r="C475" t="s">
        <v>8</v>
      </c>
      <c r="D475" s="4">
        <v>0</v>
      </c>
      <c r="E475" s="3">
        <v>0.74188613460864905</v>
      </c>
      <c r="F475" s="4">
        <v>1</v>
      </c>
      <c r="G475" s="2">
        <v>532.12</v>
      </c>
      <c r="H475" s="2">
        <v>532.12</v>
      </c>
      <c r="I475" s="2">
        <v>532.12</v>
      </c>
      <c r="J475" s="2" t="str">
        <f t="shared" si="14"/>
        <v>65-74</v>
      </c>
      <c r="K475" s="17" t="str">
        <f t="shared" si="15"/>
        <v>9-11</v>
      </c>
    </row>
    <row r="476" spans="1:11" x14ac:dyDescent="0.2">
      <c r="A476" s="4">
        <v>52</v>
      </c>
      <c r="B476" s="4">
        <v>15</v>
      </c>
      <c r="C476" t="s">
        <v>10</v>
      </c>
      <c r="D476" s="4">
        <v>0</v>
      </c>
      <c r="E476" s="3">
        <v>0.96126748877577495</v>
      </c>
      <c r="F476" s="4">
        <v>1</v>
      </c>
      <c r="G476" s="2">
        <v>757.07</v>
      </c>
      <c r="H476" s="2">
        <v>757.07</v>
      </c>
      <c r="I476" s="2">
        <v>757.07</v>
      </c>
      <c r="J476" s="2" t="str">
        <f t="shared" si="14"/>
        <v>45-54</v>
      </c>
      <c r="K476" s="17" t="str">
        <f t="shared" si="15"/>
        <v>12-15</v>
      </c>
    </row>
    <row r="477" spans="1:11" x14ac:dyDescent="0.2">
      <c r="A477" s="4">
        <v>85</v>
      </c>
      <c r="B477" s="4">
        <v>12</v>
      </c>
      <c r="C477" t="s">
        <v>8</v>
      </c>
      <c r="D477" s="4">
        <v>0</v>
      </c>
      <c r="E477" s="3">
        <v>0.95470062736421801</v>
      </c>
      <c r="F477" s="4">
        <v>1</v>
      </c>
      <c r="G477" s="2">
        <v>948.24</v>
      </c>
      <c r="H477" s="2">
        <v>948.24</v>
      </c>
      <c r="I477" s="2">
        <v>948.24</v>
      </c>
      <c r="J477" s="2" t="str">
        <f t="shared" si="14"/>
        <v>75-90</v>
      </c>
      <c r="K477" s="17" t="str">
        <f t="shared" si="15"/>
        <v>12-15</v>
      </c>
    </row>
    <row r="478" spans="1:11" x14ac:dyDescent="0.2">
      <c r="A478" s="4">
        <v>40</v>
      </c>
      <c r="B478" s="4">
        <v>5</v>
      </c>
      <c r="C478" t="s">
        <v>16</v>
      </c>
      <c r="D478" s="4">
        <v>0</v>
      </c>
      <c r="E478" s="3">
        <v>0.93754826928488899</v>
      </c>
      <c r="F478" s="4">
        <v>2</v>
      </c>
      <c r="G478" s="2">
        <v>442.69</v>
      </c>
      <c r="H478" s="2">
        <v>221.35</v>
      </c>
      <c r="I478" s="2">
        <v>442.69</v>
      </c>
      <c r="J478" s="2" t="str">
        <f t="shared" si="14"/>
        <v>35-44</v>
      </c>
      <c r="K478" s="17" t="str">
        <f t="shared" si="15"/>
        <v>3-5</v>
      </c>
    </row>
    <row r="479" spans="1:11" x14ac:dyDescent="0.2">
      <c r="A479" s="4">
        <v>75</v>
      </c>
      <c r="B479" s="4">
        <v>14</v>
      </c>
      <c r="C479" t="s">
        <v>16</v>
      </c>
      <c r="D479" s="4">
        <v>1</v>
      </c>
      <c r="E479" s="3">
        <v>0.656160211074166</v>
      </c>
      <c r="F479" s="4">
        <v>1</v>
      </c>
      <c r="G479" s="2">
        <v>877.91</v>
      </c>
      <c r="H479" s="2">
        <v>877.91</v>
      </c>
      <c r="I479" s="2">
        <v>877.91</v>
      </c>
      <c r="J479" s="2" t="str">
        <f t="shared" si="14"/>
        <v>75-90</v>
      </c>
      <c r="K479" s="17" t="str">
        <f t="shared" si="15"/>
        <v>12-15</v>
      </c>
    </row>
    <row r="480" spans="1:11" x14ac:dyDescent="0.2">
      <c r="A480" s="4">
        <v>46</v>
      </c>
      <c r="B480" s="4">
        <v>11</v>
      </c>
      <c r="C480" t="s">
        <v>10</v>
      </c>
      <c r="D480" s="4">
        <v>0</v>
      </c>
      <c r="E480" s="3">
        <v>0.97970277268905204</v>
      </c>
      <c r="F480" s="4">
        <v>1</v>
      </c>
      <c r="G480" s="2">
        <v>968.11</v>
      </c>
      <c r="H480" s="2">
        <v>968.11</v>
      </c>
      <c r="I480" s="2">
        <v>968.11</v>
      </c>
      <c r="J480" s="2" t="str">
        <f t="shared" si="14"/>
        <v>45-54</v>
      </c>
      <c r="K480" s="17" t="str">
        <f t="shared" si="15"/>
        <v>9-11</v>
      </c>
    </row>
    <row r="481" spans="1:11" x14ac:dyDescent="0.2">
      <c r="A481" s="4">
        <v>64</v>
      </c>
      <c r="B481" s="4">
        <v>11</v>
      </c>
      <c r="C481" t="s">
        <v>8</v>
      </c>
      <c r="D481" s="4">
        <v>0</v>
      </c>
      <c r="E481" s="3">
        <v>0.96981833968311504</v>
      </c>
      <c r="F481" s="4">
        <v>1</v>
      </c>
      <c r="G481" s="2">
        <v>592.98</v>
      </c>
      <c r="H481" s="2">
        <v>592.98</v>
      </c>
      <c r="I481" s="2">
        <v>592.98</v>
      </c>
      <c r="J481" s="2" t="str">
        <f t="shared" si="14"/>
        <v>55-64</v>
      </c>
      <c r="K481" s="17" t="str">
        <f t="shared" si="15"/>
        <v>9-11</v>
      </c>
    </row>
    <row r="482" spans="1:11" x14ac:dyDescent="0.2">
      <c r="A482" s="4">
        <v>29</v>
      </c>
      <c r="B482" s="4">
        <v>8</v>
      </c>
      <c r="C482" t="s">
        <v>10</v>
      </c>
      <c r="D482" s="4">
        <v>0</v>
      </c>
      <c r="E482" s="3">
        <v>0.98440035153180405</v>
      </c>
      <c r="F482" s="4">
        <v>1</v>
      </c>
      <c r="G482" s="2">
        <v>469.33</v>
      </c>
      <c r="H482" s="2">
        <v>469.33</v>
      </c>
      <c r="I482" s="2">
        <v>469.33</v>
      </c>
      <c r="J482" s="2" t="str">
        <f t="shared" si="14"/>
        <v>25-34</v>
      </c>
      <c r="K482" s="17" t="str">
        <f t="shared" si="15"/>
        <v>6-8</v>
      </c>
    </row>
    <row r="483" spans="1:11" x14ac:dyDescent="0.2">
      <c r="A483" s="4">
        <v>72</v>
      </c>
      <c r="B483" s="4">
        <v>13</v>
      </c>
      <c r="C483" t="s">
        <v>8</v>
      </c>
      <c r="D483" s="4">
        <v>1</v>
      </c>
      <c r="E483" s="3">
        <v>0.989038202213123</v>
      </c>
      <c r="F483" s="4">
        <v>2</v>
      </c>
      <c r="G483" s="2">
        <v>1859.04</v>
      </c>
      <c r="H483" s="2">
        <v>929.52</v>
      </c>
      <c r="I483" s="2">
        <v>1859.04</v>
      </c>
      <c r="J483" s="2" t="str">
        <f t="shared" si="14"/>
        <v>65-74</v>
      </c>
      <c r="K483" s="17" t="str">
        <f t="shared" si="15"/>
        <v>12-15</v>
      </c>
    </row>
    <row r="484" spans="1:11" x14ac:dyDescent="0.2">
      <c r="A484" s="4">
        <v>23</v>
      </c>
      <c r="B484" s="4">
        <v>8</v>
      </c>
      <c r="C484" t="s">
        <v>8</v>
      </c>
      <c r="D484" s="4">
        <v>0</v>
      </c>
      <c r="E484" s="3">
        <v>0.78987064561806597</v>
      </c>
      <c r="F484" s="4">
        <v>1</v>
      </c>
      <c r="G484" s="2">
        <v>737.69</v>
      </c>
      <c r="H484" s="2">
        <v>737.69</v>
      </c>
      <c r="I484" s="2">
        <v>737.69</v>
      </c>
      <c r="J484" s="2" t="str">
        <f t="shared" si="14"/>
        <v>18-24</v>
      </c>
      <c r="K484" s="17" t="str">
        <f t="shared" si="15"/>
        <v>6-8</v>
      </c>
    </row>
    <row r="485" spans="1:11" x14ac:dyDescent="0.2">
      <c r="A485" s="4">
        <v>61</v>
      </c>
      <c r="B485" s="4">
        <v>4</v>
      </c>
      <c r="C485" t="s">
        <v>8</v>
      </c>
      <c r="D485" s="4">
        <v>0</v>
      </c>
      <c r="E485" s="3">
        <v>0.51520399400033101</v>
      </c>
      <c r="F485" s="4">
        <v>1</v>
      </c>
      <c r="G485" s="2">
        <v>518.41</v>
      </c>
      <c r="H485" s="2">
        <v>518.41</v>
      </c>
      <c r="I485" s="2">
        <v>518.41</v>
      </c>
      <c r="J485" s="2" t="str">
        <f t="shared" si="14"/>
        <v>55-64</v>
      </c>
      <c r="K485" s="17" t="str">
        <f t="shared" si="15"/>
        <v>3-5</v>
      </c>
    </row>
    <row r="486" spans="1:11" x14ac:dyDescent="0.2">
      <c r="A486" s="4">
        <v>71</v>
      </c>
      <c r="B486" s="4">
        <v>4</v>
      </c>
      <c r="C486" t="s">
        <v>10</v>
      </c>
      <c r="D486" s="4">
        <v>0</v>
      </c>
      <c r="E486" s="3">
        <v>0.53857945220079295</v>
      </c>
      <c r="F486" s="4">
        <v>2</v>
      </c>
      <c r="G486" s="2">
        <v>796.89</v>
      </c>
      <c r="H486" s="2">
        <v>398.44</v>
      </c>
      <c r="I486" s="2">
        <v>796.89</v>
      </c>
      <c r="J486" s="2" t="str">
        <f t="shared" si="14"/>
        <v>65-74</v>
      </c>
      <c r="K486" s="17" t="str">
        <f t="shared" si="15"/>
        <v>3-5</v>
      </c>
    </row>
    <row r="487" spans="1:11" x14ac:dyDescent="0.2">
      <c r="A487" s="4">
        <v>59</v>
      </c>
      <c r="B487" s="4">
        <v>4</v>
      </c>
      <c r="C487" t="s">
        <v>16</v>
      </c>
      <c r="D487" s="4">
        <v>0</v>
      </c>
      <c r="E487" s="3">
        <v>0.89685365301556896</v>
      </c>
      <c r="F487" s="4">
        <v>1</v>
      </c>
      <c r="G487" s="2">
        <v>913.25</v>
      </c>
      <c r="H487" s="2">
        <v>913.25</v>
      </c>
      <c r="I487" s="2">
        <v>913.25</v>
      </c>
      <c r="J487" s="2" t="str">
        <f t="shared" si="14"/>
        <v>55-64</v>
      </c>
      <c r="K487" s="17" t="str">
        <f t="shared" si="15"/>
        <v>3-5</v>
      </c>
    </row>
    <row r="488" spans="1:11" x14ac:dyDescent="0.2">
      <c r="A488" s="4">
        <v>75</v>
      </c>
      <c r="B488" s="4">
        <v>9</v>
      </c>
      <c r="C488" t="s">
        <v>8</v>
      </c>
      <c r="D488" s="4">
        <v>0</v>
      </c>
      <c r="E488" s="3">
        <v>0.78145583218429204</v>
      </c>
      <c r="F488" s="4">
        <v>1</v>
      </c>
      <c r="G488" s="2">
        <v>834.82</v>
      </c>
      <c r="H488" s="2">
        <v>834.82</v>
      </c>
      <c r="I488" s="2">
        <v>834.82</v>
      </c>
      <c r="J488" s="2" t="str">
        <f t="shared" si="14"/>
        <v>75-90</v>
      </c>
      <c r="K488" s="17" t="str">
        <f t="shared" si="15"/>
        <v>9-11</v>
      </c>
    </row>
    <row r="489" spans="1:11" x14ac:dyDescent="0.2">
      <c r="A489" s="4">
        <v>78</v>
      </c>
      <c r="B489" s="4">
        <v>14</v>
      </c>
      <c r="C489" t="s">
        <v>10</v>
      </c>
      <c r="D489" s="4">
        <v>0</v>
      </c>
      <c r="E489" s="3">
        <v>0.83623728924430896</v>
      </c>
      <c r="F489" s="4">
        <v>1</v>
      </c>
      <c r="G489" s="2">
        <v>2301.62</v>
      </c>
      <c r="H489" s="2">
        <v>2301.62</v>
      </c>
      <c r="I489" s="2">
        <v>2301.62</v>
      </c>
      <c r="J489" s="2" t="str">
        <f t="shared" si="14"/>
        <v>75-90</v>
      </c>
      <c r="K489" s="17" t="str">
        <f t="shared" si="15"/>
        <v>12-15</v>
      </c>
    </row>
    <row r="490" spans="1:11" x14ac:dyDescent="0.2">
      <c r="A490" s="4">
        <v>76</v>
      </c>
      <c r="B490" s="4">
        <v>13</v>
      </c>
      <c r="C490" t="s">
        <v>10</v>
      </c>
      <c r="D490" s="4">
        <v>2</v>
      </c>
      <c r="E490" s="3">
        <v>0.71866920858155903</v>
      </c>
      <c r="F490" s="4">
        <v>2</v>
      </c>
      <c r="G490" s="2">
        <v>3873.18</v>
      </c>
      <c r="H490" s="2">
        <v>1936.59</v>
      </c>
      <c r="I490" s="2">
        <v>3873.18</v>
      </c>
      <c r="J490" s="2" t="str">
        <f t="shared" si="14"/>
        <v>75-90</v>
      </c>
      <c r="K490" s="17" t="str">
        <f t="shared" si="15"/>
        <v>12-15</v>
      </c>
    </row>
    <row r="491" spans="1:11" x14ac:dyDescent="0.2">
      <c r="A491" s="4">
        <v>84</v>
      </c>
      <c r="B491" s="4">
        <v>7</v>
      </c>
      <c r="C491" t="s">
        <v>10</v>
      </c>
      <c r="D491" s="4">
        <v>1</v>
      </c>
      <c r="E491" s="3">
        <v>0.94758694805204902</v>
      </c>
      <c r="F491" s="4">
        <v>1</v>
      </c>
      <c r="G491" s="2">
        <v>1740.9</v>
      </c>
      <c r="H491" s="2">
        <v>1740.9</v>
      </c>
      <c r="I491" s="2">
        <v>1740.9</v>
      </c>
      <c r="J491" s="2" t="str">
        <f t="shared" si="14"/>
        <v>75-90</v>
      </c>
      <c r="K491" s="17" t="str">
        <f t="shared" si="15"/>
        <v>6-8</v>
      </c>
    </row>
    <row r="492" spans="1:11" x14ac:dyDescent="0.2">
      <c r="A492" s="4">
        <v>51</v>
      </c>
      <c r="B492" s="4">
        <v>1</v>
      </c>
      <c r="C492" t="s">
        <v>8</v>
      </c>
      <c r="D492" s="4">
        <v>0</v>
      </c>
      <c r="E492" s="3">
        <v>0.87074758578091904</v>
      </c>
      <c r="F492" s="4">
        <v>1</v>
      </c>
      <c r="G492" s="2">
        <v>487.55</v>
      </c>
      <c r="H492" s="2">
        <v>487.55</v>
      </c>
      <c r="I492" s="2">
        <v>487.55</v>
      </c>
      <c r="J492" s="2" t="str">
        <f t="shared" si="14"/>
        <v>45-54</v>
      </c>
      <c r="K492" s="17" t="str">
        <f t="shared" si="15"/>
        <v>0-2</v>
      </c>
    </row>
    <row r="493" spans="1:11" x14ac:dyDescent="0.2">
      <c r="A493" s="4">
        <v>71</v>
      </c>
      <c r="B493" s="4">
        <v>6</v>
      </c>
      <c r="C493" t="s">
        <v>10</v>
      </c>
      <c r="D493" s="4">
        <v>1</v>
      </c>
      <c r="E493" s="3">
        <v>0.90005719987675503</v>
      </c>
      <c r="F493" s="4">
        <v>1</v>
      </c>
      <c r="G493" s="2">
        <v>1493.31</v>
      </c>
      <c r="H493" s="2">
        <v>1493.31</v>
      </c>
      <c r="I493" s="2">
        <v>1493.31</v>
      </c>
      <c r="J493" s="2" t="str">
        <f t="shared" si="14"/>
        <v>65-74</v>
      </c>
      <c r="K493" s="17" t="str">
        <f t="shared" si="15"/>
        <v>6-8</v>
      </c>
    </row>
    <row r="494" spans="1:11" x14ac:dyDescent="0.2">
      <c r="A494" s="4">
        <v>47</v>
      </c>
      <c r="B494" s="4">
        <v>11</v>
      </c>
      <c r="C494" t="s">
        <v>8</v>
      </c>
      <c r="D494" s="4">
        <v>0</v>
      </c>
      <c r="E494" s="3">
        <v>0.86009165446739599</v>
      </c>
      <c r="F494" s="4">
        <v>1</v>
      </c>
      <c r="G494" s="2">
        <v>507.56</v>
      </c>
      <c r="H494" s="2">
        <v>507.56</v>
      </c>
      <c r="I494" s="2">
        <v>507.56</v>
      </c>
      <c r="J494" s="2" t="str">
        <f t="shared" si="14"/>
        <v>45-54</v>
      </c>
      <c r="K494" s="17" t="str">
        <f t="shared" si="15"/>
        <v>9-11</v>
      </c>
    </row>
    <row r="495" spans="1:11" x14ac:dyDescent="0.2">
      <c r="A495" s="4">
        <v>70</v>
      </c>
      <c r="B495" s="4">
        <v>6</v>
      </c>
      <c r="C495" t="s">
        <v>8</v>
      </c>
      <c r="D495" s="4">
        <v>1</v>
      </c>
      <c r="E495" s="3">
        <v>0.65273592236917499</v>
      </c>
      <c r="F495" s="4">
        <v>1</v>
      </c>
      <c r="G495" s="2">
        <v>839.48</v>
      </c>
      <c r="H495" s="2">
        <v>839.48</v>
      </c>
      <c r="I495" s="2">
        <v>839.48</v>
      </c>
      <c r="J495" s="2" t="str">
        <f t="shared" si="14"/>
        <v>65-74</v>
      </c>
      <c r="K495" s="17" t="str">
        <f t="shared" si="15"/>
        <v>6-8</v>
      </c>
    </row>
    <row r="496" spans="1:11" x14ac:dyDescent="0.2">
      <c r="A496" s="4">
        <v>90</v>
      </c>
      <c r="B496" s="4">
        <v>12</v>
      </c>
      <c r="C496" t="s">
        <v>16</v>
      </c>
      <c r="D496" s="4">
        <v>0</v>
      </c>
      <c r="E496" s="3">
        <v>0.53972815221641202</v>
      </c>
      <c r="F496" s="4">
        <v>1</v>
      </c>
      <c r="G496" s="2">
        <v>2172.85</v>
      </c>
      <c r="H496" s="2">
        <v>2172.85</v>
      </c>
      <c r="I496" s="2">
        <v>2172.85</v>
      </c>
      <c r="J496" s="2" t="str">
        <f t="shared" si="14"/>
        <v>75-90</v>
      </c>
      <c r="K496" s="17" t="str">
        <f t="shared" si="15"/>
        <v>12-15</v>
      </c>
    </row>
    <row r="497" spans="1:11" x14ac:dyDescent="0.2">
      <c r="A497" s="4">
        <v>78</v>
      </c>
      <c r="B497" s="4">
        <v>11</v>
      </c>
      <c r="C497" t="s">
        <v>8</v>
      </c>
      <c r="D497" s="4">
        <v>0</v>
      </c>
      <c r="E497" s="3">
        <v>0.65061226987745602</v>
      </c>
      <c r="F497" s="4">
        <v>1</v>
      </c>
      <c r="G497" s="2">
        <v>1936.32</v>
      </c>
      <c r="H497" s="2">
        <v>1936.32</v>
      </c>
      <c r="I497" s="2">
        <v>1936.32</v>
      </c>
      <c r="J497" s="2" t="str">
        <f t="shared" si="14"/>
        <v>75-90</v>
      </c>
      <c r="K497" s="17" t="str">
        <f t="shared" si="15"/>
        <v>9-11</v>
      </c>
    </row>
    <row r="498" spans="1:11" x14ac:dyDescent="0.2">
      <c r="A498" s="4">
        <v>78</v>
      </c>
      <c r="B498" s="4">
        <v>3</v>
      </c>
      <c r="C498" t="s">
        <v>8</v>
      </c>
      <c r="D498" s="4">
        <v>0</v>
      </c>
      <c r="E498" s="3">
        <v>0.88646339101251204</v>
      </c>
      <c r="F498" s="4">
        <v>3</v>
      </c>
      <c r="G498" s="2">
        <v>1395.29</v>
      </c>
      <c r="H498" s="2">
        <v>465.1</v>
      </c>
      <c r="I498" s="2">
        <v>1395.29</v>
      </c>
      <c r="J498" s="2" t="str">
        <f t="shared" si="14"/>
        <v>75-90</v>
      </c>
      <c r="K498" s="17" t="str">
        <f t="shared" si="15"/>
        <v>3-5</v>
      </c>
    </row>
    <row r="499" spans="1:11" x14ac:dyDescent="0.2">
      <c r="A499" s="4">
        <v>77</v>
      </c>
      <c r="B499" s="4">
        <v>1</v>
      </c>
      <c r="C499" t="s">
        <v>16</v>
      </c>
      <c r="D499" s="4">
        <v>0</v>
      </c>
      <c r="E499" s="3">
        <v>0.95082653884310298</v>
      </c>
      <c r="F499" s="4">
        <v>2</v>
      </c>
      <c r="G499" s="2">
        <v>942.76</v>
      </c>
      <c r="H499" s="2">
        <v>471.38</v>
      </c>
      <c r="I499" s="2">
        <v>942.76</v>
      </c>
      <c r="J499" s="2" t="str">
        <f t="shared" si="14"/>
        <v>75-90</v>
      </c>
      <c r="K499" s="17" t="str">
        <f t="shared" si="15"/>
        <v>0-2</v>
      </c>
    </row>
    <row r="500" spans="1:11" x14ac:dyDescent="0.2">
      <c r="A500" s="4">
        <v>48</v>
      </c>
      <c r="B500" s="4">
        <v>11</v>
      </c>
      <c r="C500" t="s">
        <v>8</v>
      </c>
      <c r="D500" s="4">
        <v>1</v>
      </c>
      <c r="E500" s="3">
        <v>0.83009200030937802</v>
      </c>
      <c r="F500" s="4">
        <v>3</v>
      </c>
      <c r="G500" s="2">
        <v>2123.9899999999998</v>
      </c>
      <c r="H500" s="2">
        <v>708</v>
      </c>
      <c r="I500" s="2">
        <v>2123.9899999999998</v>
      </c>
      <c r="J500" s="2" t="str">
        <f t="shared" si="14"/>
        <v>45-54</v>
      </c>
      <c r="K500" s="17" t="str">
        <f t="shared" si="15"/>
        <v>9-11</v>
      </c>
    </row>
    <row r="501" spans="1:11" x14ac:dyDescent="0.2">
      <c r="A501" s="4">
        <v>73</v>
      </c>
      <c r="B501" s="4">
        <v>7</v>
      </c>
      <c r="C501" t="s">
        <v>8</v>
      </c>
      <c r="D501" s="4">
        <v>3</v>
      </c>
      <c r="E501" s="3">
        <v>0.86701244825962898</v>
      </c>
      <c r="F501" s="4">
        <v>2</v>
      </c>
      <c r="G501" s="2">
        <v>2764.03</v>
      </c>
      <c r="H501" s="2">
        <v>1382.02</v>
      </c>
      <c r="I501" s="2">
        <v>2764.03</v>
      </c>
      <c r="J501" s="2" t="str">
        <f t="shared" si="14"/>
        <v>65-74</v>
      </c>
      <c r="K501" s="17" t="str">
        <f t="shared" si="15"/>
        <v>6-8</v>
      </c>
    </row>
    <row r="502" spans="1:11" x14ac:dyDescent="0.2">
      <c r="A502" s="4">
        <v>41</v>
      </c>
      <c r="B502" s="4">
        <v>11</v>
      </c>
      <c r="C502" t="s">
        <v>10</v>
      </c>
      <c r="D502" s="4">
        <v>0</v>
      </c>
      <c r="E502" s="3">
        <v>0.71148703142534897</v>
      </c>
      <c r="F502" s="4">
        <v>1</v>
      </c>
      <c r="G502" s="2">
        <v>794.97</v>
      </c>
      <c r="H502" s="2">
        <v>794.97</v>
      </c>
      <c r="I502" s="2">
        <v>794.97</v>
      </c>
      <c r="J502" s="2" t="str">
        <f t="shared" si="14"/>
        <v>35-44</v>
      </c>
      <c r="K502" s="17" t="str">
        <f t="shared" si="15"/>
        <v>9-11</v>
      </c>
    </row>
    <row r="503" spans="1:11" x14ac:dyDescent="0.2">
      <c r="A503" s="4">
        <v>32</v>
      </c>
      <c r="B503" s="4">
        <v>8</v>
      </c>
      <c r="C503" t="s">
        <v>16</v>
      </c>
      <c r="D503" s="4">
        <v>3</v>
      </c>
      <c r="E503" s="3">
        <v>0.59909384173806801</v>
      </c>
      <c r="F503" s="4">
        <v>1</v>
      </c>
      <c r="G503" s="2">
        <v>2190.92</v>
      </c>
      <c r="H503" s="2">
        <v>2190.92</v>
      </c>
      <c r="I503" s="2">
        <v>2190.92</v>
      </c>
      <c r="J503" s="2" t="str">
        <f t="shared" si="14"/>
        <v>25-34</v>
      </c>
      <c r="K503" s="17" t="str">
        <f t="shared" si="15"/>
        <v>6-8</v>
      </c>
    </row>
    <row r="504" spans="1:11" x14ac:dyDescent="0.2">
      <c r="A504" s="4">
        <v>65</v>
      </c>
      <c r="B504" s="4">
        <v>11</v>
      </c>
      <c r="C504" t="s">
        <v>8</v>
      </c>
      <c r="D504" s="4">
        <v>0</v>
      </c>
      <c r="E504" s="3">
        <v>0.95075618627015501</v>
      </c>
      <c r="F504" s="4">
        <v>1</v>
      </c>
      <c r="G504" s="2">
        <v>864.63</v>
      </c>
      <c r="H504" s="2">
        <v>864.63</v>
      </c>
      <c r="I504" s="2">
        <v>864.63</v>
      </c>
      <c r="J504" s="2" t="str">
        <f t="shared" si="14"/>
        <v>65-74</v>
      </c>
      <c r="K504" s="17" t="str">
        <f t="shared" si="15"/>
        <v>9-11</v>
      </c>
    </row>
    <row r="505" spans="1:11" x14ac:dyDescent="0.2">
      <c r="A505" s="4">
        <v>86</v>
      </c>
      <c r="B505" s="4">
        <v>10</v>
      </c>
      <c r="C505" t="s">
        <v>10</v>
      </c>
      <c r="D505" s="4">
        <v>0</v>
      </c>
      <c r="E505" s="3">
        <v>0.71394610847346496</v>
      </c>
      <c r="F505" s="4">
        <v>1</v>
      </c>
      <c r="G505" s="2">
        <v>1460.78</v>
      </c>
      <c r="H505" s="2">
        <v>1460.78</v>
      </c>
      <c r="I505" s="2">
        <v>1460.78</v>
      </c>
      <c r="J505" s="2" t="str">
        <f t="shared" si="14"/>
        <v>75-90</v>
      </c>
      <c r="K505" s="17" t="str">
        <f t="shared" si="15"/>
        <v>9-11</v>
      </c>
    </row>
    <row r="506" spans="1:11" x14ac:dyDescent="0.2">
      <c r="A506" s="4">
        <v>68</v>
      </c>
      <c r="B506" s="4">
        <v>12</v>
      </c>
      <c r="C506" t="s">
        <v>10</v>
      </c>
      <c r="D506" s="4">
        <v>0</v>
      </c>
      <c r="E506" s="3">
        <v>0.77356994978617899</v>
      </c>
      <c r="F506" s="4">
        <v>1</v>
      </c>
      <c r="G506" s="2">
        <v>1506.83</v>
      </c>
      <c r="H506" s="2">
        <v>1506.83</v>
      </c>
      <c r="I506" s="2">
        <v>1506.83</v>
      </c>
      <c r="J506" s="2" t="str">
        <f t="shared" si="14"/>
        <v>65-74</v>
      </c>
      <c r="K506" s="17" t="str">
        <f t="shared" si="15"/>
        <v>12-15</v>
      </c>
    </row>
    <row r="507" spans="1:11" x14ac:dyDescent="0.2">
      <c r="A507" s="4">
        <v>60</v>
      </c>
      <c r="B507" s="4">
        <v>13</v>
      </c>
      <c r="C507" t="s">
        <v>8</v>
      </c>
      <c r="D507" s="4">
        <v>0</v>
      </c>
      <c r="E507" s="3">
        <v>0.754275677143596</v>
      </c>
      <c r="F507" s="4">
        <v>2</v>
      </c>
      <c r="G507" s="2">
        <v>525.84</v>
      </c>
      <c r="H507" s="2">
        <v>262.92</v>
      </c>
      <c r="I507" s="2">
        <v>525.84</v>
      </c>
      <c r="J507" s="2" t="str">
        <f t="shared" si="14"/>
        <v>55-64</v>
      </c>
      <c r="K507" s="17" t="str">
        <f t="shared" si="15"/>
        <v>12-15</v>
      </c>
    </row>
    <row r="508" spans="1:11" x14ac:dyDescent="0.2">
      <c r="A508" s="4">
        <v>61</v>
      </c>
      <c r="B508" s="4">
        <v>8</v>
      </c>
      <c r="C508" t="s">
        <v>16</v>
      </c>
      <c r="D508" s="4">
        <v>0</v>
      </c>
      <c r="E508" s="3">
        <v>0.61582106770947598</v>
      </c>
      <c r="F508" s="4">
        <v>1</v>
      </c>
      <c r="G508" s="2">
        <v>1247.75</v>
      </c>
      <c r="H508" s="2">
        <v>1247.75</v>
      </c>
      <c r="I508" s="2">
        <v>1247.75</v>
      </c>
      <c r="J508" s="2" t="str">
        <f t="shared" si="14"/>
        <v>55-64</v>
      </c>
      <c r="K508" s="17" t="str">
        <f t="shared" si="15"/>
        <v>6-8</v>
      </c>
    </row>
    <row r="509" spans="1:11" x14ac:dyDescent="0.2">
      <c r="A509" s="4">
        <v>87</v>
      </c>
      <c r="B509" s="4">
        <v>10</v>
      </c>
      <c r="C509" t="s">
        <v>8</v>
      </c>
      <c r="D509" s="4">
        <v>0</v>
      </c>
      <c r="E509" s="3">
        <v>0.82266212557442497</v>
      </c>
      <c r="F509" s="4">
        <v>1</v>
      </c>
      <c r="G509" s="2">
        <v>2925.64</v>
      </c>
      <c r="H509" s="2">
        <v>2925.64</v>
      </c>
      <c r="I509" s="2">
        <v>2925.64</v>
      </c>
      <c r="J509" s="2" t="str">
        <f t="shared" si="14"/>
        <v>75-90</v>
      </c>
      <c r="K509" s="17" t="str">
        <f t="shared" si="15"/>
        <v>9-11</v>
      </c>
    </row>
    <row r="510" spans="1:11" x14ac:dyDescent="0.2">
      <c r="A510" s="4">
        <v>79</v>
      </c>
      <c r="B510" s="4">
        <v>13</v>
      </c>
      <c r="C510" t="s">
        <v>16</v>
      </c>
      <c r="D510" s="4">
        <v>1</v>
      </c>
      <c r="E510" s="3">
        <v>0.60021393024362601</v>
      </c>
      <c r="F510" s="4">
        <v>1</v>
      </c>
      <c r="G510" s="2">
        <v>2188.5500000000002</v>
      </c>
      <c r="H510" s="2">
        <v>2188.5500000000002</v>
      </c>
      <c r="I510" s="2">
        <v>2188.5500000000002</v>
      </c>
      <c r="J510" s="2" t="str">
        <f t="shared" si="14"/>
        <v>75-90</v>
      </c>
      <c r="K510" s="17" t="str">
        <f t="shared" si="15"/>
        <v>12-15</v>
      </c>
    </row>
    <row r="511" spans="1:11" x14ac:dyDescent="0.2">
      <c r="A511" s="4">
        <v>69</v>
      </c>
      <c r="B511" s="4">
        <v>3</v>
      </c>
      <c r="C511" t="s">
        <v>8</v>
      </c>
      <c r="D511" s="4">
        <v>0</v>
      </c>
      <c r="E511" s="3">
        <v>0.81225285306572903</v>
      </c>
      <c r="F511" s="4">
        <v>1</v>
      </c>
      <c r="G511" s="2">
        <v>948.62</v>
      </c>
      <c r="H511" s="2">
        <v>948.62</v>
      </c>
      <c r="I511" s="2">
        <v>948.62</v>
      </c>
      <c r="J511" s="2" t="str">
        <f t="shared" si="14"/>
        <v>65-74</v>
      </c>
      <c r="K511" s="17" t="str">
        <f t="shared" si="15"/>
        <v>3-5</v>
      </c>
    </row>
    <row r="512" spans="1:11" x14ac:dyDescent="0.2">
      <c r="A512" s="4">
        <v>19</v>
      </c>
      <c r="B512" s="4">
        <v>10</v>
      </c>
      <c r="C512" t="s">
        <v>8</v>
      </c>
      <c r="D512" s="4">
        <v>0</v>
      </c>
      <c r="E512" s="3">
        <v>0.70572337787598405</v>
      </c>
      <c r="F512" s="4">
        <v>1</v>
      </c>
      <c r="G512" s="2">
        <v>371.48</v>
      </c>
      <c r="H512" s="2">
        <v>371.48</v>
      </c>
      <c r="I512" s="2">
        <v>371.48</v>
      </c>
      <c r="J512" s="2" t="str">
        <f t="shared" si="14"/>
        <v>18-24</v>
      </c>
      <c r="K512" s="17" t="str">
        <f t="shared" si="15"/>
        <v>9-11</v>
      </c>
    </row>
    <row r="513" spans="1:11" x14ac:dyDescent="0.2">
      <c r="A513" s="4">
        <v>49</v>
      </c>
      <c r="B513" s="4">
        <v>6</v>
      </c>
      <c r="C513" t="s">
        <v>8</v>
      </c>
      <c r="D513" s="4">
        <v>0</v>
      </c>
      <c r="E513" s="3">
        <v>0.73596550000365801</v>
      </c>
      <c r="F513" s="4">
        <v>2</v>
      </c>
      <c r="G513" s="2">
        <v>631.62</v>
      </c>
      <c r="H513" s="2">
        <v>315.81</v>
      </c>
      <c r="I513" s="2">
        <v>631.62</v>
      </c>
      <c r="J513" s="2" t="str">
        <f t="shared" si="14"/>
        <v>45-54</v>
      </c>
      <c r="K513" s="17" t="str">
        <f t="shared" si="15"/>
        <v>6-8</v>
      </c>
    </row>
    <row r="514" spans="1:11" x14ac:dyDescent="0.2">
      <c r="A514" s="4">
        <v>34</v>
      </c>
      <c r="B514" s="4">
        <v>10</v>
      </c>
      <c r="C514" t="s">
        <v>16</v>
      </c>
      <c r="D514" s="4">
        <v>0</v>
      </c>
      <c r="E514" s="3">
        <v>0.68950293050147604</v>
      </c>
      <c r="F514" s="4">
        <v>1</v>
      </c>
      <c r="G514" s="2">
        <v>542.41999999999996</v>
      </c>
      <c r="H514" s="2">
        <v>542.41999999999996</v>
      </c>
      <c r="I514" s="2">
        <v>542.41999999999996</v>
      </c>
      <c r="J514" s="2" t="str">
        <f t="shared" ref="J514:J577" si="16" xml:space="preserve"> IF(A514&lt;25,"18-24",
 IF(A514&lt;35,"25-34",
 IF(A514&lt;45,"35-44",
 IF(A514&lt;55,"45-54", IF(A514&lt;65, "55-64", IF(A514&lt;75, "65-74", "75-90"))))))</f>
        <v>25-34</v>
      </c>
      <c r="K514" s="17" t="str">
        <f t="shared" ref="K514:K577" si="17" xml:space="preserve"> IF(B514 &lt; 3, "0-2", IF(B514 &lt; 6, "3-5", IF(B514 &lt; 9, "6-8", IF(B514 &lt; 12, "9-11", "12-15"))))</f>
        <v>9-11</v>
      </c>
    </row>
    <row r="515" spans="1:11" x14ac:dyDescent="0.2">
      <c r="A515" s="4">
        <v>78</v>
      </c>
      <c r="B515" s="4">
        <v>6</v>
      </c>
      <c r="C515" t="s">
        <v>16</v>
      </c>
      <c r="D515" s="4">
        <v>0</v>
      </c>
      <c r="E515" s="3">
        <v>0.85394219972658902</v>
      </c>
      <c r="F515" s="4">
        <v>2</v>
      </c>
      <c r="G515" s="2">
        <v>570.71</v>
      </c>
      <c r="H515" s="2">
        <v>285.35000000000002</v>
      </c>
      <c r="I515" s="2">
        <v>570.71</v>
      </c>
      <c r="J515" s="2" t="str">
        <f t="shared" si="16"/>
        <v>75-90</v>
      </c>
      <c r="K515" s="17" t="str">
        <f t="shared" si="17"/>
        <v>6-8</v>
      </c>
    </row>
    <row r="516" spans="1:11" x14ac:dyDescent="0.2">
      <c r="A516" s="4">
        <v>48</v>
      </c>
      <c r="B516" s="4">
        <v>9</v>
      </c>
      <c r="C516" t="s">
        <v>16</v>
      </c>
      <c r="D516" s="4">
        <v>2</v>
      </c>
      <c r="E516" s="3">
        <v>0.754392649396323</v>
      </c>
      <c r="F516" s="4">
        <v>1</v>
      </c>
      <c r="G516" s="2">
        <v>963.19</v>
      </c>
      <c r="H516" s="2">
        <v>963.19</v>
      </c>
      <c r="I516" s="2">
        <v>963.19</v>
      </c>
      <c r="J516" s="2" t="str">
        <f t="shared" si="16"/>
        <v>45-54</v>
      </c>
      <c r="K516" s="17" t="str">
        <f t="shared" si="17"/>
        <v>9-11</v>
      </c>
    </row>
    <row r="517" spans="1:11" x14ac:dyDescent="0.2">
      <c r="A517" s="4">
        <v>36</v>
      </c>
      <c r="B517" s="4">
        <v>13</v>
      </c>
      <c r="C517" t="s">
        <v>8</v>
      </c>
      <c r="D517" s="4">
        <v>0</v>
      </c>
      <c r="E517" s="3">
        <v>0.51867355045396801</v>
      </c>
      <c r="F517" s="4">
        <v>1</v>
      </c>
      <c r="G517" s="2">
        <v>1141.77</v>
      </c>
      <c r="H517" s="2">
        <v>1141.77</v>
      </c>
      <c r="I517" s="2">
        <v>1141.77</v>
      </c>
      <c r="J517" s="2" t="str">
        <f t="shared" si="16"/>
        <v>35-44</v>
      </c>
      <c r="K517" s="17" t="str">
        <f t="shared" si="17"/>
        <v>12-15</v>
      </c>
    </row>
    <row r="518" spans="1:11" x14ac:dyDescent="0.2">
      <c r="A518" s="4">
        <v>74</v>
      </c>
      <c r="B518" s="4">
        <v>13</v>
      </c>
      <c r="C518" t="s">
        <v>16</v>
      </c>
      <c r="D518" s="4">
        <v>2</v>
      </c>
      <c r="E518" s="3">
        <v>0.93654210970271401</v>
      </c>
      <c r="F518" s="4">
        <v>1</v>
      </c>
      <c r="G518" s="2">
        <v>2782.64</v>
      </c>
      <c r="H518" s="2">
        <v>2782.64</v>
      </c>
      <c r="I518" s="2">
        <v>2782.64</v>
      </c>
      <c r="J518" s="2" t="str">
        <f t="shared" si="16"/>
        <v>65-74</v>
      </c>
      <c r="K518" s="17" t="str">
        <f t="shared" si="17"/>
        <v>12-15</v>
      </c>
    </row>
    <row r="519" spans="1:11" x14ac:dyDescent="0.2">
      <c r="A519" s="4">
        <v>42</v>
      </c>
      <c r="B519" s="4">
        <v>6</v>
      </c>
      <c r="C519" t="s">
        <v>10</v>
      </c>
      <c r="D519" s="4">
        <v>0</v>
      </c>
      <c r="E519" s="3">
        <v>0.95546470046974696</v>
      </c>
      <c r="F519" s="4">
        <v>1</v>
      </c>
      <c r="G519" s="2">
        <v>808.1</v>
      </c>
      <c r="H519" s="2">
        <v>808.1</v>
      </c>
      <c r="I519" s="2">
        <v>808.1</v>
      </c>
      <c r="J519" s="2" t="str">
        <f t="shared" si="16"/>
        <v>35-44</v>
      </c>
      <c r="K519" s="17" t="str">
        <f t="shared" si="17"/>
        <v>6-8</v>
      </c>
    </row>
    <row r="520" spans="1:11" x14ac:dyDescent="0.2">
      <c r="A520" s="4">
        <v>58</v>
      </c>
      <c r="B520" s="4">
        <v>13</v>
      </c>
      <c r="C520" t="s">
        <v>16</v>
      </c>
      <c r="D520" s="4">
        <v>1</v>
      </c>
      <c r="E520" s="3">
        <v>0.77404210064560197</v>
      </c>
      <c r="F520" s="4">
        <v>2</v>
      </c>
      <c r="G520" s="2">
        <v>1965.33</v>
      </c>
      <c r="H520" s="2">
        <v>982.67</v>
      </c>
      <c r="I520" s="2">
        <v>1965.33</v>
      </c>
      <c r="J520" s="2" t="str">
        <f t="shared" si="16"/>
        <v>55-64</v>
      </c>
      <c r="K520" s="17" t="str">
        <f t="shared" si="17"/>
        <v>12-15</v>
      </c>
    </row>
    <row r="521" spans="1:11" x14ac:dyDescent="0.2">
      <c r="A521" s="4">
        <v>38</v>
      </c>
      <c r="B521" s="4">
        <v>6</v>
      </c>
      <c r="C521" t="s">
        <v>10</v>
      </c>
      <c r="D521" s="4">
        <v>1</v>
      </c>
      <c r="E521" s="3">
        <v>0.84691071824636299</v>
      </c>
      <c r="F521" s="4">
        <v>2</v>
      </c>
      <c r="G521" s="2">
        <v>971.65</v>
      </c>
      <c r="H521" s="2">
        <v>485.82</v>
      </c>
      <c r="I521" s="2">
        <v>971.65</v>
      </c>
      <c r="J521" s="2" t="str">
        <f t="shared" si="16"/>
        <v>35-44</v>
      </c>
      <c r="K521" s="17" t="str">
        <f t="shared" si="17"/>
        <v>6-8</v>
      </c>
    </row>
    <row r="522" spans="1:11" x14ac:dyDescent="0.2">
      <c r="A522" s="4">
        <v>62</v>
      </c>
      <c r="B522" s="4">
        <v>3</v>
      </c>
      <c r="C522" t="s">
        <v>10</v>
      </c>
      <c r="D522" s="4">
        <v>0</v>
      </c>
      <c r="E522" s="3">
        <v>0.97482960193883605</v>
      </c>
      <c r="F522" s="4">
        <v>1</v>
      </c>
      <c r="G522" s="2">
        <v>1313.57</v>
      </c>
      <c r="H522" s="2">
        <v>1313.57</v>
      </c>
      <c r="I522" s="2">
        <v>1313.57</v>
      </c>
      <c r="J522" s="2" t="str">
        <f t="shared" si="16"/>
        <v>55-64</v>
      </c>
      <c r="K522" s="17" t="str">
        <f t="shared" si="17"/>
        <v>3-5</v>
      </c>
    </row>
    <row r="523" spans="1:11" x14ac:dyDescent="0.2">
      <c r="A523" s="4">
        <v>88</v>
      </c>
      <c r="B523" s="4">
        <v>12</v>
      </c>
      <c r="C523" t="s">
        <v>10</v>
      </c>
      <c r="D523" s="4">
        <v>1</v>
      </c>
      <c r="E523" s="3">
        <v>0.98251456546131499</v>
      </c>
      <c r="F523" s="4">
        <v>4</v>
      </c>
      <c r="G523" s="2">
        <v>1381.99</v>
      </c>
      <c r="H523" s="2">
        <v>345.5</v>
      </c>
      <c r="I523" s="2">
        <v>1381.99</v>
      </c>
      <c r="J523" s="2" t="str">
        <f t="shared" si="16"/>
        <v>75-90</v>
      </c>
      <c r="K523" s="17" t="str">
        <f t="shared" si="17"/>
        <v>12-15</v>
      </c>
    </row>
    <row r="524" spans="1:11" x14ac:dyDescent="0.2">
      <c r="A524" s="4">
        <v>46</v>
      </c>
      <c r="B524" s="4">
        <v>5</v>
      </c>
      <c r="C524" t="s">
        <v>16</v>
      </c>
      <c r="D524" s="4">
        <v>0</v>
      </c>
      <c r="E524" s="3">
        <v>0.65604918776080001</v>
      </c>
      <c r="F524" s="4">
        <v>1</v>
      </c>
      <c r="G524" s="2">
        <v>891.77</v>
      </c>
      <c r="H524" s="2">
        <v>891.77</v>
      </c>
      <c r="I524" s="2">
        <v>891.77</v>
      </c>
      <c r="J524" s="2" t="str">
        <f t="shared" si="16"/>
        <v>45-54</v>
      </c>
      <c r="K524" s="17" t="str">
        <f t="shared" si="17"/>
        <v>3-5</v>
      </c>
    </row>
    <row r="525" spans="1:11" x14ac:dyDescent="0.2">
      <c r="A525" s="4">
        <v>67</v>
      </c>
      <c r="B525" s="4">
        <v>1</v>
      </c>
      <c r="C525" t="s">
        <v>16</v>
      </c>
      <c r="D525" s="4">
        <v>0</v>
      </c>
      <c r="E525" s="3">
        <v>0.99873096309602305</v>
      </c>
      <c r="F525" s="4">
        <v>1</v>
      </c>
      <c r="G525" s="2">
        <v>536.95000000000005</v>
      </c>
      <c r="H525" s="2">
        <v>536.95000000000005</v>
      </c>
      <c r="I525" s="2">
        <v>536.95000000000005</v>
      </c>
      <c r="J525" s="2" t="str">
        <f t="shared" si="16"/>
        <v>65-74</v>
      </c>
      <c r="K525" s="17" t="str">
        <f t="shared" si="17"/>
        <v>0-2</v>
      </c>
    </row>
    <row r="526" spans="1:11" x14ac:dyDescent="0.2">
      <c r="A526" s="4">
        <v>38</v>
      </c>
      <c r="B526" s="4">
        <v>2</v>
      </c>
      <c r="C526" t="s">
        <v>8</v>
      </c>
      <c r="D526" s="4">
        <v>0</v>
      </c>
      <c r="E526" s="3">
        <v>0.50110715033952102</v>
      </c>
      <c r="F526" s="4">
        <v>1</v>
      </c>
      <c r="G526" s="2">
        <v>466.77</v>
      </c>
      <c r="H526" s="2">
        <v>466.77</v>
      </c>
      <c r="I526" s="2">
        <v>466.77</v>
      </c>
      <c r="J526" s="2" t="str">
        <f t="shared" si="16"/>
        <v>35-44</v>
      </c>
      <c r="K526" s="17" t="str">
        <f t="shared" si="17"/>
        <v>0-2</v>
      </c>
    </row>
    <row r="527" spans="1:11" x14ac:dyDescent="0.2">
      <c r="A527" s="4">
        <v>75</v>
      </c>
      <c r="B527" s="4">
        <v>0</v>
      </c>
      <c r="C527" t="s">
        <v>10</v>
      </c>
      <c r="D527" s="4">
        <v>2</v>
      </c>
      <c r="E527" s="3">
        <v>0.81268949597142603</v>
      </c>
      <c r="F527" s="4">
        <v>2</v>
      </c>
      <c r="G527" s="2">
        <v>2013.93</v>
      </c>
      <c r="H527" s="2">
        <v>1006.96</v>
      </c>
      <c r="I527" s="2">
        <v>2013.93</v>
      </c>
      <c r="J527" s="2" t="str">
        <f t="shared" si="16"/>
        <v>75-90</v>
      </c>
      <c r="K527" s="17" t="str">
        <f t="shared" si="17"/>
        <v>0-2</v>
      </c>
    </row>
    <row r="528" spans="1:11" x14ac:dyDescent="0.2">
      <c r="A528" s="4">
        <v>54</v>
      </c>
      <c r="B528" s="4">
        <v>3</v>
      </c>
      <c r="C528" t="s">
        <v>10</v>
      </c>
      <c r="D528" s="4">
        <v>0</v>
      </c>
      <c r="E528" s="3">
        <v>0.56424665474332902</v>
      </c>
      <c r="F528" s="4">
        <v>1</v>
      </c>
      <c r="G528" s="2">
        <v>492.35</v>
      </c>
      <c r="H528" s="2">
        <v>492.35</v>
      </c>
      <c r="I528" s="2">
        <v>492.35</v>
      </c>
      <c r="J528" s="2" t="str">
        <f t="shared" si="16"/>
        <v>45-54</v>
      </c>
      <c r="K528" s="17" t="str">
        <f t="shared" si="17"/>
        <v>3-5</v>
      </c>
    </row>
    <row r="529" spans="1:11" x14ac:dyDescent="0.2">
      <c r="A529" s="4">
        <v>27</v>
      </c>
      <c r="B529" s="4">
        <v>2</v>
      </c>
      <c r="C529" t="s">
        <v>8</v>
      </c>
      <c r="D529" s="4">
        <v>0</v>
      </c>
      <c r="E529" s="3">
        <v>0.83212758973240897</v>
      </c>
      <c r="F529" s="4">
        <v>1</v>
      </c>
      <c r="G529" s="2">
        <v>468.3</v>
      </c>
      <c r="H529" s="2">
        <v>468.3</v>
      </c>
      <c r="I529" s="2">
        <v>468.3</v>
      </c>
      <c r="J529" s="2" t="str">
        <f t="shared" si="16"/>
        <v>25-34</v>
      </c>
      <c r="K529" s="17" t="str">
        <f t="shared" si="17"/>
        <v>0-2</v>
      </c>
    </row>
    <row r="530" spans="1:11" x14ac:dyDescent="0.2">
      <c r="A530" s="4">
        <v>83</v>
      </c>
      <c r="B530" s="4">
        <v>9</v>
      </c>
      <c r="C530" t="s">
        <v>10</v>
      </c>
      <c r="D530" s="4">
        <v>1</v>
      </c>
      <c r="E530" s="3">
        <v>0.81226229772437397</v>
      </c>
      <c r="F530" s="4">
        <v>1</v>
      </c>
      <c r="G530" s="2">
        <v>3321.29</v>
      </c>
      <c r="H530" s="2">
        <v>3321.29</v>
      </c>
      <c r="I530" s="2">
        <v>3321.29</v>
      </c>
      <c r="J530" s="2" t="str">
        <f t="shared" si="16"/>
        <v>75-90</v>
      </c>
      <c r="K530" s="17" t="str">
        <f t="shared" si="17"/>
        <v>9-11</v>
      </c>
    </row>
    <row r="531" spans="1:11" x14ac:dyDescent="0.2">
      <c r="A531" s="4">
        <v>75</v>
      </c>
      <c r="B531" s="4">
        <v>14</v>
      </c>
      <c r="C531" t="s">
        <v>8</v>
      </c>
      <c r="D531" s="4">
        <v>1</v>
      </c>
      <c r="E531" s="3">
        <v>0.60631663200911101</v>
      </c>
      <c r="F531" s="4">
        <v>1</v>
      </c>
      <c r="G531" s="2">
        <v>2482.15</v>
      </c>
      <c r="H531" s="2">
        <v>2482.15</v>
      </c>
      <c r="I531" s="2">
        <v>2482.15</v>
      </c>
      <c r="J531" s="2" t="str">
        <f t="shared" si="16"/>
        <v>75-90</v>
      </c>
      <c r="K531" s="17" t="str">
        <f t="shared" si="17"/>
        <v>12-15</v>
      </c>
    </row>
    <row r="532" spans="1:11" x14ac:dyDescent="0.2">
      <c r="A532" s="4">
        <v>44</v>
      </c>
      <c r="B532" s="4">
        <v>13</v>
      </c>
      <c r="C532" t="s">
        <v>8</v>
      </c>
      <c r="D532" s="4">
        <v>0</v>
      </c>
      <c r="E532" s="3">
        <v>0.65253153385128804</v>
      </c>
      <c r="F532" s="4">
        <v>1</v>
      </c>
      <c r="G532" s="2">
        <v>927.48</v>
      </c>
      <c r="H532" s="2">
        <v>927.48</v>
      </c>
      <c r="I532" s="2">
        <v>927.48</v>
      </c>
      <c r="J532" s="2" t="str">
        <f t="shared" si="16"/>
        <v>35-44</v>
      </c>
      <c r="K532" s="17" t="str">
        <f t="shared" si="17"/>
        <v>12-15</v>
      </c>
    </row>
    <row r="533" spans="1:11" x14ac:dyDescent="0.2">
      <c r="A533" s="4">
        <v>72</v>
      </c>
      <c r="B533" s="4">
        <v>4</v>
      </c>
      <c r="C533" t="s">
        <v>10</v>
      </c>
      <c r="D533" s="4">
        <v>0</v>
      </c>
      <c r="E533" s="3">
        <v>0.84729221754241701</v>
      </c>
      <c r="F533" s="4">
        <v>1</v>
      </c>
      <c r="G533" s="2">
        <v>820.31</v>
      </c>
      <c r="H533" s="2">
        <v>820.31</v>
      </c>
      <c r="I533" s="2">
        <v>820.31</v>
      </c>
      <c r="J533" s="2" t="str">
        <f t="shared" si="16"/>
        <v>65-74</v>
      </c>
      <c r="K533" s="17" t="str">
        <f t="shared" si="17"/>
        <v>3-5</v>
      </c>
    </row>
    <row r="534" spans="1:11" x14ac:dyDescent="0.2">
      <c r="A534" s="4">
        <v>54</v>
      </c>
      <c r="B534" s="4">
        <v>10</v>
      </c>
      <c r="C534" t="s">
        <v>8</v>
      </c>
      <c r="D534" s="4">
        <v>0</v>
      </c>
      <c r="E534" s="3">
        <v>0.983398282318376</v>
      </c>
      <c r="F534" s="4">
        <v>3</v>
      </c>
      <c r="G534" s="2">
        <v>547.72</v>
      </c>
      <c r="H534" s="2">
        <v>182.57</v>
      </c>
      <c r="I534" s="2">
        <v>547.72</v>
      </c>
      <c r="J534" s="2" t="str">
        <f t="shared" si="16"/>
        <v>45-54</v>
      </c>
      <c r="K534" s="17" t="str">
        <f t="shared" si="17"/>
        <v>9-11</v>
      </c>
    </row>
    <row r="535" spans="1:11" x14ac:dyDescent="0.2">
      <c r="A535" s="4">
        <v>65</v>
      </c>
      <c r="B535" s="4">
        <v>2</v>
      </c>
      <c r="C535" t="s">
        <v>8</v>
      </c>
      <c r="D535" s="4">
        <v>0</v>
      </c>
      <c r="E535" s="3">
        <v>0.87796568276826303</v>
      </c>
      <c r="F535" s="4">
        <v>2</v>
      </c>
      <c r="G535" s="2">
        <v>709.2</v>
      </c>
      <c r="H535" s="2">
        <v>354.6</v>
      </c>
      <c r="I535" s="2">
        <v>709.2</v>
      </c>
      <c r="J535" s="2" t="str">
        <f t="shared" si="16"/>
        <v>65-74</v>
      </c>
      <c r="K535" s="17" t="str">
        <f t="shared" si="17"/>
        <v>0-2</v>
      </c>
    </row>
    <row r="536" spans="1:11" x14ac:dyDescent="0.2">
      <c r="A536" s="4">
        <v>76</v>
      </c>
      <c r="B536" s="4">
        <v>5</v>
      </c>
      <c r="C536" t="s">
        <v>16</v>
      </c>
      <c r="D536" s="4">
        <v>0</v>
      </c>
      <c r="E536" s="3">
        <v>0.62792470457497995</v>
      </c>
      <c r="F536" s="4">
        <v>1</v>
      </c>
      <c r="G536" s="2">
        <v>1837.16</v>
      </c>
      <c r="H536" s="2">
        <v>1837.16</v>
      </c>
      <c r="I536" s="2">
        <v>1837.16</v>
      </c>
      <c r="J536" s="2" t="str">
        <f t="shared" si="16"/>
        <v>75-90</v>
      </c>
      <c r="K536" s="17" t="str">
        <f t="shared" si="17"/>
        <v>3-5</v>
      </c>
    </row>
    <row r="537" spans="1:11" x14ac:dyDescent="0.2">
      <c r="A537" s="4">
        <v>49</v>
      </c>
      <c r="B537" s="4">
        <v>11</v>
      </c>
      <c r="C537" t="s">
        <v>16</v>
      </c>
      <c r="D537" s="4">
        <v>0</v>
      </c>
      <c r="E537" s="3">
        <v>0.536795240826905</v>
      </c>
      <c r="F537" s="4">
        <v>2</v>
      </c>
      <c r="G537" s="2">
        <v>598.17999999999995</v>
      </c>
      <c r="H537" s="2">
        <v>299.08999999999997</v>
      </c>
      <c r="I537" s="2">
        <v>598.17999999999995</v>
      </c>
      <c r="J537" s="2" t="str">
        <f t="shared" si="16"/>
        <v>45-54</v>
      </c>
      <c r="K537" s="17" t="str">
        <f t="shared" si="17"/>
        <v>9-11</v>
      </c>
    </row>
    <row r="538" spans="1:11" x14ac:dyDescent="0.2">
      <c r="A538" s="4">
        <v>65</v>
      </c>
      <c r="B538" s="4">
        <v>6</v>
      </c>
      <c r="C538" t="s">
        <v>8</v>
      </c>
      <c r="D538" s="4">
        <v>1</v>
      </c>
      <c r="E538" s="3">
        <v>0.69806282978970602</v>
      </c>
      <c r="F538" s="4">
        <v>1</v>
      </c>
      <c r="G538" s="2">
        <v>1103.9100000000001</v>
      </c>
      <c r="H538" s="2">
        <v>1103.9100000000001</v>
      </c>
      <c r="I538" s="2">
        <v>1103.9100000000001</v>
      </c>
      <c r="J538" s="2" t="str">
        <f t="shared" si="16"/>
        <v>65-74</v>
      </c>
      <c r="K538" s="17" t="str">
        <f t="shared" si="17"/>
        <v>6-8</v>
      </c>
    </row>
    <row r="539" spans="1:11" x14ac:dyDescent="0.2">
      <c r="A539" s="4">
        <v>61</v>
      </c>
      <c r="B539" s="4">
        <v>7</v>
      </c>
      <c r="C539" t="s">
        <v>8</v>
      </c>
      <c r="D539" s="4">
        <v>0</v>
      </c>
      <c r="E539" s="3">
        <v>0.60427594720386002</v>
      </c>
      <c r="F539" s="4">
        <v>1</v>
      </c>
      <c r="G539" s="2">
        <v>922.83</v>
      </c>
      <c r="H539" s="2">
        <v>922.83</v>
      </c>
      <c r="I539" s="2">
        <v>922.83</v>
      </c>
      <c r="J539" s="2" t="str">
        <f t="shared" si="16"/>
        <v>55-64</v>
      </c>
      <c r="K539" s="17" t="str">
        <f t="shared" si="17"/>
        <v>6-8</v>
      </c>
    </row>
    <row r="540" spans="1:11" x14ac:dyDescent="0.2">
      <c r="A540" s="4">
        <v>71</v>
      </c>
      <c r="B540" s="4">
        <v>6</v>
      </c>
      <c r="C540" t="s">
        <v>16</v>
      </c>
      <c r="D540" s="4">
        <v>0</v>
      </c>
      <c r="E540" s="3">
        <v>0.60352267895359502</v>
      </c>
      <c r="F540" s="4">
        <v>1</v>
      </c>
      <c r="G540" s="2">
        <v>1392.99</v>
      </c>
      <c r="H540" s="2">
        <v>1392.99</v>
      </c>
      <c r="I540" s="2">
        <v>1392.99</v>
      </c>
      <c r="J540" s="2" t="str">
        <f t="shared" si="16"/>
        <v>65-74</v>
      </c>
      <c r="K540" s="17" t="str">
        <f t="shared" si="17"/>
        <v>6-8</v>
      </c>
    </row>
    <row r="541" spans="1:11" x14ac:dyDescent="0.2">
      <c r="A541" s="4">
        <v>76</v>
      </c>
      <c r="B541" s="4">
        <v>12</v>
      </c>
      <c r="C541" t="s">
        <v>10</v>
      </c>
      <c r="D541" s="4">
        <v>0</v>
      </c>
      <c r="E541" s="3">
        <v>0.913696410483681</v>
      </c>
      <c r="F541" s="4">
        <v>1</v>
      </c>
      <c r="G541" s="2">
        <v>1582.89</v>
      </c>
      <c r="H541" s="2">
        <v>1582.89</v>
      </c>
      <c r="I541" s="2">
        <v>1582.89</v>
      </c>
      <c r="J541" s="2" t="str">
        <f t="shared" si="16"/>
        <v>75-90</v>
      </c>
      <c r="K541" s="17" t="str">
        <f t="shared" si="17"/>
        <v>12-15</v>
      </c>
    </row>
    <row r="542" spans="1:11" x14ac:dyDescent="0.2">
      <c r="A542" s="4">
        <v>21</v>
      </c>
      <c r="B542" s="4">
        <v>14</v>
      </c>
      <c r="C542" t="s">
        <v>8</v>
      </c>
      <c r="D542" s="4">
        <v>0</v>
      </c>
      <c r="E542" s="3">
        <v>0.85493780544493303</v>
      </c>
      <c r="F542" s="4">
        <v>1</v>
      </c>
      <c r="G542" s="2">
        <v>450.62</v>
      </c>
      <c r="H542" s="2">
        <v>450.62</v>
      </c>
      <c r="I542" s="2">
        <v>450.62</v>
      </c>
      <c r="J542" s="2" t="str">
        <f t="shared" si="16"/>
        <v>18-24</v>
      </c>
      <c r="K542" s="17" t="str">
        <f t="shared" si="17"/>
        <v>12-15</v>
      </c>
    </row>
    <row r="543" spans="1:11" x14ac:dyDescent="0.2">
      <c r="A543" s="4">
        <v>62</v>
      </c>
      <c r="B543" s="4">
        <v>0</v>
      </c>
      <c r="C543" t="s">
        <v>16</v>
      </c>
      <c r="D543" s="4">
        <v>2</v>
      </c>
      <c r="E543" s="3">
        <v>0.88987030729185801</v>
      </c>
      <c r="F543" s="4">
        <v>1</v>
      </c>
      <c r="G543" s="2">
        <v>1145.03</v>
      </c>
      <c r="H543" s="2">
        <v>1145.03</v>
      </c>
      <c r="I543" s="2">
        <v>1145.03</v>
      </c>
      <c r="J543" s="2" t="str">
        <f t="shared" si="16"/>
        <v>55-64</v>
      </c>
      <c r="K543" s="17" t="str">
        <f t="shared" si="17"/>
        <v>0-2</v>
      </c>
    </row>
    <row r="544" spans="1:11" x14ac:dyDescent="0.2">
      <c r="A544" s="4">
        <v>52</v>
      </c>
      <c r="B544" s="4">
        <v>10</v>
      </c>
      <c r="C544" t="s">
        <v>16</v>
      </c>
      <c r="D544" s="4">
        <v>0</v>
      </c>
      <c r="E544" s="3">
        <v>0.72121090942528099</v>
      </c>
      <c r="F544" s="4">
        <v>1</v>
      </c>
      <c r="G544" s="2">
        <v>616.16999999999996</v>
      </c>
      <c r="H544" s="2">
        <v>616.16999999999996</v>
      </c>
      <c r="I544" s="2">
        <v>616.16999999999996</v>
      </c>
      <c r="J544" s="2" t="str">
        <f t="shared" si="16"/>
        <v>45-54</v>
      </c>
      <c r="K544" s="17" t="str">
        <f t="shared" si="17"/>
        <v>9-11</v>
      </c>
    </row>
    <row r="545" spans="1:11" x14ac:dyDescent="0.2">
      <c r="A545" s="4">
        <v>58</v>
      </c>
      <c r="B545" s="4">
        <v>6</v>
      </c>
      <c r="C545" t="s">
        <v>16</v>
      </c>
      <c r="D545" s="4">
        <v>2</v>
      </c>
      <c r="E545" s="3">
        <v>0.91083311464171901</v>
      </c>
      <c r="F545" s="4">
        <v>2</v>
      </c>
      <c r="G545" s="2">
        <v>1990.37</v>
      </c>
      <c r="H545" s="2">
        <v>995.19</v>
      </c>
      <c r="I545" s="2">
        <v>1990.37</v>
      </c>
      <c r="J545" s="2" t="str">
        <f t="shared" si="16"/>
        <v>55-64</v>
      </c>
      <c r="K545" s="17" t="str">
        <f t="shared" si="17"/>
        <v>6-8</v>
      </c>
    </row>
    <row r="546" spans="1:11" x14ac:dyDescent="0.2">
      <c r="A546" s="4">
        <v>62</v>
      </c>
      <c r="B546" s="4">
        <v>9</v>
      </c>
      <c r="C546" t="s">
        <v>10</v>
      </c>
      <c r="D546" s="4">
        <v>2</v>
      </c>
      <c r="E546" s="3">
        <v>0.66366738930810198</v>
      </c>
      <c r="F546" s="4">
        <v>1</v>
      </c>
      <c r="G546" s="2">
        <v>1665.93</v>
      </c>
      <c r="H546" s="2">
        <v>1665.93</v>
      </c>
      <c r="I546" s="2">
        <v>1665.93</v>
      </c>
      <c r="J546" s="2" t="str">
        <f t="shared" si="16"/>
        <v>55-64</v>
      </c>
      <c r="K546" s="17" t="str">
        <f t="shared" si="17"/>
        <v>9-11</v>
      </c>
    </row>
    <row r="547" spans="1:11" x14ac:dyDescent="0.2">
      <c r="A547" s="4">
        <v>43</v>
      </c>
      <c r="B547" s="4">
        <v>14</v>
      </c>
      <c r="C547" t="s">
        <v>8</v>
      </c>
      <c r="D547" s="4">
        <v>0</v>
      </c>
      <c r="E547" s="3">
        <v>0.55170233349781495</v>
      </c>
      <c r="F547" s="4">
        <v>1</v>
      </c>
      <c r="G547" s="2">
        <v>276.7</v>
      </c>
      <c r="H547" s="2">
        <v>276.7</v>
      </c>
      <c r="I547" s="2">
        <v>276.7</v>
      </c>
      <c r="J547" s="2" t="str">
        <f t="shared" si="16"/>
        <v>35-44</v>
      </c>
      <c r="K547" s="17" t="str">
        <f t="shared" si="17"/>
        <v>12-15</v>
      </c>
    </row>
    <row r="548" spans="1:11" x14ac:dyDescent="0.2">
      <c r="A548" s="4">
        <v>73</v>
      </c>
      <c r="B548" s="4">
        <v>1</v>
      </c>
      <c r="C548" t="s">
        <v>8</v>
      </c>
      <c r="D548" s="4">
        <v>0</v>
      </c>
      <c r="E548" s="3">
        <v>0.89311709953471996</v>
      </c>
      <c r="F548" s="4">
        <v>1</v>
      </c>
      <c r="G548" s="2">
        <v>376.9</v>
      </c>
      <c r="H548" s="2">
        <v>376.9</v>
      </c>
      <c r="I548" s="2">
        <v>376.9</v>
      </c>
      <c r="J548" s="2" t="str">
        <f t="shared" si="16"/>
        <v>65-74</v>
      </c>
      <c r="K548" s="17" t="str">
        <f t="shared" si="17"/>
        <v>0-2</v>
      </c>
    </row>
    <row r="549" spans="1:11" x14ac:dyDescent="0.2">
      <c r="A549" s="4">
        <v>60</v>
      </c>
      <c r="B549" s="4">
        <v>12</v>
      </c>
      <c r="C549" t="s">
        <v>10</v>
      </c>
      <c r="D549" s="4">
        <v>1</v>
      </c>
      <c r="E549" s="3">
        <v>0.56331544520799104</v>
      </c>
      <c r="F549" s="4">
        <v>1</v>
      </c>
      <c r="G549" s="2">
        <v>1662.37</v>
      </c>
      <c r="H549" s="2">
        <v>1662.37</v>
      </c>
      <c r="I549" s="2">
        <v>1662.37</v>
      </c>
      <c r="J549" s="2" t="str">
        <f t="shared" si="16"/>
        <v>55-64</v>
      </c>
      <c r="K549" s="17" t="str">
        <f t="shared" si="17"/>
        <v>12-15</v>
      </c>
    </row>
    <row r="550" spans="1:11" x14ac:dyDescent="0.2">
      <c r="A550" s="4">
        <v>48</v>
      </c>
      <c r="B550" s="4">
        <v>2</v>
      </c>
      <c r="C550" t="s">
        <v>10</v>
      </c>
      <c r="D550" s="4">
        <v>1</v>
      </c>
      <c r="E550" s="3">
        <v>0.98694340407382697</v>
      </c>
      <c r="F550" s="4">
        <v>1</v>
      </c>
      <c r="G550" s="2">
        <v>649.99</v>
      </c>
      <c r="H550" s="2">
        <v>649.99</v>
      </c>
      <c r="I550" s="2">
        <v>649.99</v>
      </c>
      <c r="J550" s="2" t="str">
        <f t="shared" si="16"/>
        <v>45-54</v>
      </c>
      <c r="K550" s="17" t="str">
        <f t="shared" si="17"/>
        <v>0-2</v>
      </c>
    </row>
    <row r="551" spans="1:11" x14ac:dyDescent="0.2">
      <c r="A551" s="4">
        <v>65</v>
      </c>
      <c r="B551" s="4">
        <v>7</v>
      </c>
      <c r="C551" t="s">
        <v>16</v>
      </c>
      <c r="D551" s="4">
        <v>0</v>
      </c>
      <c r="E551" s="3">
        <v>0.89432701631449196</v>
      </c>
      <c r="F551" s="4">
        <v>2</v>
      </c>
      <c r="G551" s="2">
        <v>439.15</v>
      </c>
      <c r="H551" s="2">
        <v>219.58</v>
      </c>
      <c r="I551" s="2">
        <v>439.15</v>
      </c>
      <c r="J551" s="2" t="str">
        <f t="shared" si="16"/>
        <v>65-74</v>
      </c>
      <c r="K551" s="17" t="str">
        <f t="shared" si="17"/>
        <v>6-8</v>
      </c>
    </row>
    <row r="552" spans="1:11" x14ac:dyDescent="0.2">
      <c r="A552" s="4">
        <v>37</v>
      </c>
      <c r="B552" s="4">
        <v>14</v>
      </c>
      <c r="C552" t="s">
        <v>8</v>
      </c>
      <c r="D552" s="4">
        <v>0</v>
      </c>
      <c r="E552" s="3">
        <v>0.68259208428207796</v>
      </c>
      <c r="F552" s="4">
        <v>1</v>
      </c>
      <c r="G552" s="2">
        <v>487.65</v>
      </c>
      <c r="H552" s="2">
        <v>487.65</v>
      </c>
      <c r="I552" s="2">
        <v>487.65</v>
      </c>
      <c r="J552" s="2" t="str">
        <f t="shared" si="16"/>
        <v>35-44</v>
      </c>
      <c r="K552" s="17" t="str">
        <f t="shared" si="17"/>
        <v>12-15</v>
      </c>
    </row>
    <row r="553" spans="1:11" x14ac:dyDescent="0.2">
      <c r="A553" s="4">
        <v>75</v>
      </c>
      <c r="B553" s="4">
        <v>10</v>
      </c>
      <c r="C553" t="s">
        <v>10</v>
      </c>
      <c r="D553" s="4">
        <v>1</v>
      </c>
      <c r="E553" s="3">
        <v>0.79371798085048795</v>
      </c>
      <c r="F553" s="4">
        <v>1</v>
      </c>
      <c r="G553" s="2">
        <v>5386.65</v>
      </c>
      <c r="H553" s="2">
        <v>5386.65</v>
      </c>
      <c r="I553" s="2">
        <v>5386.65</v>
      </c>
      <c r="J553" s="2" t="str">
        <f t="shared" si="16"/>
        <v>75-90</v>
      </c>
      <c r="K553" s="17" t="str">
        <f t="shared" si="17"/>
        <v>9-11</v>
      </c>
    </row>
    <row r="554" spans="1:11" x14ac:dyDescent="0.2">
      <c r="A554" s="4">
        <v>86</v>
      </c>
      <c r="B554" s="4">
        <v>4</v>
      </c>
      <c r="C554" t="s">
        <v>16</v>
      </c>
      <c r="D554" s="4">
        <v>0</v>
      </c>
      <c r="E554" s="3">
        <v>0.69248642225284096</v>
      </c>
      <c r="F554" s="4">
        <v>1</v>
      </c>
      <c r="G554" s="2">
        <v>503.33</v>
      </c>
      <c r="H554" s="2">
        <v>503.33</v>
      </c>
      <c r="I554" s="2">
        <v>503.33</v>
      </c>
      <c r="J554" s="2" t="str">
        <f t="shared" si="16"/>
        <v>75-90</v>
      </c>
      <c r="K554" s="17" t="str">
        <f t="shared" si="17"/>
        <v>3-5</v>
      </c>
    </row>
    <row r="555" spans="1:11" x14ac:dyDescent="0.2">
      <c r="A555" s="4">
        <v>86</v>
      </c>
      <c r="B555" s="4">
        <v>6</v>
      </c>
      <c r="C555" t="s">
        <v>8</v>
      </c>
      <c r="D555" s="4">
        <v>2</v>
      </c>
      <c r="E555" s="3">
        <v>0.79762731178197999</v>
      </c>
      <c r="F555" s="4">
        <v>3</v>
      </c>
      <c r="G555" s="2">
        <v>5404.11</v>
      </c>
      <c r="H555" s="2">
        <v>1801.37</v>
      </c>
      <c r="I555" s="2">
        <v>5404.11</v>
      </c>
      <c r="J555" s="2" t="str">
        <f t="shared" si="16"/>
        <v>75-90</v>
      </c>
      <c r="K555" s="17" t="str">
        <f t="shared" si="17"/>
        <v>6-8</v>
      </c>
    </row>
    <row r="556" spans="1:11" x14ac:dyDescent="0.2">
      <c r="A556" s="4">
        <v>44</v>
      </c>
      <c r="B556" s="4">
        <v>14</v>
      </c>
      <c r="C556" t="s">
        <v>10</v>
      </c>
      <c r="D556" s="4">
        <v>0</v>
      </c>
      <c r="E556" s="3">
        <v>0.56730974756646901</v>
      </c>
      <c r="F556" s="4">
        <v>1</v>
      </c>
      <c r="G556" s="2">
        <v>838.07</v>
      </c>
      <c r="H556" s="2">
        <v>838.07</v>
      </c>
      <c r="I556" s="2">
        <v>838.07</v>
      </c>
      <c r="J556" s="2" t="str">
        <f t="shared" si="16"/>
        <v>35-44</v>
      </c>
      <c r="K556" s="17" t="str">
        <f t="shared" si="17"/>
        <v>12-15</v>
      </c>
    </row>
    <row r="557" spans="1:11" x14ac:dyDescent="0.2">
      <c r="A557" s="4">
        <v>46</v>
      </c>
      <c r="B557" s="4">
        <v>9</v>
      </c>
      <c r="C557" t="s">
        <v>8</v>
      </c>
      <c r="D557" s="4">
        <v>1</v>
      </c>
      <c r="E557" s="3">
        <v>0.84832459641620495</v>
      </c>
      <c r="F557" s="4">
        <v>1</v>
      </c>
      <c r="G557" s="2">
        <v>851.92</v>
      </c>
      <c r="H557" s="2">
        <v>851.92</v>
      </c>
      <c r="I557" s="2">
        <v>851.92</v>
      </c>
      <c r="J557" s="2" t="str">
        <f t="shared" si="16"/>
        <v>45-54</v>
      </c>
      <c r="K557" s="17" t="str">
        <f t="shared" si="17"/>
        <v>9-11</v>
      </c>
    </row>
    <row r="558" spans="1:11" x14ac:dyDescent="0.2">
      <c r="A558" s="4">
        <v>79</v>
      </c>
      <c r="B558" s="4">
        <v>10</v>
      </c>
      <c r="C558" t="s">
        <v>8</v>
      </c>
      <c r="D558" s="4">
        <v>1</v>
      </c>
      <c r="E558" s="3">
        <v>0.66628121328540102</v>
      </c>
      <c r="F558" s="4">
        <v>2</v>
      </c>
      <c r="G558" s="2">
        <v>3203.46</v>
      </c>
      <c r="H558" s="2">
        <v>1601.73</v>
      </c>
      <c r="I558" s="2">
        <v>3203.46</v>
      </c>
      <c r="J558" s="2" t="str">
        <f t="shared" si="16"/>
        <v>75-90</v>
      </c>
      <c r="K558" s="17" t="str">
        <f t="shared" si="17"/>
        <v>9-11</v>
      </c>
    </row>
    <row r="559" spans="1:11" x14ac:dyDescent="0.2">
      <c r="A559" s="4">
        <v>38</v>
      </c>
      <c r="B559" s="4">
        <v>2</v>
      </c>
      <c r="C559" t="s">
        <v>8</v>
      </c>
      <c r="D559" s="4">
        <v>0</v>
      </c>
      <c r="E559" s="3">
        <v>0.84802583127748199</v>
      </c>
      <c r="F559" s="4">
        <v>1</v>
      </c>
      <c r="G559" s="2">
        <v>307.39999999999998</v>
      </c>
      <c r="H559" s="2">
        <v>307.39999999999998</v>
      </c>
      <c r="I559" s="2">
        <v>307.39999999999998</v>
      </c>
      <c r="J559" s="2" t="str">
        <f t="shared" si="16"/>
        <v>35-44</v>
      </c>
      <c r="K559" s="17" t="str">
        <f t="shared" si="17"/>
        <v>0-2</v>
      </c>
    </row>
    <row r="560" spans="1:11" x14ac:dyDescent="0.2">
      <c r="A560" s="4">
        <v>64</v>
      </c>
      <c r="B560" s="4">
        <v>8</v>
      </c>
      <c r="C560" t="s">
        <v>16</v>
      </c>
      <c r="D560" s="4">
        <v>1</v>
      </c>
      <c r="E560" s="3">
        <v>0.65467519965022802</v>
      </c>
      <c r="F560" s="4">
        <v>1</v>
      </c>
      <c r="G560" s="2">
        <v>1574.05</v>
      </c>
      <c r="H560" s="2">
        <v>1574.05</v>
      </c>
      <c r="I560" s="2">
        <v>1574.05</v>
      </c>
      <c r="J560" s="2" t="str">
        <f t="shared" si="16"/>
        <v>55-64</v>
      </c>
      <c r="K560" s="17" t="str">
        <f t="shared" si="17"/>
        <v>6-8</v>
      </c>
    </row>
    <row r="561" spans="1:11" x14ac:dyDescent="0.2">
      <c r="A561" s="4">
        <v>49</v>
      </c>
      <c r="B561" s="4">
        <v>14</v>
      </c>
      <c r="C561" t="s">
        <v>8</v>
      </c>
      <c r="D561" s="4">
        <v>0</v>
      </c>
      <c r="E561" s="3">
        <v>0.60240988980513099</v>
      </c>
      <c r="F561" s="4">
        <v>1</v>
      </c>
      <c r="G561" s="2">
        <v>515.5</v>
      </c>
      <c r="H561" s="2">
        <v>515.5</v>
      </c>
      <c r="I561" s="2">
        <v>515.5</v>
      </c>
      <c r="J561" s="2" t="str">
        <f t="shared" si="16"/>
        <v>45-54</v>
      </c>
      <c r="K561" s="17" t="str">
        <f t="shared" si="17"/>
        <v>12-15</v>
      </c>
    </row>
    <row r="562" spans="1:11" x14ac:dyDescent="0.2">
      <c r="A562" s="4">
        <v>58</v>
      </c>
      <c r="B562" s="4">
        <v>7</v>
      </c>
      <c r="C562" t="s">
        <v>8</v>
      </c>
      <c r="D562" s="4">
        <v>0</v>
      </c>
      <c r="E562" s="3">
        <v>0.60472963913343802</v>
      </c>
      <c r="F562" s="4">
        <v>1</v>
      </c>
      <c r="G562" s="2">
        <v>656.43</v>
      </c>
      <c r="H562" s="2">
        <v>656.43</v>
      </c>
      <c r="I562" s="2">
        <v>656.43</v>
      </c>
      <c r="J562" s="2" t="str">
        <f t="shared" si="16"/>
        <v>55-64</v>
      </c>
      <c r="K562" s="17" t="str">
        <f t="shared" si="17"/>
        <v>6-8</v>
      </c>
    </row>
    <row r="563" spans="1:11" x14ac:dyDescent="0.2">
      <c r="A563" s="4">
        <v>65</v>
      </c>
      <c r="B563" s="4">
        <v>11</v>
      </c>
      <c r="C563" t="s">
        <v>8</v>
      </c>
      <c r="D563" s="4">
        <v>1</v>
      </c>
      <c r="E563" s="3">
        <v>0.84582318167667803</v>
      </c>
      <c r="F563" s="4">
        <v>2</v>
      </c>
      <c r="G563" s="2">
        <v>1253.24</v>
      </c>
      <c r="H563" s="2">
        <v>626.62</v>
      </c>
      <c r="I563" s="2">
        <v>1253.24</v>
      </c>
      <c r="J563" s="2" t="str">
        <f t="shared" si="16"/>
        <v>65-74</v>
      </c>
      <c r="K563" s="17" t="str">
        <f t="shared" si="17"/>
        <v>9-11</v>
      </c>
    </row>
    <row r="564" spans="1:11" x14ac:dyDescent="0.2">
      <c r="A564" s="4">
        <v>64</v>
      </c>
      <c r="B564" s="4">
        <v>11</v>
      </c>
      <c r="C564" t="s">
        <v>8</v>
      </c>
      <c r="D564" s="4">
        <v>1</v>
      </c>
      <c r="E564" s="3">
        <v>0.78461261349730205</v>
      </c>
      <c r="F564" s="4">
        <v>1</v>
      </c>
      <c r="G564" s="2">
        <v>2913.67</v>
      </c>
      <c r="H564" s="2">
        <v>2913.67</v>
      </c>
      <c r="I564" s="2">
        <v>2913.67</v>
      </c>
      <c r="J564" s="2" t="str">
        <f t="shared" si="16"/>
        <v>55-64</v>
      </c>
      <c r="K564" s="17" t="str">
        <f t="shared" si="17"/>
        <v>9-11</v>
      </c>
    </row>
    <row r="565" spans="1:11" x14ac:dyDescent="0.2">
      <c r="A565" s="4">
        <v>34</v>
      </c>
      <c r="B565" s="4">
        <v>6</v>
      </c>
      <c r="C565" t="s">
        <v>10</v>
      </c>
      <c r="D565" s="4">
        <v>1</v>
      </c>
      <c r="E565" s="3">
        <v>0.74125906883273296</v>
      </c>
      <c r="F565" s="4">
        <v>1</v>
      </c>
      <c r="G565" s="2">
        <v>1321.36</v>
      </c>
      <c r="H565" s="2">
        <v>1321.36</v>
      </c>
      <c r="I565" s="2">
        <v>1321.36</v>
      </c>
      <c r="J565" s="2" t="str">
        <f t="shared" si="16"/>
        <v>25-34</v>
      </c>
      <c r="K565" s="17" t="str">
        <f t="shared" si="17"/>
        <v>6-8</v>
      </c>
    </row>
    <row r="566" spans="1:11" x14ac:dyDescent="0.2">
      <c r="A566" s="4">
        <v>57</v>
      </c>
      <c r="B566" s="4">
        <v>4</v>
      </c>
      <c r="C566" t="s">
        <v>8</v>
      </c>
      <c r="D566" s="4">
        <v>1</v>
      </c>
      <c r="E566" s="3">
        <v>0.800547659629956</v>
      </c>
      <c r="F566" s="4">
        <v>1</v>
      </c>
      <c r="G566" s="2">
        <v>949.27</v>
      </c>
      <c r="H566" s="2">
        <v>949.27</v>
      </c>
      <c r="I566" s="2">
        <v>949.27</v>
      </c>
      <c r="J566" s="2" t="str">
        <f t="shared" si="16"/>
        <v>55-64</v>
      </c>
      <c r="K566" s="17" t="str">
        <f t="shared" si="17"/>
        <v>3-5</v>
      </c>
    </row>
    <row r="567" spans="1:11" x14ac:dyDescent="0.2">
      <c r="A567" s="4">
        <v>90</v>
      </c>
      <c r="B567" s="4">
        <v>11</v>
      </c>
      <c r="C567" t="s">
        <v>16</v>
      </c>
      <c r="D567" s="4">
        <v>1</v>
      </c>
      <c r="E567" s="3">
        <v>0.92189351818524301</v>
      </c>
      <c r="F567" s="4">
        <v>2</v>
      </c>
      <c r="G567" s="2">
        <v>2462.48</v>
      </c>
      <c r="H567" s="2">
        <v>1231.24</v>
      </c>
      <c r="I567" s="2">
        <v>2462.48</v>
      </c>
      <c r="J567" s="2" t="str">
        <f t="shared" si="16"/>
        <v>75-90</v>
      </c>
      <c r="K567" s="17" t="str">
        <f t="shared" si="17"/>
        <v>9-11</v>
      </c>
    </row>
    <row r="568" spans="1:11" x14ac:dyDescent="0.2">
      <c r="A568" s="4">
        <v>71</v>
      </c>
      <c r="B568" s="4">
        <v>10</v>
      </c>
      <c r="C568" t="s">
        <v>8</v>
      </c>
      <c r="D568" s="4">
        <v>0</v>
      </c>
      <c r="E568" s="3">
        <v>0.57850091485306598</v>
      </c>
      <c r="F568" s="4">
        <v>1</v>
      </c>
      <c r="G568" s="2">
        <v>1712.42</v>
      </c>
      <c r="H568" s="2">
        <v>1712.42</v>
      </c>
      <c r="I568" s="2">
        <v>1712.42</v>
      </c>
      <c r="J568" s="2" t="str">
        <f t="shared" si="16"/>
        <v>65-74</v>
      </c>
      <c r="K568" s="17" t="str">
        <f t="shared" si="17"/>
        <v>9-11</v>
      </c>
    </row>
    <row r="569" spans="1:11" x14ac:dyDescent="0.2">
      <c r="A569" s="4">
        <v>87</v>
      </c>
      <c r="B569" s="4">
        <v>2</v>
      </c>
      <c r="C569" t="s">
        <v>10</v>
      </c>
      <c r="D569" s="4">
        <v>0</v>
      </c>
      <c r="E569" s="3">
        <v>0.92494104348588702</v>
      </c>
      <c r="F569" s="4">
        <v>1</v>
      </c>
      <c r="G569" s="2">
        <v>940.89</v>
      </c>
      <c r="H569" s="2">
        <v>940.89</v>
      </c>
      <c r="I569" s="2">
        <v>940.89</v>
      </c>
      <c r="J569" s="2" t="str">
        <f t="shared" si="16"/>
        <v>75-90</v>
      </c>
      <c r="K569" s="17" t="str">
        <f t="shared" si="17"/>
        <v>0-2</v>
      </c>
    </row>
    <row r="570" spans="1:11" x14ac:dyDescent="0.2">
      <c r="A570" s="4">
        <v>81</v>
      </c>
      <c r="B570" s="4">
        <v>11</v>
      </c>
      <c r="C570" t="s">
        <v>8</v>
      </c>
      <c r="D570" s="4">
        <v>0</v>
      </c>
      <c r="E570" s="3">
        <v>0.72063157928641897</v>
      </c>
      <c r="F570" s="4">
        <v>1</v>
      </c>
      <c r="G570" s="2">
        <v>991.75</v>
      </c>
      <c r="H570" s="2">
        <v>991.75</v>
      </c>
      <c r="I570" s="2">
        <v>991.75</v>
      </c>
      <c r="J570" s="2" t="str">
        <f t="shared" si="16"/>
        <v>75-90</v>
      </c>
      <c r="K570" s="17" t="str">
        <f t="shared" si="17"/>
        <v>9-11</v>
      </c>
    </row>
    <row r="571" spans="1:11" x14ac:dyDescent="0.2">
      <c r="A571" s="4">
        <v>79</v>
      </c>
      <c r="B571" s="4">
        <v>8</v>
      </c>
      <c r="C571" t="s">
        <v>8</v>
      </c>
      <c r="D571" s="4">
        <v>0</v>
      </c>
      <c r="E571" s="3">
        <v>0.55529015080537603</v>
      </c>
      <c r="F571" s="4">
        <v>1</v>
      </c>
      <c r="G571" s="2">
        <v>1056.78</v>
      </c>
      <c r="H571" s="2">
        <v>1056.78</v>
      </c>
      <c r="I571" s="2">
        <v>1056.78</v>
      </c>
      <c r="J571" s="2" t="str">
        <f t="shared" si="16"/>
        <v>75-90</v>
      </c>
      <c r="K571" s="17" t="str">
        <f t="shared" si="17"/>
        <v>6-8</v>
      </c>
    </row>
    <row r="572" spans="1:11" x14ac:dyDescent="0.2">
      <c r="A572" s="4">
        <v>79</v>
      </c>
      <c r="B572" s="4">
        <v>11</v>
      </c>
      <c r="C572" t="s">
        <v>8</v>
      </c>
      <c r="D572" s="4">
        <v>1</v>
      </c>
      <c r="E572" s="3">
        <v>0.79820652212947596</v>
      </c>
      <c r="F572" s="4">
        <v>2</v>
      </c>
      <c r="G572" s="2">
        <v>5001.8</v>
      </c>
      <c r="H572" s="2">
        <v>2500.9</v>
      </c>
      <c r="I572" s="2">
        <v>5001.8</v>
      </c>
      <c r="J572" s="2" t="str">
        <f t="shared" si="16"/>
        <v>75-90</v>
      </c>
      <c r="K572" s="17" t="str">
        <f t="shared" si="17"/>
        <v>9-11</v>
      </c>
    </row>
    <row r="573" spans="1:11" x14ac:dyDescent="0.2">
      <c r="A573" s="4">
        <v>86</v>
      </c>
      <c r="B573" s="4">
        <v>12</v>
      </c>
      <c r="C573" t="s">
        <v>8</v>
      </c>
      <c r="D573" s="4">
        <v>0</v>
      </c>
      <c r="E573" s="3">
        <v>0.87036710092797898</v>
      </c>
      <c r="F573" s="4">
        <v>1</v>
      </c>
      <c r="G573" s="2">
        <v>530.45000000000005</v>
      </c>
      <c r="H573" s="2">
        <v>530.45000000000005</v>
      </c>
      <c r="I573" s="2">
        <v>530.45000000000005</v>
      </c>
      <c r="J573" s="2" t="str">
        <f t="shared" si="16"/>
        <v>75-90</v>
      </c>
      <c r="K573" s="17" t="str">
        <f t="shared" si="17"/>
        <v>12-15</v>
      </c>
    </row>
    <row r="574" spans="1:11" x14ac:dyDescent="0.2">
      <c r="A574" s="4">
        <v>65</v>
      </c>
      <c r="B574" s="4">
        <v>7</v>
      </c>
      <c r="C574" t="s">
        <v>8</v>
      </c>
      <c r="D574" s="4">
        <v>1</v>
      </c>
      <c r="E574" s="3">
        <v>0.57616825017612405</v>
      </c>
      <c r="F574" s="4">
        <v>1</v>
      </c>
      <c r="G574" s="2">
        <v>1196.18</v>
      </c>
      <c r="H574" s="2">
        <v>1196.18</v>
      </c>
      <c r="I574" s="2">
        <v>1196.18</v>
      </c>
      <c r="J574" s="2" t="str">
        <f t="shared" si="16"/>
        <v>65-74</v>
      </c>
      <c r="K574" s="17" t="str">
        <f t="shared" si="17"/>
        <v>6-8</v>
      </c>
    </row>
    <row r="575" spans="1:11" x14ac:dyDescent="0.2">
      <c r="A575" s="4">
        <v>53</v>
      </c>
      <c r="B575" s="4">
        <v>11</v>
      </c>
      <c r="C575" t="s">
        <v>16</v>
      </c>
      <c r="D575" s="4">
        <v>0</v>
      </c>
      <c r="E575" s="3">
        <v>0.83159870887175202</v>
      </c>
      <c r="F575" s="4">
        <v>1</v>
      </c>
      <c r="G575" s="2">
        <v>958.01</v>
      </c>
      <c r="H575" s="2">
        <v>958.01</v>
      </c>
      <c r="I575" s="2">
        <v>958.01</v>
      </c>
      <c r="J575" s="2" t="str">
        <f t="shared" si="16"/>
        <v>45-54</v>
      </c>
      <c r="K575" s="17" t="str">
        <f t="shared" si="17"/>
        <v>9-11</v>
      </c>
    </row>
    <row r="576" spans="1:11" x14ac:dyDescent="0.2">
      <c r="A576" s="4">
        <v>32</v>
      </c>
      <c r="B576" s="4">
        <v>14</v>
      </c>
      <c r="C576" t="s">
        <v>8</v>
      </c>
      <c r="D576" s="4">
        <v>1</v>
      </c>
      <c r="E576" s="3">
        <v>0.58621986396610704</v>
      </c>
      <c r="F576" s="4">
        <v>1</v>
      </c>
      <c r="G576" s="2">
        <v>842.84</v>
      </c>
      <c r="H576" s="2">
        <v>842.84</v>
      </c>
      <c r="I576" s="2">
        <v>842.84</v>
      </c>
      <c r="J576" s="2" t="str">
        <f t="shared" si="16"/>
        <v>25-34</v>
      </c>
      <c r="K576" s="17" t="str">
        <f t="shared" si="17"/>
        <v>12-15</v>
      </c>
    </row>
    <row r="577" spans="1:11" x14ac:dyDescent="0.2">
      <c r="A577" s="4">
        <v>51</v>
      </c>
      <c r="B577" s="4">
        <v>13</v>
      </c>
      <c r="C577" t="s">
        <v>8</v>
      </c>
      <c r="D577" s="4">
        <v>1</v>
      </c>
      <c r="E577" s="3">
        <v>0.99233058269601304</v>
      </c>
      <c r="F577" s="4">
        <v>1</v>
      </c>
      <c r="G577" s="2">
        <v>1916.42</v>
      </c>
      <c r="H577" s="2">
        <v>1916.42</v>
      </c>
      <c r="I577" s="2">
        <v>1916.42</v>
      </c>
      <c r="J577" s="2" t="str">
        <f t="shared" si="16"/>
        <v>45-54</v>
      </c>
      <c r="K577" s="17" t="str">
        <f t="shared" si="17"/>
        <v>12-15</v>
      </c>
    </row>
    <row r="578" spans="1:11" x14ac:dyDescent="0.2">
      <c r="A578" s="4">
        <v>79</v>
      </c>
      <c r="B578" s="4">
        <v>11</v>
      </c>
      <c r="C578" t="s">
        <v>10</v>
      </c>
      <c r="D578" s="4">
        <v>0</v>
      </c>
      <c r="E578" s="3">
        <v>0.60548681963700801</v>
      </c>
      <c r="F578" s="4">
        <v>1</v>
      </c>
      <c r="G578" s="2">
        <v>2264.4</v>
      </c>
      <c r="H578" s="2">
        <v>2264.4</v>
      </c>
      <c r="I578" s="2">
        <v>2264.4</v>
      </c>
      <c r="J578" s="2" t="str">
        <f t="shared" ref="J578:J641" si="18" xml:space="preserve"> IF(A578&lt;25,"18-24",
 IF(A578&lt;35,"25-34",
 IF(A578&lt;45,"35-44",
 IF(A578&lt;55,"45-54", IF(A578&lt;65, "55-64", IF(A578&lt;75, "65-74", "75-90"))))))</f>
        <v>75-90</v>
      </c>
      <c r="K578" s="17" t="str">
        <f t="shared" ref="K578:K641" si="19" xml:space="preserve"> IF(B578 &lt; 3, "0-2", IF(B578 &lt; 6, "3-5", IF(B578 &lt; 9, "6-8", IF(B578 &lt; 12, "9-11", "12-15"))))</f>
        <v>9-11</v>
      </c>
    </row>
    <row r="579" spans="1:11" x14ac:dyDescent="0.2">
      <c r="A579" s="4">
        <v>70</v>
      </c>
      <c r="B579" s="4">
        <v>12</v>
      </c>
      <c r="C579" t="s">
        <v>8</v>
      </c>
      <c r="D579" s="4">
        <v>0</v>
      </c>
      <c r="E579" s="3">
        <v>0.84759253985248495</v>
      </c>
      <c r="F579" s="4">
        <v>1</v>
      </c>
      <c r="G579" s="2">
        <v>640.20000000000005</v>
      </c>
      <c r="H579" s="2">
        <v>640.20000000000005</v>
      </c>
      <c r="I579" s="2">
        <v>640.20000000000005</v>
      </c>
      <c r="J579" s="2" t="str">
        <f t="shared" si="18"/>
        <v>65-74</v>
      </c>
      <c r="K579" s="17" t="str">
        <f t="shared" si="19"/>
        <v>12-15</v>
      </c>
    </row>
    <row r="580" spans="1:11" x14ac:dyDescent="0.2">
      <c r="A580" s="4">
        <v>38</v>
      </c>
      <c r="B580" s="4">
        <v>5</v>
      </c>
      <c r="C580" t="s">
        <v>8</v>
      </c>
      <c r="D580" s="4">
        <v>1</v>
      </c>
      <c r="E580" s="3">
        <v>0.72004229039885104</v>
      </c>
      <c r="F580" s="4">
        <v>2</v>
      </c>
      <c r="G580" s="2">
        <v>1007.52</v>
      </c>
      <c r="H580" s="2">
        <v>503.76</v>
      </c>
      <c r="I580" s="2">
        <v>1007.52</v>
      </c>
      <c r="J580" s="2" t="str">
        <f t="shared" si="18"/>
        <v>35-44</v>
      </c>
      <c r="K580" s="17" t="str">
        <f t="shared" si="19"/>
        <v>3-5</v>
      </c>
    </row>
    <row r="581" spans="1:11" x14ac:dyDescent="0.2">
      <c r="A581" s="4">
        <v>23</v>
      </c>
      <c r="B581" s="4">
        <v>3</v>
      </c>
      <c r="C581" t="s">
        <v>16</v>
      </c>
      <c r="D581" s="4">
        <v>0</v>
      </c>
      <c r="E581" s="3">
        <v>0.67512548272497996</v>
      </c>
      <c r="F581" s="4">
        <v>1</v>
      </c>
      <c r="G581" s="2">
        <v>519.82000000000005</v>
      </c>
      <c r="H581" s="2">
        <v>519.82000000000005</v>
      </c>
      <c r="I581" s="2">
        <v>519.82000000000005</v>
      </c>
      <c r="J581" s="2" t="str">
        <f t="shared" si="18"/>
        <v>18-24</v>
      </c>
      <c r="K581" s="17" t="str">
        <f t="shared" si="19"/>
        <v>3-5</v>
      </c>
    </row>
    <row r="582" spans="1:11" x14ac:dyDescent="0.2">
      <c r="A582" s="4">
        <v>81</v>
      </c>
      <c r="B582" s="4">
        <v>15</v>
      </c>
      <c r="C582" t="s">
        <v>10</v>
      </c>
      <c r="D582" s="4">
        <v>0</v>
      </c>
      <c r="E582" s="3">
        <v>0.64924744877498597</v>
      </c>
      <c r="F582" s="4">
        <v>1</v>
      </c>
      <c r="G582" s="2">
        <v>4245.28</v>
      </c>
      <c r="H582" s="2">
        <v>4245.28</v>
      </c>
      <c r="I582" s="2">
        <v>4245.28</v>
      </c>
      <c r="J582" s="2" t="str">
        <f t="shared" si="18"/>
        <v>75-90</v>
      </c>
      <c r="K582" s="17" t="str">
        <f t="shared" si="19"/>
        <v>12-15</v>
      </c>
    </row>
    <row r="583" spans="1:11" x14ac:dyDescent="0.2">
      <c r="A583" s="4">
        <v>86</v>
      </c>
      <c r="B583" s="4">
        <v>6</v>
      </c>
      <c r="C583" t="s">
        <v>8</v>
      </c>
      <c r="D583" s="4">
        <v>1</v>
      </c>
      <c r="E583" s="3">
        <v>0.55894210201222405</v>
      </c>
      <c r="F583" s="4">
        <v>1</v>
      </c>
      <c r="G583" s="2">
        <v>1701.33</v>
      </c>
      <c r="H583" s="2">
        <v>1701.33</v>
      </c>
      <c r="I583" s="2">
        <v>1701.33</v>
      </c>
      <c r="J583" s="2" t="str">
        <f t="shared" si="18"/>
        <v>75-90</v>
      </c>
      <c r="K583" s="17" t="str">
        <f t="shared" si="19"/>
        <v>6-8</v>
      </c>
    </row>
    <row r="584" spans="1:11" x14ac:dyDescent="0.2">
      <c r="A584" s="4">
        <v>41</v>
      </c>
      <c r="B584" s="4">
        <v>12</v>
      </c>
      <c r="C584" t="s">
        <v>8</v>
      </c>
      <c r="D584" s="4">
        <v>1</v>
      </c>
      <c r="E584" s="3">
        <v>0.985901037463918</v>
      </c>
      <c r="F584" s="4">
        <v>1</v>
      </c>
      <c r="G584" s="2">
        <v>911.9</v>
      </c>
      <c r="H584" s="2">
        <v>911.9</v>
      </c>
      <c r="I584" s="2">
        <v>911.9</v>
      </c>
      <c r="J584" s="2" t="str">
        <f t="shared" si="18"/>
        <v>35-44</v>
      </c>
      <c r="K584" s="17" t="str">
        <f t="shared" si="19"/>
        <v>12-15</v>
      </c>
    </row>
    <row r="585" spans="1:11" x14ac:dyDescent="0.2">
      <c r="A585" s="4">
        <v>74</v>
      </c>
      <c r="B585" s="4">
        <v>11</v>
      </c>
      <c r="C585" t="s">
        <v>8</v>
      </c>
      <c r="D585" s="4">
        <v>0</v>
      </c>
      <c r="E585" s="3">
        <v>0.70512060623150297</v>
      </c>
      <c r="F585" s="4">
        <v>2</v>
      </c>
      <c r="G585" s="2">
        <v>1179.1600000000001</v>
      </c>
      <c r="H585" s="2">
        <v>589.58000000000004</v>
      </c>
      <c r="I585" s="2">
        <v>1179.1600000000001</v>
      </c>
      <c r="J585" s="2" t="str">
        <f t="shared" si="18"/>
        <v>65-74</v>
      </c>
      <c r="K585" s="17" t="str">
        <f t="shared" si="19"/>
        <v>9-11</v>
      </c>
    </row>
    <row r="586" spans="1:11" x14ac:dyDescent="0.2">
      <c r="A586" s="4">
        <v>65</v>
      </c>
      <c r="B586" s="4">
        <v>15</v>
      </c>
      <c r="C586" t="s">
        <v>10</v>
      </c>
      <c r="D586" s="4">
        <v>1</v>
      </c>
      <c r="E586" s="3">
        <v>0.89181316038593605</v>
      </c>
      <c r="F586" s="4">
        <v>1</v>
      </c>
      <c r="G586" s="2">
        <v>856.42</v>
      </c>
      <c r="H586" s="2">
        <v>856.42</v>
      </c>
      <c r="I586" s="2">
        <v>856.42</v>
      </c>
      <c r="J586" s="2" t="str">
        <f t="shared" si="18"/>
        <v>65-74</v>
      </c>
      <c r="K586" s="17" t="str">
        <f t="shared" si="19"/>
        <v>12-15</v>
      </c>
    </row>
    <row r="587" spans="1:11" x14ac:dyDescent="0.2">
      <c r="A587" s="4">
        <v>90</v>
      </c>
      <c r="B587" s="4">
        <v>13</v>
      </c>
      <c r="C587" t="s">
        <v>8</v>
      </c>
      <c r="D587" s="4">
        <v>0</v>
      </c>
      <c r="E587" s="3">
        <v>0.72345655981916901</v>
      </c>
      <c r="F587" s="4">
        <v>2</v>
      </c>
      <c r="G587" s="2">
        <v>1964.67</v>
      </c>
      <c r="H587" s="2">
        <v>982.33</v>
      </c>
      <c r="I587" s="2">
        <v>1964.67</v>
      </c>
      <c r="J587" s="2" t="str">
        <f t="shared" si="18"/>
        <v>75-90</v>
      </c>
      <c r="K587" s="17" t="str">
        <f t="shared" si="19"/>
        <v>12-15</v>
      </c>
    </row>
    <row r="588" spans="1:11" x14ac:dyDescent="0.2">
      <c r="A588" s="4">
        <v>40</v>
      </c>
      <c r="B588" s="4">
        <v>14</v>
      </c>
      <c r="C588" t="s">
        <v>10</v>
      </c>
      <c r="D588" s="4">
        <v>1</v>
      </c>
      <c r="E588" s="3">
        <v>0.718877683277242</v>
      </c>
      <c r="F588" s="4">
        <v>1</v>
      </c>
      <c r="G588" s="2">
        <v>904.26</v>
      </c>
      <c r="H588" s="2">
        <v>904.26</v>
      </c>
      <c r="I588" s="2">
        <v>904.26</v>
      </c>
      <c r="J588" s="2" t="str">
        <f t="shared" si="18"/>
        <v>35-44</v>
      </c>
      <c r="K588" s="17" t="str">
        <f t="shared" si="19"/>
        <v>12-15</v>
      </c>
    </row>
    <row r="589" spans="1:11" x14ac:dyDescent="0.2">
      <c r="A589" s="4">
        <v>87</v>
      </c>
      <c r="B589" s="4">
        <v>5</v>
      </c>
      <c r="C589" t="s">
        <v>8</v>
      </c>
      <c r="D589" s="4">
        <v>0</v>
      </c>
      <c r="E589" s="3">
        <v>0.66985034279059597</v>
      </c>
      <c r="F589" s="4">
        <v>1</v>
      </c>
      <c r="G589" s="2">
        <v>679.09</v>
      </c>
      <c r="H589" s="2">
        <v>679.09</v>
      </c>
      <c r="I589" s="2">
        <v>679.09</v>
      </c>
      <c r="J589" s="2" t="str">
        <f t="shared" si="18"/>
        <v>75-90</v>
      </c>
      <c r="K589" s="17" t="str">
        <f t="shared" si="19"/>
        <v>3-5</v>
      </c>
    </row>
    <row r="590" spans="1:11" x14ac:dyDescent="0.2">
      <c r="A590" s="4">
        <v>28</v>
      </c>
      <c r="B590" s="4">
        <v>7</v>
      </c>
      <c r="C590" t="s">
        <v>16</v>
      </c>
      <c r="D590" s="4">
        <v>1</v>
      </c>
      <c r="E590" s="3">
        <v>0.73753172194119498</v>
      </c>
      <c r="F590" s="4">
        <v>1</v>
      </c>
      <c r="G590" s="2">
        <v>809.32</v>
      </c>
      <c r="H590" s="2">
        <v>809.32</v>
      </c>
      <c r="I590" s="2">
        <v>809.32</v>
      </c>
      <c r="J590" s="2" t="str">
        <f t="shared" si="18"/>
        <v>25-34</v>
      </c>
      <c r="K590" s="17" t="str">
        <f t="shared" si="19"/>
        <v>6-8</v>
      </c>
    </row>
    <row r="591" spans="1:11" x14ac:dyDescent="0.2">
      <c r="A591" s="4">
        <v>77</v>
      </c>
      <c r="B591" s="4">
        <v>12</v>
      </c>
      <c r="C591" t="s">
        <v>8</v>
      </c>
      <c r="D591" s="4">
        <v>1</v>
      </c>
      <c r="E591" s="3">
        <v>0.62116601353045597</v>
      </c>
      <c r="F591" s="4">
        <v>1</v>
      </c>
      <c r="G591" s="2">
        <v>1167.83</v>
      </c>
      <c r="H591" s="2">
        <v>1167.83</v>
      </c>
      <c r="I591" s="2">
        <v>1167.83</v>
      </c>
      <c r="J591" s="2" t="str">
        <f t="shared" si="18"/>
        <v>75-90</v>
      </c>
      <c r="K591" s="17" t="str">
        <f t="shared" si="19"/>
        <v>12-15</v>
      </c>
    </row>
    <row r="592" spans="1:11" x14ac:dyDescent="0.2">
      <c r="A592" s="4">
        <v>74</v>
      </c>
      <c r="B592" s="4">
        <v>4</v>
      </c>
      <c r="C592" t="s">
        <v>8</v>
      </c>
      <c r="D592" s="4">
        <v>0</v>
      </c>
      <c r="E592" s="3">
        <v>0.77824287756811805</v>
      </c>
      <c r="F592" s="4">
        <v>1</v>
      </c>
      <c r="G592" s="2">
        <v>532.14</v>
      </c>
      <c r="H592" s="2">
        <v>532.14</v>
      </c>
      <c r="I592" s="2">
        <v>532.14</v>
      </c>
      <c r="J592" s="2" t="str">
        <f t="shared" si="18"/>
        <v>65-74</v>
      </c>
      <c r="K592" s="17" t="str">
        <f t="shared" si="19"/>
        <v>3-5</v>
      </c>
    </row>
    <row r="593" spans="1:11" x14ac:dyDescent="0.2">
      <c r="A593" s="4">
        <v>85</v>
      </c>
      <c r="B593" s="4">
        <v>3</v>
      </c>
      <c r="C593" t="s">
        <v>8</v>
      </c>
      <c r="D593" s="4">
        <v>0</v>
      </c>
      <c r="E593" s="3">
        <v>0.56393285992089703</v>
      </c>
      <c r="F593" s="4">
        <v>1</v>
      </c>
      <c r="G593" s="2">
        <v>1446.32</v>
      </c>
      <c r="H593" s="2">
        <v>1446.32</v>
      </c>
      <c r="I593" s="2">
        <v>1446.32</v>
      </c>
      <c r="J593" s="2" t="str">
        <f t="shared" si="18"/>
        <v>75-90</v>
      </c>
      <c r="K593" s="17" t="str">
        <f t="shared" si="19"/>
        <v>3-5</v>
      </c>
    </row>
    <row r="594" spans="1:11" x14ac:dyDescent="0.2">
      <c r="A594" s="4">
        <v>75</v>
      </c>
      <c r="B594" s="4">
        <v>11</v>
      </c>
      <c r="C594" t="s">
        <v>8</v>
      </c>
      <c r="D594" s="4">
        <v>0</v>
      </c>
      <c r="E594" s="3">
        <v>0.56598872423637703</v>
      </c>
      <c r="F594" s="4">
        <v>1</v>
      </c>
      <c r="G594" s="2">
        <v>450.84</v>
      </c>
      <c r="H594" s="2">
        <v>450.84</v>
      </c>
      <c r="I594" s="2">
        <v>450.84</v>
      </c>
      <c r="J594" s="2" t="str">
        <f t="shared" si="18"/>
        <v>75-90</v>
      </c>
      <c r="K594" s="17" t="str">
        <f t="shared" si="19"/>
        <v>9-11</v>
      </c>
    </row>
    <row r="595" spans="1:11" x14ac:dyDescent="0.2">
      <c r="A595" s="4">
        <v>63</v>
      </c>
      <c r="B595" s="4">
        <v>8</v>
      </c>
      <c r="C595" t="s">
        <v>10</v>
      </c>
      <c r="D595" s="4">
        <v>0</v>
      </c>
      <c r="E595" s="3">
        <v>0.66121972189284905</v>
      </c>
      <c r="F595" s="4">
        <v>1</v>
      </c>
      <c r="G595" s="2">
        <v>627.63</v>
      </c>
      <c r="H595" s="2">
        <v>627.63</v>
      </c>
      <c r="I595" s="2">
        <v>627.63</v>
      </c>
      <c r="J595" s="2" t="str">
        <f t="shared" si="18"/>
        <v>55-64</v>
      </c>
      <c r="K595" s="17" t="str">
        <f t="shared" si="19"/>
        <v>6-8</v>
      </c>
    </row>
    <row r="596" spans="1:11" x14ac:dyDescent="0.2">
      <c r="A596" s="4">
        <v>54</v>
      </c>
      <c r="B596" s="4">
        <v>2</v>
      </c>
      <c r="C596" t="s">
        <v>16</v>
      </c>
      <c r="D596" s="4">
        <v>0</v>
      </c>
      <c r="E596" s="3">
        <v>0.95492556411773</v>
      </c>
      <c r="F596" s="4">
        <v>1</v>
      </c>
      <c r="G596" s="2">
        <v>567.32000000000005</v>
      </c>
      <c r="H596" s="2">
        <v>567.32000000000005</v>
      </c>
      <c r="I596" s="2">
        <v>567.32000000000005</v>
      </c>
      <c r="J596" s="2" t="str">
        <f t="shared" si="18"/>
        <v>45-54</v>
      </c>
      <c r="K596" s="17" t="str">
        <f t="shared" si="19"/>
        <v>0-2</v>
      </c>
    </row>
    <row r="597" spans="1:11" x14ac:dyDescent="0.2">
      <c r="A597" s="4">
        <v>82</v>
      </c>
      <c r="B597" s="4">
        <v>12</v>
      </c>
      <c r="C597" t="s">
        <v>16</v>
      </c>
      <c r="D597" s="4">
        <v>0</v>
      </c>
      <c r="E597" s="3">
        <v>0.73067604447714996</v>
      </c>
      <c r="F597" s="4">
        <v>1</v>
      </c>
      <c r="G597" s="2">
        <v>1299.7</v>
      </c>
      <c r="H597" s="2">
        <v>1299.7</v>
      </c>
      <c r="I597" s="2">
        <v>1299.7</v>
      </c>
      <c r="J597" s="2" t="str">
        <f t="shared" si="18"/>
        <v>75-90</v>
      </c>
      <c r="K597" s="17" t="str">
        <f t="shared" si="19"/>
        <v>12-15</v>
      </c>
    </row>
    <row r="598" spans="1:11" x14ac:dyDescent="0.2">
      <c r="A598" s="4">
        <v>85</v>
      </c>
      <c r="B598" s="4">
        <v>1</v>
      </c>
      <c r="C598" t="s">
        <v>10</v>
      </c>
      <c r="D598" s="4">
        <v>2</v>
      </c>
      <c r="E598" s="3">
        <v>0.89275065052788705</v>
      </c>
      <c r="F598" s="4">
        <v>2</v>
      </c>
      <c r="G598" s="2">
        <v>1049.9000000000001</v>
      </c>
      <c r="H598" s="2">
        <v>524.95000000000005</v>
      </c>
      <c r="I598" s="2">
        <v>1049.9000000000001</v>
      </c>
      <c r="J598" s="2" t="str">
        <f t="shared" si="18"/>
        <v>75-90</v>
      </c>
      <c r="K598" s="17" t="str">
        <f t="shared" si="19"/>
        <v>0-2</v>
      </c>
    </row>
    <row r="599" spans="1:11" x14ac:dyDescent="0.2">
      <c r="A599" s="4">
        <v>30</v>
      </c>
      <c r="B599" s="4">
        <v>2</v>
      </c>
      <c r="C599" t="s">
        <v>8</v>
      </c>
      <c r="D599" s="4">
        <v>0</v>
      </c>
      <c r="E599" s="3">
        <v>0.74376538267824799</v>
      </c>
      <c r="F599" s="4">
        <v>1</v>
      </c>
      <c r="G599" s="2">
        <v>282.02999999999997</v>
      </c>
      <c r="H599" s="2">
        <v>282.02999999999997</v>
      </c>
      <c r="I599" s="2">
        <v>282.02999999999997</v>
      </c>
      <c r="J599" s="2" t="str">
        <f t="shared" si="18"/>
        <v>25-34</v>
      </c>
      <c r="K599" s="17" t="str">
        <f t="shared" si="19"/>
        <v>0-2</v>
      </c>
    </row>
    <row r="600" spans="1:11" x14ac:dyDescent="0.2">
      <c r="A600" s="4">
        <v>69</v>
      </c>
      <c r="B600" s="4">
        <v>7</v>
      </c>
      <c r="C600" t="s">
        <v>16</v>
      </c>
      <c r="D600" s="4">
        <v>1</v>
      </c>
      <c r="E600" s="3">
        <v>0.92289413791149899</v>
      </c>
      <c r="F600" s="4">
        <v>3</v>
      </c>
      <c r="G600" s="2">
        <v>1607.26</v>
      </c>
      <c r="H600" s="2">
        <v>535.75</v>
      </c>
      <c r="I600" s="2">
        <v>1607.26</v>
      </c>
      <c r="J600" s="2" t="str">
        <f t="shared" si="18"/>
        <v>65-74</v>
      </c>
      <c r="K600" s="17" t="str">
        <f t="shared" si="19"/>
        <v>6-8</v>
      </c>
    </row>
    <row r="601" spans="1:11" x14ac:dyDescent="0.2">
      <c r="A601" s="4">
        <v>83</v>
      </c>
      <c r="B601" s="4">
        <v>5</v>
      </c>
      <c r="C601" t="s">
        <v>8</v>
      </c>
      <c r="D601" s="4">
        <v>0</v>
      </c>
      <c r="E601" s="3">
        <v>0.95583166042342804</v>
      </c>
      <c r="F601" s="4">
        <v>1</v>
      </c>
      <c r="G601" s="2">
        <v>967.85</v>
      </c>
      <c r="H601" s="2">
        <v>967.85</v>
      </c>
      <c r="I601" s="2">
        <v>967.85</v>
      </c>
      <c r="J601" s="2" t="str">
        <f t="shared" si="18"/>
        <v>75-90</v>
      </c>
      <c r="K601" s="17" t="str">
        <f t="shared" si="19"/>
        <v>3-5</v>
      </c>
    </row>
    <row r="602" spans="1:11" x14ac:dyDescent="0.2">
      <c r="A602" s="4">
        <v>67</v>
      </c>
      <c r="B602" s="4">
        <v>12</v>
      </c>
      <c r="C602" t="s">
        <v>10</v>
      </c>
      <c r="D602" s="4">
        <v>0</v>
      </c>
      <c r="E602" s="3">
        <v>0.67006433522328701</v>
      </c>
      <c r="F602" s="4">
        <v>2</v>
      </c>
      <c r="G602" s="2">
        <v>4269.95</v>
      </c>
      <c r="H602" s="2">
        <v>2134.9699999999998</v>
      </c>
      <c r="I602" s="2">
        <v>4269.95</v>
      </c>
      <c r="J602" s="2" t="str">
        <f t="shared" si="18"/>
        <v>65-74</v>
      </c>
      <c r="K602" s="17" t="str">
        <f t="shared" si="19"/>
        <v>12-15</v>
      </c>
    </row>
    <row r="603" spans="1:11" x14ac:dyDescent="0.2">
      <c r="A603" s="4">
        <v>38</v>
      </c>
      <c r="B603" s="4">
        <v>8</v>
      </c>
      <c r="C603" t="s">
        <v>10</v>
      </c>
      <c r="D603" s="4">
        <v>0</v>
      </c>
      <c r="E603" s="3">
        <v>0.54716623330023095</v>
      </c>
      <c r="F603" s="4">
        <v>1</v>
      </c>
      <c r="G603" s="2">
        <v>612.51</v>
      </c>
      <c r="H603" s="2">
        <v>612.51</v>
      </c>
      <c r="I603" s="2">
        <v>612.51</v>
      </c>
      <c r="J603" s="2" t="str">
        <f t="shared" si="18"/>
        <v>35-44</v>
      </c>
      <c r="K603" s="17" t="str">
        <f t="shared" si="19"/>
        <v>6-8</v>
      </c>
    </row>
    <row r="604" spans="1:11" x14ac:dyDescent="0.2">
      <c r="A604" s="4">
        <v>34</v>
      </c>
      <c r="B604" s="4">
        <v>7</v>
      </c>
      <c r="C604" t="s">
        <v>8</v>
      </c>
      <c r="D604" s="4">
        <v>0</v>
      </c>
      <c r="E604" s="3">
        <v>0.82759629690554004</v>
      </c>
      <c r="F604" s="4">
        <v>1</v>
      </c>
      <c r="G604" s="2">
        <v>615.98</v>
      </c>
      <c r="H604" s="2">
        <v>615.98</v>
      </c>
      <c r="I604" s="2">
        <v>615.98</v>
      </c>
      <c r="J604" s="2" t="str">
        <f t="shared" si="18"/>
        <v>25-34</v>
      </c>
      <c r="K604" s="17" t="str">
        <f t="shared" si="19"/>
        <v>6-8</v>
      </c>
    </row>
    <row r="605" spans="1:11" x14ac:dyDescent="0.2">
      <c r="A605" s="4">
        <v>65</v>
      </c>
      <c r="B605" s="4">
        <v>10</v>
      </c>
      <c r="C605" t="s">
        <v>16</v>
      </c>
      <c r="D605" s="4">
        <v>1</v>
      </c>
      <c r="E605" s="3">
        <v>0.815465341322124</v>
      </c>
      <c r="F605" s="4">
        <v>1</v>
      </c>
      <c r="G605" s="2">
        <v>1862.39</v>
      </c>
      <c r="H605" s="2">
        <v>1862.39</v>
      </c>
      <c r="I605" s="2">
        <v>1862.39</v>
      </c>
      <c r="J605" s="2" t="str">
        <f t="shared" si="18"/>
        <v>65-74</v>
      </c>
      <c r="K605" s="17" t="str">
        <f t="shared" si="19"/>
        <v>9-11</v>
      </c>
    </row>
    <row r="606" spans="1:11" x14ac:dyDescent="0.2">
      <c r="A606" s="4">
        <v>52</v>
      </c>
      <c r="B606" s="4">
        <v>13</v>
      </c>
      <c r="C606" t="s">
        <v>10</v>
      </c>
      <c r="D606" s="4">
        <v>0</v>
      </c>
      <c r="E606" s="3">
        <v>0.87263911811169204</v>
      </c>
      <c r="F606" s="4">
        <v>1</v>
      </c>
      <c r="G606" s="2">
        <v>2379.79</v>
      </c>
      <c r="H606" s="2">
        <v>2379.79</v>
      </c>
      <c r="I606" s="2">
        <v>2379.79</v>
      </c>
      <c r="J606" s="2" t="str">
        <f t="shared" si="18"/>
        <v>45-54</v>
      </c>
      <c r="K606" s="17" t="str">
        <f t="shared" si="19"/>
        <v>12-15</v>
      </c>
    </row>
    <row r="607" spans="1:11" x14ac:dyDescent="0.2">
      <c r="A607" s="4">
        <v>38</v>
      </c>
      <c r="B607" s="4">
        <v>13</v>
      </c>
      <c r="C607" t="s">
        <v>8</v>
      </c>
      <c r="D607" s="4">
        <v>1</v>
      </c>
      <c r="E607" s="3">
        <v>0.74249413923826102</v>
      </c>
      <c r="F607" s="4">
        <v>2</v>
      </c>
      <c r="G607" s="2">
        <v>951.77</v>
      </c>
      <c r="H607" s="2">
        <v>475.89</v>
      </c>
      <c r="I607" s="2">
        <v>951.77</v>
      </c>
      <c r="J607" s="2" t="str">
        <f t="shared" si="18"/>
        <v>35-44</v>
      </c>
      <c r="K607" s="17" t="str">
        <f t="shared" si="19"/>
        <v>12-15</v>
      </c>
    </row>
    <row r="608" spans="1:11" x14ac:dyDescent="0.2">
      <c r="A608" s="4">
        <v>69</v>
      </c>
      <c r="B608" s="4">
        <v>5</v>
      </c>
      <c r="C608" t="s">
        <v>16</v>
      </c>
      <c r="D608" s="4">
        <v>1</v>
      </c>
      <c r="E608" s="3">
        <v>0.84899338509421796</v>
      </c>
      <c r="F608" s="4">
        <v>1</v>
      </c>
      <c r="G608" s="2">
        <v>771.21</v>
      </c>
      <c r="H608" s="2">
        <v>771.21</v>
      </c>
      <c r="I608" s="2">
        <v>771.21</v>
      </c>
      <c r="J608" s="2" t="str">
        <f t="shared" si="18"/>
        <v>65-74</v>
      </c>
      <c r="K608" s="17" t="str">
        <f t="shared" si="19"/>
        <v>3-5</v>
      </c>
    </row>
    <row r="609" spans="1:11" x14ac:dyDescent="0.2">
      <c r="A609" s="4">
        <v>28</v>
      </c>
      <c r="B609" s="4">
        <v>14</v>
      </c>
      <c r="C609" t="s">
        <v>10</v>
      </c>
      <c r="D609" s="4">
        <v>0</v>
      </c>
      <c r="E609" s="3">
        <v>0.73685505089815695</v>
      </c>
      <c r="F609" s="4">
        <v>1</v>
      </c>
      <c r="G609" s="2">
        <v>495.42</v>
      </c>
      <c r="H609" s="2">
        <v>495.42</v>
      </c>
      <c r="I609" s="2">
        <v>495.42</v>
      </c>
      <c r="J609" s="2" t="str">
        <f t="shared" si="18"/>
        <v>25-34</v>
      </c>
      <c r="K609" s="17" t="str">
        <f t="shared" si="19"/>
        <v>12-15</v>
      </c>
    </row>
    <row r="610" spans="1:11" x14ac:dyDescent="0.2">
      <c r="A610" s="4">
        <v>79</v>
      </c>
      <c r="B610" s="4">
        <v>4</v>
      </c>
      <c r="C610" t="s">
        <v>8</v>
      </c>
      <c r="D610" s="4">
        <v>0</v>
      </c>
      <c r="E610" s="3">
        <v>0.81292075046803802</v>
      </c>
      <c r="F610" s="4">
        <v>1</v>
      </c>
      <c r="G610" s="2">
        <v>612.32000000000005</v>
      </c>
      <c r="H610" s="2">
        <v>612.32000000000005</v>
      </c>
      <c r="I610" s="2">
        <v>612.32000000000005</v>
      </c>
      <c r="J610" s="2" t="str">
        <f t="shared" si="18"/>
        <v>75-90</v>
      </c>
      <c r="K610" s="17" t="str">
        <f t="shared" si="19"/>
        <v>3-5</v>
      </c>
    </row>
    <row r="611" spans="1:11" x14ac:dyDescent="0.2">
      <c r="A611" s="4">
        <v>61</v>
      </c>
      <c r="B611" s="4">
        <v>3</v>
      </c>
      <c r="C611" t="s">
        <v>8</v>
      </c>
      <c r="D611" s="4">
        <v>1</v>
      </c>
      <c r="E611" s="3">
        <v>0.74571757158264496</v>
      </c>
      <c r="F611" s="4">
        <v>2</v>
      </c>
      <c r="G611" s="2">
        <v>1477</v>
      </c>
      <c r="H611" s="2">
        <v>738.5</v>
      </c>
      <c r="I611" s="2">
        <v>1477</v>
      </c>
      <c r="J611" s="2" t="str">
        <f t="shared" si="18"/>
        <v>55-64</v>
      </c>
      <c r="K611" s="17" t="str">
        <f t="shared" si="19"/>
        <v>3-5</v>
      </c>
    </row>
    <row r="612" spans="1:11" x14ac:dyDescent="0.2">
      <c r="A612" s="4">
        <v>78</v>
      </c>
      <c r="B612" s="4">
        <v>9</v>
      </c>
      <c r="C612" t="s">
        <v>10</v>
      </c>
      <c r="D612" s="4">
        <v>0</v>
      </c>
      <c r="E612" s="3">
        <v>0.76632364012766596</v>
      </c>
      <c r="F612" s="4">
        <v>1</v>
      </c>
      <c r="G612" s="2">
        <v>1501.41</v>
      </c>
      <c r="H612" s="2">
        <v>1501.41</v>
      </c>
      <c r="I612" s="2">
        <v>1501.41</v>
      </c>
      <c r="J612" s="2" t="str">
        <f t="shared" si="18"/>
        <v>75-90</v>
      </c>
      <c r="K612" s="17" t="str">
        <f t="shared" si="19"/>
        <v>9-11</v>
      </c>
    </row>
    <row r="613" spans="1:11" x14ac:dyDescent="0.2">
      <c r="A613" s="4">
        <v>44</v>
      </c>
      <c r="B613" s="4">
        <v>11</v>
      </c>
      <c r="C613" t="s">
        <v>8</v>
      </c>
      <c r="D613" s="4">
        <v>0</v>
      </c>
      <c r="E613" s="3">
        <v>0.63567927770782295</v>
      </c>
      <c r="F613" s="4">
        <v>1</v>
      </c>
      <c r="G613" s="2">
        <v>708.47</v>
      </c>
      <c r="H613" s="2">
        <v>708.47</v>
      </c>
      <c r="I613" s="2">
        <v>708.47</v>
      </c>
      <c r="J613" s="2" t="str">
        <f t="shared" si="18"/>
        <v>35-44</v>
      </c>
      <c r="K613" s="17" t="str">
        <f t="shared" si="19"/>
        <v>9-11</v>
      </c>
    </row>
    <row r="614" spans="1:11" x14ac:dyDescent="0.2">
      <c r="A614" s="4">
        <v>61</v>
      </c>
      <c r="B614" s="4">
        <v>4</v>
      </c>
      <c r="C614" t="s">
        <v>8</v>
      </c>
      <c r="D614" s="4">
        <v>0</v>
      </c>
      <c r="E614" s="3">
        <v>0.89470142254140195</v>
      </c>
      <c r="F614" s="4">
        <v>1</v>
      </c>
      <c r="G614" s="2">
        <v>328.34</v>
      </c>
      <c r="H614" s="2">
        <v>328.34</v>
      </c>
      <c r="I614" s="2">
        <v>328.34</v>
      </c>
      <c r="J614" s="2" t="str">
        <f t="shared" si="18"/>
        <v>55-64</v>
      </c>
      <c r="K614" s="17" t="str">
        <f t="shared" si="19"/>
        <v>3-5</v>
      </c>
    </row>
    <row r="615" spans="1:11" x14ac:dyDescent="0.2">
      <c r="A615" s="4">
        <v>79</v>
      </c>
      <c r="B615" s="4">
        <v>2</v>
      </c>
      <c r="C615" t="s">
        <v>16</v>
      </c>
      <c r="D615" s="4">
        <v>0</v>
      </c>
      <c r="E615" s="3">
        <v>0.63204610056709498</v>
      </c>
      <c r="F615" s="4">
        <v>2</v>
      </c>
      <c r="G615" s="2">
        <v>1068.07</v>
      </c>
      <c r="H615" s="2">
        <v>534.04</v>
      </c>
      <c r="I615" s="2">
        <v>1068.07</v>
      </c>
      <c r="J615" s="2" t="str">
        <f t="shared" si="18"/>
        <v>75-90</v>
      </c>
      <c r="K615" s="17" t="str">
        <f t="shared" si="19"/>
        <v>0-2</v>
      </c>
    </row>
    <row r="616" spans="1:11" x14ac:dyDescent="0.2">
      <c r="A616" s="4">
        <v>62</v>
      </c>
      <c r="B616" s="4">
        <v>6</v>
      </c>
      <c r="C616" t="s">
        <v>8</v>
      </c>
      <c r="D616" s="4">
        <v>1</v>
      </c>
      <c r="E616" s="3">
        <v>0.84175170806702204</v>
      </c>
      <c r="F616" s="4">
        <v>1</v>
      </c>
      <c r="G616" s="2">
        <v>940.48</v>
      </c>
      <c r="H616" s="2">
        <v>940.48</v>
      </c>
      <c r="I616" s="2">
        <v>940.48</v>
      </c>
      <c r="J616" s="2" t="str">
        <f t="shared" si="18"/>
        <v>55-64</v>
      </c>
      <c r="K616" s="17" t="str">
        <f t="shared" si="19"/>
        <v>6-8</v>
      </c>
    </row>
    <row r="617" spans="1:11" x14ac:dyDescent="0.2">
      <c r="A617" s="4">
        <v>86</v>
      </c>
      <c r="B617" s="4">
        <v>7</v>
      </c>
      <c r="C617" t="s">
        <v>16</v>
      </c>
      <c r="D617" s="4">
        <v>0</v>
      </c>
      <c r="E617" s="3">
        <v>0.99753465794492502</v>
      </c>
      <c r="F617" s="4">
        <v>3</v>
      </c>
      <c r="G617" s="2">
        <v>924.92</v>
      </c>
      <c r="H617" s="2">
        <v>308.31</v>
      </c>
      <c r="I617" s="2">
        <v>924.92</v>
      </c>
      <c r="J617" s="2" t="str">
        <f t="shared" si="18"/>
        <v>75-90</v>
      </c>
      <c r="K617" s="17" t="str">
        <f t="shared" si="19"/>
        <v>6-8</v>
      </c>
    </row>
    <row r="618" spans="1:11" x14ac:dyDescent="0.2">
      <c r="A618" s="4">
        <v>80</v>
      </c>
      <c r="B618" s="4">
        <v>10</v>
      </c>
      <c r="C618" t="s">
        <v>16</v>
      </c>
      <c r="D618" s="4">
        <v>2</v>
      </c>
      <c r="E618" s="3">
        <v>0.53434404742438302</v>
      </c>
      <c r="F618" s="4">
        <v>1</v>
      </c>
      <c r="G618" s="2">
        <v>3346.02</v>
      </c>
      <c r="H618" s="2">
        <v>3346.02</v>
      </c>
      <c r="I618" s="2">
        <v>3346.02</v>
      </c>
      <c r="J618" s="2" t="str">
        <f t="shared" si="18"/>
        <v>75-90</v>
      </c>
      <c r="K618" s="17" t="str">
        <f t="shared" si="19"/>
        <v>9-11</v>
      </c>
    </row>
    <row r="619" spans="1:11" x14ac:dyDescent="0.2">
      <c r="A619" s="4">
        <v>61</v>
      </c>
      <c r="B619" s="4">
        <v>7</v>
      </c>
      <c r="C619" t="s">
        <v>16</v>
      </c>
      <c r="D619" s="4">
        <v>1</v>
      </c>
      <c r="E619" s="3">
        <v>0.86586113297380496</v>
      </c>
      <c r="F619" s="4">
        <v>2</v>
      </c>
      <c r="G619" s="2">
        <v>539.78</v>
      </c>
      <c r="H619" s="2">
        <v>269.89</v>
      </c>
      <c r="I619" s="2">
        <v>539.78</v>
      </c>
      <c r="J619" s="2" t="str">
        <f t="shared" si="18"/>
        <v>55-64</v>
      </c>
      <c r="K619" s="17" t="str">
        <f t="shared" si="19"/>
        <v>6-8</v>
      </c>
    </row>
    <row r="620" spans="1:11" x14ac:dyDescent="0.2">
      <c r="A620" s="4">
        <v>90</v>
      </c>
      <c r="B620" s="4">
        <v>14</v>
      </c>
      <c r="C620" t="s">
        <v>8</v>
      </c>
      <c r="D620" s="4">
        <v>0</v>
      </c>
      <c r="E620" s="3">
        <v>0.67817063303664304</v>
      </c>
      <c r="F620" s="4">
        <v>1</v>
      </c>
      <c r="G620" s="2">
        <v>4407.58</v>
      </c>
      <c r="H620" s="2">
        <v>4407.58</v>
      </c>
      <c r="I620" s="2">
        <v>4407.58</v>
      </c>
      <c r="J620" s="2" t="str">
        <f t="shared" si="18"/>
        <v>75-90</v>
      </c>
      <c r="K620" s="17" t="str">
        <f t="shared" si="19"/>
        <v>12-15</v>
      </c>
    </row>
    <row r="621" spans="1:11" x14ac:dyDescent="0.2">
      <c r="A621" s="4">
        <v>73</v>
      </c>
      <c r="B621" s="4">
        <v>8</v>
      </c>
      <c r="C621" t="s">
        <v>16</v>
      </c>
      <c r="D621" s="4">
        <v>1</v>
      </c>
      <c r="E621" s="3">
        <v>0.80833118944428906</v>
      </c>
      <c r="F621" s="4">
        <v>1</v>
      </c>
      <c r="G621" s="2">
        <v>1852.55</v>
      </c>
      <c r="H621" s="2">
        <v>1852.55</v>
      </c>
      <c r="I621" s="2">
        <v>1852.55</v>
      </c>
      <c r="J621" s="2" t="str">
        <f t="shared" si="18"/>
        <v>65-74</v>
      </c>
      <c r="K621" s="17" t="str">
        <f t="shared" si="19"/>
        <v>6-8</v>
      </c>
    </row>
    <row r="622" spans="1:11" x14ac:dyDescent="0.2">
      <c r="A622" s="4">
        <v>54</v>
      </c>
      <c r="B622" s="4">
        <v>14</v>
      </c>
      <c r="C622" t="s">
        <v>16</v>
      </c>
      <c r="D622" s="4">
        <v>2</v>
      </c>
      <c r="E622" s="3">
        <v>0.52590274065733</v>
      </c>
      <c r="F622" s="4">
        <v>2</v>
      </c>
      <c r="G622" s="2">
        <v>2481.0700000000002</v>
      </c>
      <c r="H622" s="2">
        <v>1240.54</v>
      </c>
      <c r="I622" s="2">
        <v>2481.0700000000002</v>
      </c>
      <c r="J622" s="2" t="str">
        <f t="shared" si="18"/>
        <v>45-54</v>
      </c>
      <c r="K622" s="17" t="str">
        <f t="shared" si="19"/>
        <v>12-15</v>
      </c>
    </row>
    <row r="623" spans="1:11" x14ac:dyDescent="0.2">
      <c r="A623" s="4">
        <v>33</v>
      </c>
      <c r="B623" s="4">
        <v>5</v>
      </c>
      <c r="C623" t="s">
        <v>16</v>
      </c>
      <c r="D623" s="4">
        <v>1</v>
      </c>
      <c r="E623" s="3">
        <v>0.86960281885694701</v>
      </c>
      <c r="F623" s="4">
        <v>1</v>
      </c>
      <c r="G623" s="2">
        <v>657.75</v>
      </c>
      <c r="H623" s="2">
        <v>657.75</v>
      </c>
      <c r="I623" s="2">
        <v>657.75</v>
      </c>
      <c r="J623" s="2" t="str">
        <f t="shared" si="18"/>
        <v>25-34</v>
      </c>
      <c r="K623" s="17" t="str">
        <f t="shared" si="19"/>
        <v>3-5</v>
      </c>
    </row>
    <row r="624" spans="1:11" x14ac:dyDescent="0.2">
      <c r="A624" s="4">
        <v>66</v>
      </c>
      <c r="B624" s="4">
        <v>10</v>
      </c>
      <c r="C624" t="s">
        <v>10</v>
      </c>
      <c r="D624" s="4">
        <v>1</v>
      </c>
      <c r="E624" s="3">
        <v>0.73073483444750298</v>
      </c>
      <c r="F624" s="4">
        <v>1</v>
      </c>
      <c r="G624" s="2">
        <v>4596.47</v>
      </c>
      <c r="H624" s="2">
        <v>4596.47</v>
      </c>
      <c r="I624" s="2">
        <v>4596.47</v>
      </c>
      <c r="J624" s="2" t="str">
        <f t="shared" si="18"/>
        <v>65-74</v>
      </c>
      <c r="K624" s="17" t="str">
        <f t="shared" si="19"/>
        <v>9-11</v>
      </c>
    </row>
    <row r="625" spans="1:11" x14ac:dyDescent="0.2">
      <c r="A625" s="4">
        <v>41</v>
      </c>
      <c r="B625" s="4">
        <v>0</v>
      </c>
      <c r="C625" t="s">
        <v>8</v>
      </c>
      <c r="D625" s="4">
        <v>1</v>
      </c>
      <c r="E625" s="3">
        <v>0.57792526390403498</v>
      </c>
      <c r="F625" s="4">
        <v>1</v>
      </c>
      <c r="G625" s="2">
        <v>702.21</v>
      </c>
      <c r="H625" s="2">
        <v>702.21</v>
      </c>
      <c r="I625" s="2">
        <v>702.21</v>
      </c>
      <c r="J625" s="2" t="str">
        <f t="shared" si="18"/>
        <v>35-44</v>
      </c>
      <c r="K625" s="17" t="str">
        <f t="shared" si="19"/>
        <v>0-2</v>
      </c>
    </row>
    <row r="626" spans="1:11" x14ac:dyDescent="0.2">
      <c r="A626" s="4">
        <v>86</v>
      </c>
      <c r="B626" s="4">
        <v>11</v>
      </c>
      <c r="C626" t="s">
        <v>10</v>
      </c>
      <c r="D626" s="4">
        <v>0</v>
      </c>
      <c r="E626" s="3">
        <v>0.99678791244514298</v>
      </c>
      <c r="F626" s="4">
        <v>1</v>
      </c>
      <c r="G626" s="2">
        <v>2036.01</v>
      </c>
      <c r="H626" s="2">
        <v>2036.01</v>
      </c>
      <c r="I626" s="2">
        <v>2036.01</v>
      </c>
      <c r="J626" s="2" t="str">
        <f t="shared" si="18"/>
        <v>75-90</v>
      </c>
      <c r="K626" s="17" t="str">
        <f t="shared" si="19"/>
        <v>9-11</v>
      </c>
    </row>
    <row r="627" spans="1:11" x14ac:dyDescent="0.2">
      <c r="A627" s="4">
        <v>74</v>
      </c>
      <c r="B627" s="4">
        <v>4</v>
      </c>
      <c r="C627" t="s">
        <v>10</v>
      </c>
      <c r="D627" s="4">
        <v>0</v>
      </c>
      <c r="E627" s="3">
        <v>0.824953875504434</v>
      </c>
      <c r="F627" s="4">
        <v>1</v>
      </c>
      <c r="G627" s="2">
        <v>689.44</v>
      </c>
      <c r="H627" s="2">
        <v>689.44</v>
      </c>
      <c r="I627" s="2">
        <v>689.44</v>
      </c>
      <c r="J627" s="2" t="str">
        <f t="shared" si="18"/>
        <v>65-74</v>
      </c>
      <c r="K627" s="17" t="str">
        <f t="shared" si="19"/>
        <v>3-5</v>
      </c>
    </row>
    <row r="628" spans="1:11" x14ac:dyDescent="0.2">
      <c r="A628" s="4">
        <v>42</v>
      </c>
      <c r="B628" s="4">
        <v>14</v>
      </c>
      <c r="C628" t="s">
        <v>16</v>
      </c>
      <c r="D628" s="4">
        <v>1</v>
      </c>
      <c r="E628" s="3">
        <v>0.50266091024968795</v>
      </c>
      <c r="F628" s="4">
        <v>1</v>
      </c>
      <c r="G628" s="2">
        <v>514.54999999999995</v>
      </c>
      <c r="H628" s="2">
        <v>514.54999999999995</v>
      </c>
      <c r="I628" s="2">
        <v>514.54999999999995</v>
      </c>
      <c r="J628" s="2" t="str">
        <f t="shared" si="18"/>
        <v>35-44</v>
      </c>
      <c r="K628" s="17" t="str">
        <f t="shared" si="19"/>
        <v>12-15</v>
      </c>
    </row>
    <row r="629" spans="1:11" x14ac:dyDescent="0.2">
      <c r="A629" s="4">
        <v>74</v>
      </c>
      <c r="B629" s="4">
        <v>5</v>
      </c>
      <c r="C629" t="s">
        <v>10</v>
      </c>
      <c r="D629" s="4">
        <v>0</v>
      </c>
      <c r="E629" s="3">
        <v>0.518591019208543</v>
      </c>
      <c r="F629" s="4">
        <v>1</v>
      </c>
      <c r="G629" s="2">
        <v>861.6</v>
      </c>
      <c r="H629" s="2">
        <v>861.6</v>
      </c>
      <c r="I629" s="2">
        <v>861.6</v>
      </c>
      <c r="J629" s="2" t="str">
        <f t="shared" si="18"/>
        <v>65-74</v>
      </c>
      <c r="K629" s="17" t="str">
        <f t="shared" si="19"/>
        <v>3-5</v>
      </c>
    </row>
    <row r="630" spans="1:11" x14ac:dyDescent="0.2">
      <c r="A630" s="4">
        <v>53</v>
      </c>
      <c r="B630" s="4">
        <v>11</v>
      </c>
      <c r="C630" t="s">
        <v>16</v>
      </c>
      <c r="D630" s="4">
        <v>3</v>
      </c>
      <c r="E630" s="3">
        <v>0.61901424499228597</v>
      </c>
      <c r="F630" s="4">
        <v>1</v>
      </c>
      <c r="G630" s="2">
        <v>1681.62</v>
      </c>
      <c r="H630" s="2">
        <v>1681.62</v>
      </c>
      <c r="I630" s="2">
        <v>1681.62</v>
      </c>
      <c r="J630" s="2" t="str">
        <f t="shared" si="18"/>
        <v>45-54</v>
      </c>
      <c r="K630" s="17" t="str">
        <f t="shared" si="19"/>
        <v>9-11</v>
      </c>
    </row>
    <row r="631" spans="1:11" x14ac:dyDescent="0.2">
      <c r="A631" s="4">
        <v>83</v>
      </c>
      <c r="B631" s="4">
        <v>11</v>
      </c>
      <c r="C631" t="s">
        <v>8</v>
      </c>
      <c r="D631" s="4">
        <v>0</v>
      </c>
      <c r="E631" s="3">
        <v>0.859604717697948</v>
      </c>
      <c r="F631" s="4">
        <v>1</v>
      </c>
      <c r="G631" s="2">
        <v>1146.55</v>
      </c>
      <c r="H631" s="2">
        <v>1146.55</v>
      </c>
      <c r="I631" s="2">
        <v>1146.55</v>
      </c>
      <c r="J631" s="2" t="str">
        <f t="shared" si="18"/>
        <v>75-90</v>
      </c>
      <c r="K631" s="17" t="str">
        <f t="shared" si="19"/>
        <v>9-11</v>
      </c>
    </row>
    <row r="632" spans="1:11" x14ac:dyDescent="0.2">
      <c r="A632" s="4">
        <v>51</v>
      </c>
      <c r="B632" s="4">
        <v>1</v>
      </c>
      <c r="C632" t="s">
        <v>16</v>
      </c>
      <c r="D632" s="4">
        <v>2</v>
      </c>
      <c r="E632" s="3">
        <v>0.70969328132923704</v>
      </c>
      <c r="F632" s="4">
        <v>1</v>
      </c>
      <c r="G632" s="2">
        <v>1290.44</v>
      </c>
      <c r="H632" s="2">
        <v>1290.44</v>
      </c>
      <c r="I632" s="2">
        <v>1290.44</v>
      </c>
      <c r="J632" s="2" t="str">
        <f t="shared" si="18"/>
        <v>45-54</v>
      </c>
      <c r="K632" s="17" t="str">
        <f t="shared" si="19"/>
        <v>0-2</v>
      </c>
    </row>
    <row r="633" spans="1:11" x14ac:dyDescent="0.2">
      <c r="A633" s="4">
        <v>60</v>
      </c>
      <c r="B633" s="4">
        <v>1</v>
      </c>
      <c r="C633" t="s">
        <v>8</v>
      </c>
      <c r="D633" s="4">
        <v>0</v>
      </c>
      <c r="E633" s="3">
        <v>0.74005009292159196</v>
      </c>
      <c r="F633" s="4">
        <v>1</v>
      </c>
      <c r="G633" s="2">
        <v>316.13</v>
      </c>
      <c r="H633" s="2">
        <v>316.13</v>
      </c>
      <c r="I633" s="2">
        <v>316.13</v>
      </c>
      <c r="J633" s="2" t="str">
        <f t="shared" si="18"/>
        <v>55-64</v>
      </c>
      <c r="K633" s="17" t="str">
        <f t="shared" si="19"/>
        <v>0-2</v>
      </c>
    </row>
    <row r="634" spans="1:11" x14ac:dyDescent="0.2">
      <c r="A634" s="4">
        <v>68</v>
      </c>
      <c r="B634" s="4">
        <v>7</v>
      </c>
      <c r="C634" t="s">
        <v>16</v>
      </c>
      <c r="D634" s="4">
        <v>0</v>
      </c>
      <c r="E634" s="3">
        <v>0.84876440279185805</v>
      </c>
      <c r="F634" s="4">
        <v>1</v>
      </c>
      <c r="G634" s="2">
        <v>817.1</v>
      </c>
      <c r="H634" s="2">
        <v>817.1</v>
      </c>
      <c r="I634" s="2">
        <v>817.1</v>
      </c>
      <c r="J634" s="2" t="str">
        <f t="shared" si="18"/>
        <v>65-74</v>
      </c>
      <c r="K634" s="17" t="str">
        <f t="shared" si="19"/>
        <v>6-8</v>
      </c>
    </row>
    <row r="635" spans="1:11" x14ac:dyDescent="0.2">
      <c r="A635" s="4">
        <v>54</v>
      </c>
      <c r="B635" s="4">
        <v>5</v>
      </c>
      <c r="C635" t="s">
        <v>8</v>
      </c>
      <c r="D635" s="4">
        <v>1</v>
      </c>
      <c r="E635" s="3">
        <v>0.55352936638519201</v>
      </c>
      <c r="F635" s="4">
        <v>1</v>
      </c>
      <c r="G635" s="2">
        <v>897.83</v>
      </c>
      <c r="H635" s="2">
        <v>897.83</v>
      </c>
      <c r="I635" s="2">
        <v>897.83</v>
      </c>
      <c r="J635" s="2" t="str">
        <f t="shared" si="18"/>
        <v>45-54</v>
      </c>
      <c r="K635" s="17" t="str">
        <f t="shared" si="19"/>
        <v>3-5</v>
      </c>
    </row>
    <row r="636" spans="1:11" x14ac:dyDescent="0.2">
      <c r="A636" s="4">
        <v>74</v>
      </c>
      <c r="B636" s="4">
        <v>6</v>
      </c>
      <c r="C636" t="s">
        <v>10</v>
      </c>
      <c r="D636" s="4">
        <v>0</v>
      </c>
      <c r="E636" s="3">
        <v>0.81015520566143095</v>
      </c>
      <c r="F636" s="4">
        <v>1</v>
      </c>
      <c r="G636" s="2">
        <v>3300.7</v>
      </c>
      <c r="H636" s="2">
        <v>3300.7</v>
      </c>
      <c r="I636" s="2">
        <v>3300.7</v>
      </c>
      <c r="J636" s="2" t="str">
        <f t="shared" si="18"/>
        <v>65-74</v>
      </c>
      <c r="K636" s="17" t="str">
        <f t="shared" si="19"/>
        <v>6-8</v>
      </c>
    </row>
    <row r="637" spans="1:11" x14ac:dyDescent="0.2">
      <c r="A637" s="4">
        <v>32</v>
      </c>
      <c r="B637" s="4">
        <v>11</v>
      </c>
      <c r="C637" t="s">
        <v>16</v>
      </c>
      <c r="D637" s="4">
        <v>0</v>
      </c>
      <c r="E637" s="3">
        <v>0.674118396709673</v>
      </c>
      <c r="F637" s="4">
        <v>1</v>
      </c>
      <c r="G637" s="2">
        <v>1126.21</v>
      </c>
      <c r="H637" s="2">
        <v>1126.21</v>
      </c>
      <c r="I637" s="2">
        <v>1126.21</v>
      </c>
      <c r="J637" s="2" t="str">
        <f t="shared" si="18"/>
        <v>25-34</v>
      </c>
      <c r="K637" s="17" t="str">
        <f t="shared" si="19"/>
        <v>9-11</v>
      </c>
    </row>
    <row r="638" spans="1:11" x14ac:dyDescent="0.2">
      <c r="A638" s="4">
        <v>61</v>
      </c>
      <c r="B638" s="4">
        <v>7</v>
      </c>
      <c r="C638" t="s">
        <v>8</v>
      </c>
      <c r="D638" s="4">
        <v>0</v>
      </c>
      <c r="E638" s="3">
        <v>0.97507046000100706</v>
      </c>
      <c r="F638" s="4">
        <v>2</v>
      </c>
      <c r="G638" s="2">
        <v>650.73</v>
      </c>
      <c r="H638" s="2">
        <v>325.37</v>
      </c>
      <c r="I638" s="2">
        <v>650.73</v>
      </c>
      <c r="J638" s="2" t="str">
        <f t="shared" si="18"/>
        <v>55-64</v>
      </c>
      <c r="K638" s="17" t="str">
        <f t="shared" si="19"/>
        <v>6-8</v>
      </c>
    </row>
    <row r="639" spans="1:11" x14ac:dyDescent="0.2">
      <c r="A639" s="4">
        <v>57</v>
      </c>
      <c r="B639" s="4">
        <v>11</v>
      </c>
      <c r="C639" t="s">
        <v>10</v>
      </c>
      <c r="D639" s="4">
        <v>0</v>
      </c>
      <c r="E639" s="3">
        <v>0.71746647648979001</v>
      </c>
      <c r="F639" s="4">
        <v>1</v>
      </c>
      <c r="G639" s="2">
        <v>1742.42</v>
      </c>
      <c r="H639" s="2">
        <v>1742.42</v>
      </c>
      <c r="I639" s="2">
        <v>1742.42</v>
      </c>
      <c r="J639" s="2" t="str">
        <f t="shared" si="18"/>
        <v>55-64</v>
      </c>
      <c r="K639" s="17" t="str">
        <f t="shared" si="19"/>
        <v>9-11</v>
      </c>
    </row>
    <row r="640" spans="1:11" x14ac:dyDescent="0.2">
      <c r="A640" s="4">
        <v>46</v>
      </c>
      <c r="B640" s="4">
        <v>5</v>
      </c>
      <c r="C640" t="s">
        <v>16</v>
      </c>
      <c r="D640" s="4">
        <v>0</v>
      </c>
      <c r="E640" s="3">
        <v>0.61576839559711505</v>
      </c>
      <c r="F640" s="4">
        <v>1</v>
      </c>
      <c r="G640" s="2">
        <v>2073.87</v>
      </c>
      <c r="H640" s="2">
        <v>2073.87</v>
      </c>
      <c r="I640" s="2">
        <v>2073.87</v>
      </c>
      <c r="J640" s="2" t="str">
        <f t="shared" si="18"/>
        <v>45-54</v>
      </c>
      <c r="K640" s="17" t="str">
        <f t="shared" si="19"/>
        <v>3-5</v>
      </c>
    </row>
    <row r="641" spans="1:11" x14ac:dyDescent="0.2">
      <c r="A641" s="4">
        <v>50</v>
      </c>
      <c r="B641" s="4">
        <v>13</v>
      </c>
      <c r="C641" t="s">
        <v>10</v>
      </c>
      <c r="D641" s="4">
        <v>0</v>
      </c>
      <c r="E641" s="3">
        <v>0.81067816272843596</v>
      </c>
      <c r="F641" s="4">
        <v>2</v>
      </c>
      <c r="G641" s="2">
        <v>1736.82</v>
      </c>
      <c r="H641" s="2">
        <v>868.41</v>
      </c>
      <c r="I641" s="2">
        <v>1736.82</v>
      </c>
      <c r="J641" s="2" t="str">
        <f t="shared" si="18"/>
        <v>45-54</v>
      </c>
      <c r="K641" s="17" t="str">
        <f t="shared" si="19"/>
        <v>12-15</v>
      </c>
    </row>
    <row r="642" spans="1:11" x14ac:dyDescent="0.2">
      <c r="A642" s="4">
        <v>81</v>
      </c>
      <c r="B642" s="4">
        <v>9</v>
      </c>
      <c r="C642" t="s">
        <v>10</v>
      </c>
      <c r="D642" s="4">
        <v>2</v>
      </c>
      <c r="E642" s="3">
        <v>0.66414676152635399</v>
      </c>
      <c r="F642" s="4">
        <v>1</v>
      </c>
      <c r="G642" s="2">
        <v>1522.91</v>
      </c>
      <c r="H642" s="2">
        <v>1522.91</v>
      </c>
      <c r="I642" s="2">
        <v>1522.91</v>
      </c>
      <c r="J642" s="2" t="str">
        <f t="shared" ref="J642:J705" si="20" xml:space="preserve"> IF(A642&lt;25,"18-24",
 IF(A642&lt;35,"25-34",
 IF(A642&lt;45,"35-44",
 IF(A642&lt;55,"45-54", IF(A642&lt;65, "55-64", IF(A642&lt;75, "65-74", "75-90"))))))</f>
        <v>75-90</v>
      </c>
      <c r="K642" s="17" t="str">
        <f t="shared" ref="K642:K705" si="21" xml:space="preserve"> IF(B642 &lt; 3, "0-2", IF(B642 &lt; 6, "3-5", IF(B642 &lt; 9, "6-8", IF(B642 &lt; 12, "9-11", "12-15"))))</f>
        <v>9-11</v>
      </c>
    </row>
    <row r="643" spans="1:11" x14ac:dyDescent="0.2">
      <c r="A643" s="4">
        <v>70</v>
      </c>
      <c r="B643" s="4">
        <v>1</v>
      </c>
      <c r="C643" t="s">
        <v>8</v>
      </c>
      <c r="D643" s="4">
        <v>0</v>
      </c>
      <c r="E643" s="3">
        <v>0.97521880839485697</v>
      </c>
      <c r="F643" s="4">
        <v>1</v>
      </c>
      <c r="G643" s="2">
        <v>634.66999999999996</v>
      </c>
      <c r="H643" s="2">
        <v>634.66999999999996</v>
      </c>
      <c r="I643" s="2">
        <v>634.66999999999996</v>
      </c>
      <c r="J643" s="2" t="str">
        <f t="shared" si="20"/>
        <v>65-74</v>
      </c>
      <c r="K643" s="17" t="str">
        <f t="shared" si="21"/>
        <v>0-2</v>
      </c>
    </row>
    <row r="644" spans="1:11" x14ac:dyDescent="0.2">
      <c r="A644" s="4">
        <v>59</v>
      </c>
      <c r="B644" s="4">
        <v>8</v>
      </c>
      <c r="C644" t="s">
        <v>8</v>
      </c>
      <c r="D644" s="4">
        <v>0</v>
      </c>
      <c r="E644" s="3">
        <v>0.98718544479925197</v>
      </c>
      <c r="F644" s="4">
        <v>1</v>
      </c>
      <c r="G644" s="2">
        <v>532.77</v>
      </c>
      <c r="H644" s="2">
        <v>532.77</v>
      </c>
      <c r="I644" s="2">
        <v>532.77</v>
      </c>
      <c r="J644" s="2" t="str">
        <f t="shared" si="20"/>
        <v>55-64</v>
      </c>
      <c r="K644" s="17" t="str">
        <f t="shared" si="21"/>
        <v>6-8</v>
      </c>
    </row>
    <row r="645" spans="1:11" x14ac:dyDescent="0.2">
      <c r="A645" s="4">
        <v>60</v>
      </c>
      <c r="B645" s="4">
        <v>13</v>
      </c>
      <c r="C645" t="s">
        <v>10</v>
      </c>
      <c r="D645" s="4">
        <v>2</v>
      </c>
      <c r="E645" s="3">
        <v>0.60231337964069098</v>
      </c>
      <c r="F645" s="4">
        <v>2</v>
      </c>
      <c r="G645" s="2">
        <v>2026.67</v>
      </c>
      <c r="H645" s="2">
        <v>1013.33</v>
      </c>
      <c r="I645" s="2">
        <v>2026.67</v>
      </c>
      <c r="J645" s="2" t="str">
        <f t="shared" si="20"/>
        <v>55-64</v>
      </c>
      <c r="K645" s="17" t="str">
        <f t="shared" si="21"/>
        <v>12-15</v>
      </c>
    </row>
    <row r="646" spans="1:11" x14ac:dyDescent="0.2">
      <c r="A646" s="4">
        <v>63</v>
      </c>
      <c r="B646" s="4">
        <v>1</v>
      </c>
      <c r="C646" t="s">
        <v>16</v>
      </c>
      <c r="D646" s="4">
        <v>1</v>
      </c>
      <c r="E646" s="3">
        <v>0.74586129258386802</v>
      </c>
      <c r="F646" s="4">
        <v>1</v>
      </c>
      <c r="G646" s="2">
        <v>688.8</v>
      </c>
      <c r="H646" s="2">
        <v>688.8</v>
      </c>
      <c r="I646" s="2">
        <v>688.8</v>
      </c>
      <c r="J646" s="2" t="str">
        <f t="shared" si="20"/>
        <v>55-64</v>
      </c>
      <c r="K646" s="17" t="str">
        <f t="shared" si="21"/>
        <v>0-2</v>
      </c>
    </row>
    <row r="647" spans="1:11" x14ac:dyDescent="0.2">
      <c r="A647" s="4">
        <v>67</v>
      </c>
      <c r="B647" s="4">
        <v>13</v>
      </c>
      <c r="C647" t="s">
        <v>8</v>
      </c>
      <c r="D647" s="4">
        <v>0</v>
      </c>
      <c r="E647" s="3">
        <v>0.96273159957490895</v>
      </c>
      <c r="F647" s="4">
        <v>2</v>
      </c>
      <c r="G647" s="2">
        <v>426.64</v>
      </c>
      <c r="H647" s="2">
        <v>213.32</v>
      </c>
      <c r="I647" s="2">
        <v>426.64</v>
      </c>
      <c r="J647" s="2" t="str">
        <f t="shared" si="20"/>
        <v>65-74</v>
      </c>
      <c r="K647" s="17" t="str">
        <f t="shared" si="21"/>
        <v>12-15</v>
      </c>
    </row>
    <row r="648" spans="1:11" x14ac:dyDescent="0.2">
      <c r="A648" s="4">
        <v>74</v>
      </c>
      <c r="B648" s="4">
        <v>11</v>
      </c>
      <c r="C648" t="s">
        <v>16</v>
      </c>
      <c r="D648" s="4">
        <v>0</v>
      </c>
      <c r="E648" s="3">
        <v>0.91751395678147696</v>
      </c>
      <c r="F648" s="4">
        <v>1</v>
      </c>
      <c r="G648" s="2">
        <v>821</v>
      </c>
      <c r="H648" s="2">
        <v>821</v>
      </c>
      <c r="I648" s="2">
        <v>821</v>
      </c>
      <c r="J648" s="2" t="str">
        <f t="shared" si="20"/>
        <v>65-74</v>
      </c>
      <c r="K648" s="17" t="str">
        <f t="shared" si="21"/>
        <v>9-11</v>
      </c>
    </row>
    <row r="649" spans="1:11" x14ac:dyDescent="0.2">
      <c r="A649" s="4">
        <v>54</v>
      </c>
      <c r="B649" s="4">
        <v>3</v>
      </c>
      <c r="C649" t="s">
        <v>16</v>
      </c>
      <c r="D649" s="4">
        <v>1</v>
      </c>
      <c r="E649" s="3">
        <v>0.67710189160425205</v>
      </c>
      <c r="F649" s="4">
        <v>2</v>
      </c>
      <c r="G649" s="2">
        <v>1076.33</v>
      </c>
      <c r="H649" s="2">
        <v>538.16999999999996</v>
      </c>
      <c r="I649" s="2">
        <v>1076.33</v>
      </c>
      <c r="J649" s="2" t="str">
        <f t="shared" si="20"/>
        <v>45-54</v>
      </c>
      <c r="K649" s="17" t="str">
        <f t="shared" si="21"/>
        <v>3-5</v>
      </c>
    </row>
    <row r="650" spans="1:11" x14ac:dyDescent="0.2">
      <c r="A650" s="4">
        <v>58</v>
      </c>
      <c r="B650" s="4">
        <v>3</v>
      </c>
      <c r="C650" t="s">
        <v>8</v>
      </c>
      <c r="D650" s="4">
        <v>2</v>
      </c>
      <c r="E650" s="3">
        <v>0.51321451307740096</v>
      </c>
      <c r="F650" s="4">
        <v>1</v>
      </c>
      <c r="G650" s="2">
        <v>1191.58</v>
      </c>
      <c r="H650" s="2">
        <v>1191.58</v>
      </c>
      <c r="I650" s="2">
        <v>1191.58</v>
      </c>
      <c r="J650" s="2" t="str">
        <f t="shared" si="20"/>
        <v>55-64</v>
      </c>
      <c r="K650" s="17" t="str">
        <f t="shared" si="21"/>
        <v>3-5</v>
      </c>
    </row>
    <row r="651" spans="1:11" x14ac:dyDescent="0.2">
      <c r="A651" s="4">
        <v>55</v>
      </c>
      <c r="B651" s="4">
        <v>12</v>
      </c>
      <c r="C651" t="s">
        <v>8</v>
      </c>
      <c r="D651" s="4">
        <v>1</v>
      </c>
      <c r="E651" s="3">
        <v>0.85620517935603901</v>
      </c>
      <c r="F651" s="4">
        <v>1</v>
      </c>
      <c r="G651" s="2">
        <v>1404.94</v>
      </c>
      <c r="H651" s="2">
        <v>1404.94</v>
      </c>
      <c r="I651" s="2">
        <v>1404.94</v>
      </c>
      <c r="J651" s="2" t="str">
        <f t="shared" si="20"/>
        <v>55-64</v>
      </c>
      <c r="K651" s="17" t="str">
        <f t="shared" si="21"/>
        <v>12-15</v>
      </c>
    </row>
    <row r="652" spans="1:11" x14ac:dyDescent="0.2">
      <c r="A652" s="4">
        <v>23</v>
      </c>
      <c r="B652" s="4">
        <v>11</v>
      </c>
      <c r="C652" t="s">
        <v>8</v>
      </c>
      <c r="D652" s="4">
        <v>0</v>
      </c>
      <c r="E652" s="3">
        <v>0.84022331447340504</v>
      </c>
      <c r="F652" s="4">
        <v>1</v>
      </c>
      <c r="G652" s="2">
        <v>377.23</v>
      </c>
      <c r="H652" s="2">
        <v>377.23</v>
      </c>
      <c r="I652" s="2">
        <v>377.23</v>
      </c>
      <c r="J652" s="2" t="str">
        <f t="shared" si="20"/>
        <v>18-24</v>
      </c>
      <c r="K652" s="17" t="str">
        <f t="shared" si="21"/>
        <v>9-11</v>
      </c>
    </row>
    <row r="653" spans="1:11" x14ac:dyDescent="0.2">
      <c r="A653" s="4">
        <v>56</v>
      </c>
      <c r="B653" s="4">
        <v>15</v>
      </c>
      <c r="C653" t="s">
        <v>16</v>
      </c>
      <c r="D653" s="4">
        <v>0</v>
      </c>
      <c r="E653" s="3">
        <v>0.97907157381996501</v>
      </c>
      <c r="F653" s="4">
        <v>1</v>
      </c>
      <c r="G653" s="2">
        <v>1165.32</v>
      </c>
      <c r="H653" s="2">
        <v>1165.32</v>
      </c>
      <c r="I653" s="2">
        <v>1165.32</v>
      </c>
      <c r="J653" s="2" t="str">
        <f t="shared" si="20"/>
        <v>55-64</v>
      </c>
      <c r="K653" s="17" t="str">
        <f t="shared" si="21"/>
        <v>12-15</v>
      </c>
    </row>
    <row r="654" spans="1:11" x14ac:dyDescent="0.2">
      <c r="A654" s="4">
        <v>21</v>
      </c>
      <c r="B654" s="4">
        <v>6</v>
      </c>
      <c r="C654" t="s">
        <v>10</v>
      </c>
      <c r="D654" s="4">
        <v>0</v>
      </c>
      <c r="E654" s="3">
        <v>0.96073978440836105</v>
      </c>
      <c r="F654" s="4">
        <v>1</v>
      </c>
      <c r="G654" s="2">
        <v>322.33</v>
      </c>
      <c r="H654" s="2">
        <v>322.33</v>
      </c>
      <c r="I654" s="2">
        <v>322.33</v>
      </c>
      <c r="J654" s="2" t="str">
        <f t="shared" si="20"/>
        <v>18-24</v>
      </c>
      <c r="K654" s="17" t="str">
        <f t="shared" si="21"/>
        <v>6-8</v>
      </c>
    </row>
    <row r="655" spans="1:11" x14ac:dyDescent="0.2">
      <c r="A655" s="4">
        <v>38</v>
      </c>
      <c r="B655" s="4">
        <v>2</v>
      </c>
      <c r="C655" t="s">
        <v>16</v>
      </c>
      <c r="D655" s="4">
        <v>0</v>
      </c>
      <c r="E655" s="3">
        <v>0.74269036576151803</v>
      </c>
      <c r="F655" s="4">
        <v>1</v>
      </c>
      <c r="G655" s="2">
        <v>509.85</v>
      </c>
      <c r="H655" s="2">
        <v>509.85</v>
      </c>
      <c r="I655" s="2">
        <v>509.85</v>
      </c>
      <c r="J655" s="2" t="str">
        <f t="shared" si="20"/>
        <v>35-44</v>
      </c>
      <c r="K655" s="17" t="str">
        <f t="shared" si="21"/>
        <v>0-2</v>
      </c>
    </row>
    <row r="656" spans="1:11" x14ac:dyDescent="0.2">
      <c r="A656" s="4">
        <v>56</v>
      </c>
      <c r="B656" s="4">
        <v>6</v>
      </c>
      <c r="C656" t="s">
        <v>8</v>
      </c>
      <c r="D656" s="4">
        <v>0</v>
      </c>
      <c r="E656" s="3">
        <v>0.71293750521726895</v>
      </c>
      <c r="F656" s="4">
        <v>2</v>
      </c>
      <c r="G656" s="2">
        <v>909.25</v>
      </c>
      <c r="H656" s="2">
        <v>454.63</v>
      </c>
      <c r="I656" s="2">
        <v>909.25</v>
      </c>
      <c r="J656" s="2" t="str">
        <f t="shared" si="20"/>
        <v>55-64</v>
      </c>
      <c r="K656" s="17" t="str">
        <f t="shared" si="21"/>
        <v>6-8</v>
      </c>
    </row>
    <row r="657" spans="1:11" x14ac:dyDescent="0.2">
      <c r="A657" s="4">
        <v>39</v>
      </c>
      <c r="B657" s="4">
        <v>5</v>
      </c>
      <c r="C657" t="s">
        <v>16</v>
      </c>
      <c r="D657" s="4">
        <v>0</v>
      </c>
      <c r="E657" s="3">
        <v>0.92651184916030604</v>
      </c>
      <c r="F657" s="4">
        <v>1</v>
      </c>
      <c r="G657" s="2">
        <v>428.11</v>
      </c>
      <c r="H657" s="2">
        <v>428.11</v>
      </c>
      <c r="I657" s="2">
        <v>428.11</v>
      </c>
      <c r="J657" s="2" t="str">
        <f t="shared" si="20"/>
        <v>35-44</v>
      </c>
      <c r="K657" s="17" t="str">
        <f t="shared" si="21"/>
        <v>3-5</v>
      </c>
    </row>
    <row r="658" spans="1:11" x14ac:dyDescent="0.2">
      <c r="A658" s="4">
        <v>66</v>
      </c>
      <c r="B658" s="4">
        <v>6</v>
      </c>
      <c r="C658" t="s">
        <v>8</v>
      </c>
      <c r="D658" s="4">
        <v>1</v>
      </c>
      <c r="E658" s="3">
        <v>0.94493287289515104</v>
      </c>
      <c r="F658" s="4">
        <v>1</v>
      </c>
      <c r="G658" s="2">
        <v>894.83</v>
      </c>
      <c r="H658" s="2">
        <v>894.83</v>
      </c>
      <c r="I658" s="2">
        <v>894.83</v>
      </c>
      <c r="J658" s="2" t="str">
        <f t="shared" si="20"/>
        <v>65-74</v>
      </c>
      <c r="K658" s="17" t="str">
        <f t="shared" si="21"/>
        <v>6-8</v>
      </c>
    </row>
    <row r="659" spans="1:11" x14ac:dyDescent="0.2">
      <c r="A659" s="4">
        <v>78</v>
      </c>
      <c r="B659" s="4">
        <v>0</v>
      </c>
      <c r="C659" t="s">
        <v>8</v>
      </c>
      <c r="D659" s="4">
        <v>0</v>
      </c>
      <c r="E659" s="3">
        <v>0.85179086669813797</v>
      </c>
      <c r="F659" s="4">
        <v>1</v>
      </c>
      <c r="G659" s="2">
        <v>337.79</v>
      </c>
      <c r="H659" s="2">
        <v>337.79</v>
      </c>
      <c r="I659" s="2">
        <v>337.79</v>
      </c>
      <c r="J659" s="2" t="str">
        <f t="shared" si="20"/>
        <v>75-90</v>
      </c>
      <c r="K659" s="17" t="str">
        <f t="shared" si="21"/>
        <v>0-2</v>
      </c>
    </row>
    <row r="660" spans="1:11" x14ac:dyDescent="0.2">
      <c r="A660" s="4">
        <v>28</v>
      </c>
      <c r="B660" s="4">
        <v>15</v>
      </c>
      <c r="C660" t="s">
        <v>8</v>
      </c>
      <c r="D660" s="4">
        <v>0</v>
      </c>
      <c r="E660" s="3">
        <v>0.62751578434836097</v>
      </c>
      <c r="F660" s="4">
        <v>1</v>
      </c>
      <c r="G660" s="2">
        <v>192.82</v>
      </c>
      <c r="H660" s="2">
        <v>192.82</v>
      </c>
      <c r="I660" s="2">
        <v>192.82</v>
      </c>
      <c r="J660" s="2" t="str">
        <f t="shared" si="20"/>
        <v>25-34</v>
      </c>
      <c r="K660" s="17" t="str">
        <f t="shared" si="21"/>
        <v>12-15</v>
      </c>
    </row>
    <row r="661" spans="1:11" x14ac:dyDescent="0.2">
      <c r="A661" s="4">
        <v>65</v>
      </c>
      <c r="B661" s="4">
        <v>8</v>
      </c>
      <c r="C661" t="s">
        <v>8</v>
      </c>
      <c r="D661" s="4">
        <v>0</v>
      </c>
      <c r="E661" s="3">
        <v>0.61485204880591504</v>
      </c>
      <c r="F661" s="4">
        <v>1</v>
      </c>
      <c r="G661" s="2">
        <v>367.43</v>
      </c>
      <c r="H661" s="2">
        <v>367.43</v>
      </c>
      <c r="I661" s="2">
        <v>367.43</v>
      </c>
      <c r="J661" s="2" t="str">
        <f t="shared" si="20"/>
        <v>65-74</v>
      </c>
      <c r="K661" s="17" t="str">
        <f t="shared" si="21"/>
        <v>6-8</v>
      </c>
    </row>
    <row r="662" spans="1:11" x14ac:dyDescent="0.2">
      <c r="A662" s="4">
        <v>78</v>
      </c>
      <c r="B662" s="4">
        <v>1</v>
      </c>
      <c r="C662" t="s">
        <v>10</v>
      </c>
      <c r="D662" s="4">
        <v>0</v>
      </c>
      <c r="E662" s="3">
        <v>0.76973697054199897</v>
      </c>
      <c r="F662" s="4">
        <v>1</v>
      </c>
      <c r="G662" s="2">
        <v>1703.3</v>
      </c>
      <c r="H662" s="2">
        <v>1703.3</v>
      </c>
      <c r="I662" s="2">
        <v>1703.3</v>
      </c>
      <c r="J662" s="2" t="str">
        <f t="shared" si="20"/>
        <v>75-90</v>
      </c>
      <c r="K662" s="17" t="str">
        <f t="shared" si="21"/>
        <v>0-2</v>
      </c>
    </row>
    <row r="663" spans="1:11" x14ac:dyDescent="0.2">
      <c r="A663" s="4">
        <v>27</v>
      </c>
      <c r="B663" s="4">
        <v>3</v>
      </c>
      <c r="C663" t="s">
        <v>8</v>
      </c>
      <c r="D663" s="4">
        <v>1</v>
      </c>
      <c r="E663" s="3">
        <v>0.53088223538361501</v>
      </c>
      <c r="F663" s="4">
        <v>1</v>
      </c>
      <c r="G663" s="2">
        <v>219.96</v>
      </c>
      <c r="H663" s="2">
        <v>219.96</v>
      </c>
      <c r="I663" s="2">
        <v>219.96</v>
      </c>
      <c r="J663" s="2" t="str">
        <f t="shared" si="20"/>
        <v>25-34</v>
      </c>
      <c r="K663" s="17" t="str">
        <f t="shared" si="21"/>
        <v>3-5</v>
      </c>
    </row>
    <row r="664" spans="1:11" x14ac:dyDescent="0.2">
      <c r="A664" s="4">
        <v>33</v>
      </c>
      <c r="B664" s="4">
        <v>6</v>
      </c>
      <c r="C664" t="s">
        <v>10</v>
      </c>
      <c r="D664" s="4">
        <v>1</v>
      </c>
      <c r="E664" s="3">
        <v>0.84309817710891399</v>
      </c>
      <c r="F664" s="4">
        <v>1</v>
      </c>
      <c r="G664" s="2">
        <v>496.01</v>
      </c>
      <c r="H664" s="2">
        <v>496.01</v>
      </c>
      <c r="I664" s="2">
        <v>496.01</v>
      </c>
      <c r="J664" s="2" t="str">
        <f t="shared" si="20"/>
        <v>25-34</v>
      </c>
      <c r="K664" s="17" t="str">
        <f t="shared" si="21"/>
        <v>6-8</v>
      </c>
    </row>
    <row r="665" spans="1:11" x14ac:dyDescent="0.2">
      <c r="A665" s="4">
        <v>44</v>
      </c>
      <c r="B665" s="4">
        <v>4</v>
      </c>
      <c r="C665" t="s">
        <v>16</v>
      </c>
      <c r="D665" s="4">
        <v>0</v>
      </c>
      <c r="E665" s="3">
        <v>0.52276450023055099</v>
      </c>
      <c r="F665" s="4">
        <v>1</v>
      </c>
      <c r="G665" s="2">
        <v>350.1</v>
      </c>
      <c r="H665" s="2">
        <v>350.1</v>
      </c>
      <c r="I665" s="2">
        <v>350.1</v>
      </c>
      <c r="J665" s="2" t="str">
        <f t="shared" si="20"/>
        <v>35-44</v>
      </c>
      <c r="K665" s="17" t="str">
        <f t="shared" si="21"/>
        <v>3-5</v>
      </c>
    </row>
    <row r="666" spans="1:11" x14ac:dyDescent="0.2">
      <c r="A666" s="4">
        <v>85</v>
      </c>
      <c r="B666" s="4">
        <v>3</v>
      </c>
      <c r="C666" t="s">
        <v>16</v>
      </c>
      <c r="D666" s="4">
        <v>1</v>
      </c>
      <c r="E666" s="3">
        <v>0.77472344785928704</v>
      </c>
      <c r="F666" s="4">
        <v>1</v>
      </c>
      <c r="G666" s="2">
        <v>1045.6199999999999</v>
      </c>
      <c r="H666" s="2">
        <v>1045.6199999999999</v>
      </c>
      <c r="I666" s="2">
        <v>1045.6199999999999</v>
      </c>
      <c r="J666" s="2" t="str">
        <f t="shared" si="20"/>
        <v>75-90</v>
      </c>
      <c r="K666" s="17" t="str">
        <f t="shared" si="21"/>
        <v>3-5</v>
      </c>
    </row>
    <row r="667" spans="1:11" x14ac:dyDescent="0.2">
      <c r="A667" s="4">
        <v>34</v>
      </c>
      <c r="B667" s="4">
        <v>10</v>
      </c>
      <c r="C667" t="s">
        <v>16</v>
      </c>
      <c r="D667" s="4">
        <v>1</v>
      </c>
      <c r="E667" s="3">
        <v>0.63476737856399301</v>
      </c>
      <c r="F667" s="4">
        <v>1</v>
      </c>
      <c r="G667" s="2">
        <v>2480.11</v>
      </c>
      <c r="H667" s="2">
        <v>2480.11</v>
      </c>
      <c r="I667" s="2">
        <v>2480.11</v>
      </c>
      <c r="J667" s="2" t="str">
        <f t="shared" si="20"/>
        <v>25-34</v>
      </c>
      <c r="K667" s="17" t="str">
        <f t="shared" si="21"/>
        <v>9-11</v>
      </c>
    </row>
    <row r="668" spans="1:11" x14ac:dyDescent="0.2">
      <c r="A668" s="4">
        <v>81</v>
      </c>
      <c r="B668" s="4">
        <v>4</v>
      </c>
      <c r="C668" t="s">
        <v>8</v>
      </c>
      <c r="D668" s="4">
        <v>3</v>
      </c>
      <c r="E668" s="3">
        <v>0.67406265658792097</v>
      </c>
      <c r="F668" s="4">
        <v>2</v>
      </c>
      <c r="G668" s="2">
        <v>1592.47</v>
      </c>
      <c r="H668" s="2">
        <v>796.23</v>
      </c>
      <c r="I668" s="2">
        <v>1592.47</v>
      </c>
      <c r="J668" s="2" t="str">
        <f t="shared" si="20"/>
        <v>75-90</v>
      </c>
      <c r="K668" s="17" t="str">
        <f t="shared" si="21"/>
        <v>3-5</v>
      </c>
    </row>
    <row r="669" spans="1:11" x14ac:dyDescent="0.2">
      <c r="A669" s="4">
        <v>52</v>
      </c>
      <c r="B669" s="4">
        <v>4</v>
      </c>
      <c r="C669" t="s">
        <v>10</v>
      </c>
      <c r="D669" s="4">
        <v>1</v>
      </c>
      <c r="E669" s="3">
        <v>0.94390624831430603</v>
      </c>
      <c r="F669" s="4">
        <v>1</v>
      </c>
      <c r="G669" s="2">
        <v>623.49</v>
      </c>
      <c r="H669" s="2">
        <v>623.49</v>
      </c>
      <c r="I669" s="2">
        <v>623.49</v>
      </c>
      <c r="J669" s="2" t="str">
        <f t="shared" si="20"/>
        <v>45-54</v>
      </c>
      <c r="K669" s="17" t="str">
        <f t="shared" si="21"/>
        <v>3-5</v>
      </c>
    </row>
    <row r="670" spans="1:11" x14ac:dyDescent="0.2">
      <c r="A670" s="4">
        <v>74</v>
      </c>
      <c r="B670" s="4">
        <v>7</v>
      </c>
      <c r="C670" t="s">
        <v>8</v>
      </c>
      <c r="D670" s="4">
        <v>0</v>
      </c>
      <c r="E670" s="3">
        <v>0.99811593291815404</v>
      </c>
      <c r="F670" s="4">
        <v>1</v>
      </c>
      <c r="G670" s="2">
        <v>736.87</v>
      </c>
      <c r="H670" s="2">
        <v>736.87</v>
      </c>
      <c r="I670" s="2">
        <v>736.87</v>
      </c>
      <c r="J670" s="2" t="str">
        <f t="shared" si="20"/>
        <v>65-74</v>
      </c>
      <c r="K670" s="17" t="str">
        <f t="shared" si="21"/>
        <v>6-8</v>
      </c>
    </row>
    <row r="671" spans="1:11" x14ac:dyDescent="0.2">
      <c r="A671" s="4">
        <v>86</v>
      </c>
      <c r="B671" s="4">
        <v>8</v>
      </c>
      <c r="C671" t="s">
        <v>16</v>
      </c>
      <c r="D671" s="4">
        <v>0</v>
      </c>
      <c r="E671" s="3">
        <v>0.778947863727808</v>
      </c>
      <c r="F671" s="4">
        <v>1</v>
      </c>
      <c r="G671" s="2">
        <v>3790.12</v>
      </c>
      <c r="H671" s="2">
        <v>3790.12</v>
      </c>
      <c r="I671" s="2">
        <v>3790.12</v>
      </c>
      <c r="J671" s="2" t="str">
        <f t="shared" si="20"/>
        <v>75-90</v>
      </c>
      <c r="K671" s="17" t="str">
        <f t="shared" si="21"/>
        <v>6-8</v>
      </c>
    </row>
    <row r="672" spans="1:11" x14ac:dyDescent="0.2">
      <c r="A672" s="4">
        <v>72</v>
      </c>
      <c r="B672" s="4">
        <v>0</v>
      </c>
      <c r="C672" t="s">
        <v>10</v>
      </c>
      <c r="D672" s="4">
        <v>2</v>
      </c>
      <c r="E672" s="3">
        <v>0.95652192528359603</v>
      </c>
      <c r="F672" s="4">
        <v>3</v>
      </c>
      <c r="G672" s="2">
        <v>1901.74</v>
      </c>
      <c r="H672" s="2">
        <v>633.91</v>
      </c>
      <c r="I672" s="2">
        <v>1901.74</v>
      </c>
      <c r="J672" s="2" t="str">
        <f t="shared" si="20"/>
        <v>65-74</v>
      </c>
      <c r="K672" s="17" t="str">
        <f t="shared" si="21"/>
        <v>0-2</v>
      </c>
    </row>
    <row r="673" spans="1:11" x14ac:dyDescent="0.2">
      <c r="A673" s="4">
        <v>28</v>
      </c>
      <c r="B673" s="4">
        <v>4</v>
      </c>
      <c r="C673" t="s">
        <v>8</v>
      </c>
      <c r="D673" s="4">
        <v>0</v>
      </c>
      <c r="E673" s="3">
        <v>0.88636837073136099</v>
      </c>
      <c r="F673" s="4">
        <v>1</v>
      </c>
      <c r="G673" s="2">
        <v>459.72</v>
      </c>
      <c r="H673" s="2">
        <v>459.72</v>
      </c>
      <c r="I673" s="2">
        <v>459.72</v>
      </c>
      <c r="J673" s="2" t="str">
        <f t="shared" si="20"/>
        <v>25-34</v>
      </c>
      <c r="K673" s="17" t="str">
        <f t="shared" si="21"/>
        <v>3-5</v>
      </c>
    </row>
    <row r="674" spans="1:11" x14ac:dyDescent="0.2">
      <c r="A674" s="4">
        <v>67</v>
      </c>
      <c r="B674" s="4">
        <v>11</v>
      </c>
      <c r="C674" t="s">
        <v>16</v>
      </c>
      <c r="D674" s="4">
        <v>0</v>
      </c>
      <c r="E674" s="3">
        <v>0.85453342564869705</v>
      </c>
      <c r="F674" s="4">
        <v>2</v>
      </c>
      <c r="G674" s="2">
        <v>2046.23</v>
      </c>
      <c r="H674" s="2">
        <v>1023.11</v>
      </c>
      <c r="I674" s="2">
        <v>2046.23</v>
      </c>
      <c r="J674" s="2" t="str">
        <f t="shared" si="20"/>
        <v>65-74</v>
      </c>
      <c r="K674" s="17" t="str">
        <f t="shared" si="21"/>
        <v>9-11</v>
      </c>
    </row>
    <row r="675" spans="1:11" x14ac:dyDescent="0.2">
      <c r="A675" s="4">
        <v>80</v>
      </c>
      <c r="B675" s="4">
        <v>7</v>
      </c>
      <c r="C675" t="s">
        <v>8</v>
      </c>
      <c r="D675" s="4">
        <v>0</v>
      </c>
      <c r="E675" s="3">
        <v>0.58303569338750105</v>
      </c>
      <c r="F675" s="4">
        <v>2</v>
      </c>
      <c r="G675" s="2">
        <v>2422.15</v>
      </c>
      <c r="H675" s="2">
        <v>1211.08</v>
      </c>
      <c r="I675" s="2">
        <v>2422.15</v>
      </c>
      <c r="J675" s="2" t="str">
        <f t="shared" si="20"/>
        <v>75-90</v>
      </c>
      <c r="K675" s="17" t="str">
        <f t="shared" si="21"/>
        <v>6-8</v>
      </c>
    </row>
    <row r="676" spans="1:11" x14ac:dyDescent="0.2">
      <c r="A676" s="4">
        <v>82</v>
      </c>
      <c r="B676" s="4">
        <v>6</v>
      </c>
      <c r="C676" t="s">
        <v>8</v>
      </c>
      <c r="D676" s="4">
        <v>0</v>
      </c>
      <c r="E676" s="3">
        <v>0.94434590393211704</v>
      </c>
      <c r="F676" s="4">
        <v>1</v>
      </c>
      <c r="G676" s="2">
        <v>726.61</v>
      </c>
      <c r="H676" s="2">
        <v>726.61</v>
      </c>
      <c r="I676" s="2">
        <v>726.61</v>
      </c>
      <c r="J676" s="2" t="str">
        <f t="shared" si="20"/>
        <v>75-90</v>
      </c>
      <c r="K676" s="17" t="str">
        <f t="shared" si="21"/>
        <v>6-8</v>
      </c>
    </row>
    <row r="677" spans="1:11" x14ac:dyDescent="0.2">
      <c r="A677" s="4">
        <v>62</v>
      </c>
      <c r="B677" s="4">
        <v>12</v>
      </c>
      <c r="C677" t="s">
        <v>16</v>
      </c>
      <c r="D677" s="4">
        <v>0</v>
      </c>
      <c r="E677" s="3">
        <v>0.79621625749860003</v>
      </c>
      <c r="F677" s="4">
        <v>1</v>
      </c>
      <c r="G677" s="2">
        <v>447.85</v>
      </c>
      <c r="H677" s="2">
        <v>447.85</v>
      </c>
      <c r="I677" s="2">
        <v>447.85</v>
      </c>
      <c r="J677" s="2" t="str">
        <f t="shared" si="20"/>
        <v>55-64</v>
      </c>
      <c r="K677" s="17" t="str">
        <f t="shared" si="21"/>
        <v>12-15</v>
      </c>
    </row>
    <row r="678" spans="1:11" x14ac:dyDescent="0.2">
      <c r="A678" s="4">
        <v>62</v>
      </c>
      <c r="B678" s="4">
        <v>15</v>
      </c>
      <c r="C678" t="s">
        <v>8</v>
      </c>
      <c r="D678" s="4">
        <v>0</v>
      </c>
      <c r="E678" s="3">
        <v>0.82018630357924804</v>
      </c>
      <c r="F678" s="4">
        <v>1</v>
      </c>
      <c r="G678" s="2">
        <v>817.24</v>
      </c>
      <c r="H678" s="2">
        <v>817.24</v>
      </c>
      <c r="I678" s="2">
        <v>817.24</v>
      </c>
      <c r="J678" s="2" t="str">
        <f t="shared" si="20"/>
        <v>55-64</v>
      </c>
      <c r="K678" s="17" t="str">
        <f t="shared" si="21"/>
        <v>12-15</v>
      </c>
    </row>
    <row r="679" spans="1:11" x14ac:dyDescent="0.2">
      <c r="A679" s="4">
        <v>32</v>
      </c>
      <c r="B679" s="4">
        <v>5</v>
      </c>
      <c r="C679" t="s">
        <v>10</v>
      </c>
      <c r="D679" s="4">
        <v>1</v>
      </c>
      <c r="E679" s="3">
        <v>0.68868315941654101</v>
      </c>
      <c r="F679" s="4">
        <v>1</v>
      </c>
      <c r="G679" s="2">
        <v>854.6</v>
      </c>
      <c r="H679" s="2">
        <v>854.6</v>
      </c>
      <c r="I679" s="2">
        <v>854.6</v>
      </c>
      <c r="J679" s="2" t="str">
        <f t="shared" si="20"/>
        <v>25-34</v>
      </c>
      <c r="K679" s="17" t="str">
        <f t="shared" si="21"/>
        <v>3-5</v>
      </c>
    </row>
    <row r="680" spans="1:11" x14ac:dyDescent="0.2">
      <c r="A680" s="4">
        <v>72</v>
      </c>
      <c r="B680" s="4">
        <v>2</v>
      </c>
      <c r="C680" t="s">
        <v>8</v>
      </c>
      <c r="D680" s="4">
        <v>1</v>
      </c>
      <c r="E680" s="3">
        <v>0.57813589065335702</v>
      </c>
      <c r="F680" s="4">
        <v>1</v>
      </c>
      <c r="G680" s="2">
        <v>1756.88</v>
      </c>
      <c r="H680" s="2">
        <v>1756.88</v>
      </c>
      <c r="I680" s="2">
        <v>1756.88</v>
      </c>
      <c r="J680" s="2" t="str">
        <f t="shared" si="20"/>
        <v>65-74</v>
      </c>
      <c r="K680" s="17" t="str">
        <f t="shared" si="21"/>
        <v>0-2</v>
      </c>
    </row>
    <row r="681" spans="1:11" x14ac:dyDescent="0.2">
      <c r="A681" s="4">
        <v>35</v>
      </c>
      <c r="B681" s="4">
        <v>15</v>
      </c>
      <c r="C681" t="s">
        <v>16</v>
      </c>
      <c r="D681" s="4">
        <v>0</v>
      </c>
      <c r="E681" s="3">
        <v>0.95000493840780098</v>
      </c>
      <c r="F681" s="4">
        <v>1</v>
      </c>
      <c r="G681" s="2">
        <v>767.21</v>
      </c>
      <c r="H681" s="2">
        <v>767.21</v>
      </c>
      <c r="I681" s="2">
        <v>767.21</v>
      </c>
      <c r="J681" s="2" t="str">
        <f t="shared" si="20"/>
        <v>35-44</v>
      </c>
      <c r="K681" s="17" t="str">
        <f t="shared" si="21"/>
        <v>12-15</v>
      </c>
    </row>
    <row r="682" spans="1:11" x14ac:dyDescent="0.2">
      <c r="A682" s="4">
        <v>18</v>
      </c>
      <c r="B682" s="4">
        <v>14</v>
      </c>
      <c r="C682" t="s">
        <v>16</v>
      </c>
      <c r="D682" s="4">
        <v>0</v>
      </c>
      <c r="E682" s="3">
        <v>0.84924676525406495</v>
      </c>
      <c r="F682" s="4">
        <v>1</v>
      </c>
      <c r="G682" s="2">
        <v>464.24</v>
      </c>
      <c r="H682" s="2">
        <v>464.24</v>
      </c>
      <c r="I682" s="2">
        <v>464.24</v>
      </c>
      <c r="J682" s="2" t="str">
        <f t="shared" si="20"/>
        <v>18-24</v>
      </c>
      <c r="K682" s="17" t="str">
        <f t="shared" si="21"/>
        <v>12-15</v>
      </c>
    </row>
    <row r="683" spans="1:11" x14ac:dyDescent="0.2">
      <c r="A683" s="4">
        <v>90</v>
      </c>
      <c r="B683" s="4">
        <v>6</v>
      </c>
      <c r="C683" t="s">
        <v>16</v>
      </c>
      <c r="D683" s="4">
        <v>1</v>
      </c>
      <c r="E683" s="3">
        <v>0.63757330761291098</v>
      </c>
      <c r="F683" s="4">
        <v>1</v>
      </c>
      <c r="G683" s="2">
        <v>2058.84</v>
      </c>
      <c r="H683" s="2">
        <v>2058.84</v>
      </c>
      <c r="I683" s="2">
        <v>2058.84</v>
      </c>
      <c r="J683" s="2" t="str">
        <f t="shared" si="20"/>
        <v>75-90</v>
      </c>
      <c r="K683" s="17" t="str">
        <f t="shared" si="21"/>
        <v>6-8</v>
      </c>
    </row>
    <row r="684" spans="1:11" x14ac:dyDescent="0.2">
      <c r="A684" s="4">
        <v>32</v>
      </c>
      <c r="B684" s="4">
        <v>0</v>
      </c>
      <c r="C684" t="s">
        <v>8</v>
      </c>
      <c r="D684" s="4">
        <v>1</v>
      </c>
      <c r="E684" s="3">
        <v>0.82997944136150203</v>
      </c>
      <c r="F684" s="4">
        <v>1</v>
      </c>
      <c r="G684" s="2">
        <v>209.26</v>
      </c>
      <c r="H684" s="2">
        <v>209.26</v>
      </c>
      <c r="I684" s="2">
        <v>209.26</v>
      </c>
      <c r="J684" s="2" t="str">
        <f t="shared" si="20"/>
        <v>25-34</v>
      </c>
      <c r="K684" s="17" t="str">
        <f t="shared" si="21"/>
        <v>0-2</v>
      </c>
    </row>
    <row r="685" spans="1:11" x14ac:dyDescent="0.2">
      <c r="A685" s="4">
        <v>36</v>
      </c>
      <c r="B685" s="4">
        <v>14</v>
      </c>
      <c r="C685" t="s">
        <v>16</v>
      </c>
      <c r="D685" s="4">
        <v>1</v>
      </c>
      <c r="E685" s="3">
        <v>0.73178073531016696</v>
      </c>
      <c r="F685" s="4">
        <v>1</v>
      </c>
      <c r="G685" s="2">
        <v>2486.06</v>
      </c>
      <c r="H685" s="2">
        <v>2486.06</v>
      </c>
      <c r="I685" s="2">
        <v>2486.06</v>
      </c>
      <c r="J685" s="2" t="str">
        <f t="shared" si="20"/>
        <v>35-44</v>
      </c>
      <c r="K685" s="17" t="str">
        <f t="shared" si="21"/>
        <v>12-15</v>
      </c>
    </row>
    <row r="686" spans="1:11" x14ac:dyDescent="0.2">
      <c r="A686" s="4">
        <v>59</v>
      </c>
      <c r="B686" s="4">
        <v>11</v>
      </c>
      <c r="C686" t="s">
        <v>10</v>
      </c>
      <c r="D686" s="4">
        <v>1</v>
      </c>
      <c r="E686" s="3">
        <v>0.86382466636132405</v>
      </c>
      <c r="F686" s="4">
        <v>1</v>
      </c>
      <c r="G686" s="2">
        <v>1090.1300000000001</v>
      </c>
      <c r="H686" s="2">
        <v>1090.1300000000001</v>
      </c>
      <c r="I686" s="2">
        <v>1090.1300000000001</v>
      </c>
      <c r="J686" s="2" t="str">
        <f t="shared" si="20"/>
        <v>55-64</v>
      </c>
      <c r="K686" s="17" t="str">
        <f t="shared" si="21"/>
        <v>9-11</v>
      </c>
    </row>
    <row r="687" spans="1:11" x14ac:dyDescent="0.2">
      <c r="A687" s="4">
        <v>34</v>
      </c>
      <c r="B687" s="4">
        <v>8</v>
      </c>
      <c r="C687" t="s">
        <v>10</v>
      </c>
      <c r="D687" s="4">
        <v>0</v>
      </c>
      <c r="E687" s="3">
        <v>0.77942702313885104</v>
      </c>
      <c r="F687" s="4">
        <v>1</v>
      </c>
      <c r="G687" s="2">
        <v>806.4</v>
      </c>
      <c r="H687" s="2">
        <v>806.4</v>
      </c>
      <c r="I687" s="2">
        <v>806.4</v>
      </c>
      <c r="J687" s="2" t="str">
        <f t="shared" si="20"/>
        <v>25-34</v>
      </c>
      <c r="K687" s="17" t="str">
        <f t="shared" si="21"/>
        <v>6-8</v>
      </c>
    </row>
    <row r="688" spans="1:11" x14ac:dyDescent="0.2">
      <c r="A688" s="4">
        <v>87</v>
      </c>
      <c r="B688" s="4">
        <v>8</v>
      </c>
      <c r="C688" t="s">
        <v>8</v>
      </c>
      <c r="D688" s="4">
        <v>1</v>
      </c>
      <c r="E688" s="3">
        <v>0.86562970315571897</v>
      </c>
      <c r="F688" s="4">
        <v>1</v>
      </c>
      <c r="G688" s="2">
        <v>1333.48</v>
      </c>
      <c r="H688" s="2">
        <v>1333.48</v>
      </c>
      <c r="I688" s="2">
        <v>1333.48</v>
      </c>
      <c r="J688" s="2" t="str">
        <f t="shared" si="20"/>
        <v>75-90</v>
      </c>
      <c r="K688" s="17" t="str">
        <f t="shared" si="21"/>
        <v>6-8</v>
      </c>
    </row>
    <row r="689" spans="1:11" x14ac:dyDescent="0.2">
      <c r="A689" s="4">
        <v>72</v>
      </c>
      <c r="B689" s="4">
        <v>13</v>
      </c>
      <c r="C689" t="s">
        <v>10</v>
      </c>
      <c r="D689" s="4">
        <v>0</v>
      </c>
      <c r="E689" s="3">
        <v>0.82265632390044596</v>
      </c>
      <c r="F689" s="4">
        <v>1</v>
      </c>
      <c r="G689" s="2">
        <v>844.72</v>
      </c>
      <c r="H689" s="2">
        <v>844.72</v>
      </c>
      <c r="I689" s="2">
        <v>844.72</v>
      </c>
      <c r="J689" s="2" t="str">
        <f t="shared" si="20"/>
        <v>65-74</v>
      </c>
      <c r="K689" s="17" t="str">
        <f t="shared" si="21"/>
        <v>12-15</v>
      </c>
    </row>
    <row r="690" spans="1:11" x14ac:dyDescent="0.2">
      <c r="A690" s="4">
        <v>49</v>
      </c>
      <c r="B690" s="4">
        <v>1</v>
      </c>
      <c r="C690" t="s">
        <v>10</v>
      </c>
      <c r="D690" s="4">
        <v>2</v>
      </c>
      <c r="E690" s="3">
        <v>0.91999819152988505</v>
      </c>
      <c r="F690" s="4">
        <v>1</v>
      </c>
      <c r="G690" s="2">
        <v>743.41</v>
      </c>
      <c r="H690" s="2">
        <v>743.41</v>
      </c>
      <c r="I690" s="2">
        <v>743.41</v>
      </c>
      <c r="J690" s="2" t="str">
        <f t="shared" si="20"/>
        <v>45-54</v>
      </c>
      <c r="K690" s="17" t="str">
        <f t="shared" si="21"/>
        <v>0-2</v>
      </c>
    </row>
    <row r="691" spans="1:11" x14ac:dyDescent="0.2">
      <c r="A691" s="4">
        <v>73</v>
      </c>
      <c r="B691" s="4">
        <v>0</v>
      </c>
      <c r="C691" t="s">
        <v>16</v>
      </c>
      <c r="D691" s="4">
        <v>1</v>
      </c>
      <c r="E691" s="3">
        <v>0.89258453971706297</v>
      </c>
      <c r="F691" s="4">
        <v>2</v>
      </c>
      <c r="G691" s="2">
        <v>897.19</v>
      </c>
      <c r="H691" s="2">
        <v>448.6</v>
      </c>
      <c r="I691" s="2">
        <v>897.19</v>
      </c>
      <c r="J691" s="2" t="str">
        <f t="shared" si="20"/>
        <v>65-74</v>
      </c>
      <c r="K691" s="17" t="str">
        <f t="shared" si="21"/>
        <v>0-2</v>
      </c>
    </row>
    <row r="692" spans="1:11" x14ac:dyDescent="0.2">
      <c r="A692" s="4">
        <v>84</v>
      </c>
      <c r="B692" s="4">
        <v>3</v>
      </c>
      <c r="C692" t="s">
        <v>8</v>
      </c>
      <c r="D692" s="4">
        <v>2</v>
      </c>
      <c r="E692" s="3">
        <v>0.81644057645462498</v>
      </c>
      <c r="F692" s="4">
        <v>1</v>
      </c>
      <c r="G692" s="2">
        <v>2429.41</v>
      </c>
      <c r="H692" s="2">
        <v>2429.41</v>
      </c>
      <c r="I692" s="2">
        <v>2429.41</v>
      </c>
      <c r="J692" s="2" t="str">
        <f t="shared" si="20"/>
        <v>75-90</v>
      </c>
      <c r="K692" s="17" t="str">
        <f t="shared" si="21"/>
        <v>3-5</v>
      </c>
    </row>
    <row r="693" spans="1:11" x14ac:dyDescent="0.2">
      <c r="A693" s="4">
        <v>77</v>
      </c>
      <c r="B693" s="4">
        <v>14</v>
      </c>
      <c r="C693" t="s">
        <v>16</v>
      </c>
      <c r="D693" s="4">
        <v>1</v>
      </c>
      <c r="E693" s="3">
        <v>0.74118465499486796</v>
      </c>
      <c r="F693" s="4">
        <v>2</v>
      </c>
      <c r="G693" s="2">
        <v>1351.03</v>
      </c>
      <c r="H693" s="2">
        <v>675.52</v>
      </c>
      <c r="I693" s="2">
        <v>1351.03</v>
      </c>
      <c r="J693" s="2" t="str">
        <f t="shared" si="20"/>
        <v>75-90</v>
      </c>
      <c r="K693" s="17" t="str">
        <f t="shared" si="21"/>
        <v>12-15</v>
      </c>
    </row>
    <row r="694" spans="1:11" x14ac:dyDescent="0.2">
      <c r="A694" s="4">
        <v>52</v>
      </c>
      <c r="B694" s="4">
        <v>11</v>
      </c>
      <c r="C694" t="s">
        <v>16</v>
      </c>
      <c r="D694" s="4">
        <v>0</v>
      </c>
      <c r="E694" s="3">
        <v>0.93814816256053701</v>
      </c>
      <c r="F694" s="4">
        <v>1</v>
      </c>
      <c r="G694" s="2">
        <v>770.46</v>
      </c>
      <c r="H694" s="2">
        <v>770.46</v>
      </c>
      <c r="I694" s="2">
        <v>770.46</v>
      </c>
      <c r="J694" s="2" t="str">
        <f t="shared" si="20"/>
        <v>45-54</v>
      </c>
      <c r="K694" s="17" t="str">
        <f t="shared" si="21"/>
        <v>9-11</v>
      </c>
    </row>
    <row r="695" spans="1:11" x14ac:dyDescent="0.2">
      <c r="A695" s="4">
        <v>61</v>
      </c>
      <c r="B695" s="4">
        <v>0</v>
      </c>
      <c r="C695" t="s">
        <v>10</v>
      </c>
      <c r="D695" s="4">
        <v>0</v>
      </c>
      <c r="E695" s="3">
        <v>0.84040417219512198</v>
      </c>
      <c r="F695" s="4">
        <v>1</v>
      </c>
      <c r="G695" s="2">
        <v>654.03</v>
      </c>
      <c r="H695" s="2">
        <v>654.03</v>
      </c>
      <c r="I695" s="2">
        <v>654.03</v>
      </c>
      <c r="J695" s="2" t="str">
        <f t="shared" si="20"/>
        <v>55-64</v>
      </c>
      <c r="K695" s="17" t="str">
        <f t="shared" si="21"/>
        <v>0-2</v>
      </c>
    </row>
    <row r="696" spans="1:11" x14ac:dyDescent="0.2">
      <c r="A696" s="4">
        <v>27</v>
      </c>
      <c r="B696" s="4">
        <v>1</v>
      </c>
      <c r="C696" t="s">
        <v>10</v>
      </c>
      <c r="D696" s="4">
        <v>0</v>
      </c>
      <c r="E696" s="3">
        <v>0.66726498061325401</v>
      </c>
      <c r="F696" s="4">
        <v>1</v>
      </c>
      <c r="G696" s="2">
        <v>400.97</v>
      </c>
      <c r="H696" s="2">
        <v>400.97</v>
      </c>
      <c r="I696" s="2">
        <v>400.97</v>
      </c>
      <c r="J696" s="2" t="str">
        <f t="shared" si="20"/>
        <v>25-34</v>
      </c>
      <c r="K696" s="17" t="str">
        <f t="shared" si="21"/>
        <v>0-2</v>
      </c>
    </row>
    <row r="697" spans="1:11" x14ac:dyDescent="0.2">
      <c r="A697" s="4">
        <v>66</v>
      </c>
      <c r="B697" s="4">
        <v>3</v>
      </c>
      <c r="C697" t="s">
        <v>16</v>
      </c>
      <c r="D697" s="4">
        <v>0</v>
      </c>
      <c r="E697" s="3">
        <v>0.86234287382103503</v>
      </c>
      <c r="F697" s="4">
        <v>1</v>
      </c>
      <c r="G697" s="2">
        <v>549.53</v>
      </c>
      <c r="H697" s="2">
        <v>549.53</v>
      </c>
      <c r="I697" s="2">
        <v>549.53</v>
      </c>
      <c r="J697" s="2" t="str">
        <f t="shared" si="20"/>
        <v>65-74</v>
      </c>
      <c r="K697" s="17" t="str">
        <f t="shared" si="21"/>
        <v>3-5</v>
      </c>
    </row>
    <row r="698" spans="1:11" x14ac:dyDescent="0.2">
      <c r="A698" s="4">
        <v>74</v>
      </c>
      <c r="B698" s="4">
        <v>4</v>
      </c>
      <c r="C698" t="s">
        <v>16</v>
      </c>
      <c r="D698" s="4">
        <v>2</v>
      </c>
      <c r="E698" s="3">
        <v>0.68429743743035898</v>
      </c>
      <c r="F698" s="4">
        <v>1</v>
      </c>
      <c r="G698" s="2">
        <v>1686.74</v>
      </c>
      <c r="H698" s="2">
        <v>1686.74</v>
      </c>
      <c r="I698" s="2">
        <v>1686.74</v>
      </c>
      <c r="J698" s="2" t="str">
        <f t="shared" si="20"/>
        <v>65-74</v>
      </c>
      <c r="K698" s="17" t="str">
        <f t="shared" si="21"/>
        <v>3-5</v>
      </c>
    </row>
    <row r="699" spans="1:11" x14ac:dyDescent="0.2">
      <c r="A699" s="4">
        <v>66</v>
      </c>
      <c r="B699" s="4">
        <v>3</v>
      </c>
      <c r="C699" t="s">
        <v>10</v>
      </c>
      <c r="D699" s="4">
        <v>2</v>
      </c>
      <c r="E699" s="3">
        <v>0.87154011230450101</v>
      </c>
      <c r="F699" s="4">
        <v>2</v>
      </c>
      <c r="G699" s="2">
        <v>838.39</v>
      </c>
      <c r="H699" s="2">
        <v>419.19</v>
      </c>
      <c r="I699" s="2">
        <v>838.39</v>
      </c>
      <c r="J699" s="2" t="str">
        <f t="shared" si="20"/>
        <v>65-74</v>
      </c>
      <c r="K699" s="17" t="str">
        <f t="shared" si="21"/>
        <v>3-5</v>
      </c>
    </row>
    <row r="700" spans="1:11" x14ac:dyDescent="0.2">
      <c r="A700" s="4">
        <v>62</v>
      </c>
      <c r="B700" s="4">
        <v>6</v>
      </c>
      <c r="C700" t="s">
        <v>8</v>
      </c>
      <c r="D700" s="4">
        <v>1</v>
      </c>
      <c r="E700" s="3">
        <v>0.69693764299154304</v>
      </c>
      <c r="F700" s="4">
        <v>1</v>
      </c>
      <c r="G700" s="2">
        <v>495.21</v>
      </c>
      <c r="H700" s="2">
        <v>495.21</v>
      </c>
      <c r="I700" s="2">
        <v>495.21</v>
      </c>
      <c r="J700" s="2" t="str">
        <f t="shared" si="20"/>
        <v>55-64</v>
      </c>
      <c r="K700" s="17" t="str">
        <f t="shared" si="21"/>
        <v>6-8</v>
      </c>
    </row>
    <row r="701" spans="1:11" x14ac:dyDescent="0.2">
      <c r="A701" s="4">
        <v>78</v>
      </c>
      <c r="B701" s="4">
        <v>8</v>
      </c>
      <c r="C701" t="s">
        <v>8</v>
      </c>
      <c r="D701" s="4">
        <v>0</v>
      </c>
      <c r="E701" s="3">
        <v>0.633861144771799</v>
      </c>
      <c r="F701" s="4">
        <v>1</v>
      </c>
      <c r="G701" s="2">
        <v>881.96</v>
      </c>
      <c r="H701" s="2">
        <v>881.96</v>
      </c>
      <c r="I701" s="2">
        <v>881.96</v>
      </c>
      <c r="J701" s="2" t="str">
        <f t="shared" si="20"/>
        <v>75-90</v>
      </c>
      <c r="K701" s="17" t="str">
        <f t="shared" si="21"/>
        <v>6-8</v>
      </c>
    </row>
    <row r="702" spans="1:11" x14ac:dyDescent="0.2">
      <c r="A702" s="4">
        <v>30</v>
      </c>
      <c r="B702" s="4">
        <v>13</v>
      </c>
      <c r="C702" t="s">
        <v>10</v>
      </c>
      <c r="D702" s="4">
        <v>0</v>
      </c>
      <c r="E702" s="3">
        <v>0.61649590858724002</v>
      </c>
      <c r="F702" s="4">
        <v>1</v>
      </c>
      <c r="G702" s="2">
        <v>394.82</v>
      </c>
      <c r="H702" s="2">
        <v>394.82</v>
      </c>
      <c r="I702" s="2">
        <v>394.82</v>
      </c>
      <c r="J702" s="2" t="str">
        <f t="shared" si="20"/>
        <v>25-34</v>
      </c>
      <c r="K702" s="17" t="str">
        <f t="shared" si="21"/>
        <v>12-15</v>
      </c>
    </row>
    <row r="703" spans="1:11" x14ac:dyDescent="0.2">
      <c r="A703" s="4">
        <v>70</v>
      </c>
      <c r="B703" s="4">
        <v>13</v>
      </c>
      <c r="C703" t="s">
        <v>8</v>
      </c>
      <c r="D703" s="4">
        <v>0</v>
      </c>
      <c r="E703" s="3">
        <v>0.93895121337845899</v>
      </c>
      <c r="F703" s="4">
        <v>2</v>
      </c>
      <c r="G703" s="2">
        <v>1539.72</v>
      </c>
      <c r="H703" s="2">
        <v>769.86</v>
      </c>
      <c r="I703" s="2">
        <v>1539.72</v>
      </c>
      <c r="J703" s="2" t="str">
        <f t="shared" si="20"/>
        <v>65-74</v>
      </c>
      <c r="K703" s="17" t="str">
        <f t="shared" si="21"/>
        <v>12-15</v>
      </c>
    </row>
    <row r="704" spans="1:11" x14ac:dyDescent="0.2">
      <c r="A704" s="4">
        <v>51</v>
      </c>
      <c r="B704" s="4">
        <v>4</v>
      </c>
      <c r="C704" t="s">
        <v>10</v>
      </c>
      <c r="D704" s="4">
        <v>0</v>
      </c>
      <c r="E704" s="3">
        <v>0.92566993378568396</v>
      </c>
      <c r="F704" s="4">
        <v>2</v>
      </c>
      <c r="G704" s="2">
        <v>859.53</v>
      </c>
      <c r="H704" s="2">
        <v>429.77</v>
      </c>
      <c r="I704" s="2">
        <v>859.53</v>
      </c>
      <c r="J704" s="2" t="str">
        <f t="shared" si="20"/>
        <v>45-54</v>
      </c>
      <c r="K704" s="17" t="str">
        <f t="shared" si="21"/>
        <v>3-5</v>
      </c>
    </row>
    <row r="705" spans="1:11" x14ac:dyDescent="0.2">
      <c r="A705" s="4">
        <v>64</v>
      </c>
      <c r="B705" s="4">
        <v>5</v>
      </c>
      <c r="C705" t="s">
        <v>8</v>
      </c>
      <c r="D705" s="4">
        <v>0</v>
      </c>
      <c r="E705" s="3">
        <v>0.79294506914448004</v>
      </c>
      <c r="F705" s="4">
        <v>1</v>
      </c>
      <c r="G705" s="2">
        <v>422.01</v>
      </c>
      <c r="H705" s="2">
        <v>422.01</v>
      </c>
      <c r="I705" s="2">
        <v>422.01</v>
      </c>
      <c r="J705" s="2" t="str">
        <f t="shared" si="20"/>
        <v>55-64</v>
      </c>
      <c r="K705" s="17" t="str">
        <f t="shared" si="21"/>
        <v>3-5</v>
      </c>
    </row>
    <row r="706" spans="1:11" x14ac:dyDescent="0.2">
      <c r="A706" s="4">
        <v>41</v>
      </c>
      <c r="B706" s="4">
        <v>7</v>
      </c>
      <c r="C706" t="s">
        <v>8</v>
      </c>
      <c r="D706" s="4">
        <v>2</v>
      </c>
      <c r="E706" s="3">
        <v>0.55916379787959203</v>
      </c>
      <c r="F706" s="4">
        <v>1</v>
      </c>
      <c r="G706" s="2">
        <v>1099.06</v>
      </c>
      <c r="H706" s="2">
        <v>1099.06</v>
      </c>
      <c r="I706" s="2">
        <v>1099.06</v>
      </c>
      <c r="J706" s="2" t="str">
        <f t="shared" ref="J706:J769" si="22" xml:space="preserve"> IF(A706&lt;25,"18-24",
 IF(A706&lt;35,"25-34",
 IF(A706&lt;45,"35-44",
 IF(A706&lt;55,"45-54", IF(A706&lt;65, "55-64", IF(A706&lt;75, "65-74", "75-90"))))))</f>
        <v>35-44</v>
      </c>
      <c r="K706" s="17" t="str">
        <f t="shared" ref="K706:K769" si="23" xml:space="preserve"> IF(B706 &lt; 3, "0-2", IF(B706 &lt; 6, "3-5", IF(B706 &lt; 9, "6-8", IF(B706 &lt; 12, "9-11", "12-15"))))</f>
        <v>6-8</v>
      </c>
    </row>
    <row r="707" spans="1:11" x14ac:dyDescent="0.2">
      <c r="A707" s="4">
        <v>29</v>
      </c>
      <c r="B707" s="4">
        <v>12</v>
      </c>
      <c r="C707" t="s">
        <v>8</v>
      </c>
      <c r="D707" s="4">
        <v>1</v>
      </c>
      <c r="E707" s="3">
        <v>0.96043940226081803</v>
      </c>
      <c r="F707" s="4">
        <v>2</v>
      </c>
      <c r="G707" s="2">
        <v>727.08</v>
      </c>
      <c r="H707" s="2">
        <v>363.54</v>
      </c>
      <c r="I707" s="2">
        <v>727.08</v>
      </c>
      <c r="J707" s="2" t="str">
        <f t="shared" si="22"/>
        <v>25-34</v>
      </c>
      <c r="K707" s="17" t="str">
        <f t="shared" si="23"/>
        <v>12-15</v>
      </c>
    </row>
    <row r="708" spans="1:11" x14ac:dyDescent="0.2">
      <c r="A708" s="4">
        <v>40</v>
      </c>
      <c r="B708" s="4">
        <v>14</v>
      </c>
      <c r="C708" t="s">
        <v>10</v>
      </c>
      <c r="D708" s="4">
        <v>0</v>
      </c>
      <c r="E708" s="3">
        <v>0.800255512818694</v>
      </c>
      <c r="F708" s="4">
        <v>1</v>
      </c>
      <c r="G708" s="2">
        <v>444.23</v>
      </c>
      <c r="H708" s="2">
        <v>444.23</v>
      </c>
      <c r="I708" s="2">
        <v>444.23</v>
      </c>
      <c r="J708" s="2" t="str">
        <f t="shared" si="22"/>
        <v>35-44</v>
      </c>
      <c r="K708" s="17" t="str">
        <f t="shared" si="23"/>
        <v>12-15</v>
      </c>
    </row>
    <row r="709" spans="1:11" x14ac:dyDescent="0.2">
      <c r="A709" s="4">
        <v>71</v>
      </c>
      <c r="B709" s="4">
        <v>8</v>
      </c>
      <c r="C709" t="s">
        <v>10</v>
      </c>
      <c r="D709" s="4">
        <v>1</v>
      </c>
      <c r="E709" s="3">
        <v>0.58318893960677098</v>
      </c>
      <c r="F709" s="4">
        <v>1</v>
      </c>
      <c r="G709" s="2">
        <v>1128.6199999999999</v>
      </c>
      <c r="H709" s="2">
        <v>1128.6199999999999</v>
      </c>
      <c r="I709" s="2">
        <v>1128.6199999999999</v>
      </c>
      <c r="J709" s="2" t="str">
        <f t="shared" si="22"/>
        <v>65-74</v>
      </c>
      <c r="K709" s="17" t="str">
        <f t="shared" si="23"/>
        <v>6-8</v>
      </c>
    </row>
    <row r="710" spans="1:11" x14ac:dyDescent="0.2">
      <c r="A710" s="4">
        <v>48</v>
      </c>
      <c r="B710" s="4">
        <v>15</v>
      </c>
      <c r="C710" t="s">
        <v>16</v>
      </c>
      <c r="D710" s="4">
        <v>0</v>
      </c>
      <c r="E710" s="3">
        <v>0.77334148553200099</v>
      </c>
      <c r="F710" s="4">
        <v>1</v>
      </c>
      <c r="G710" s="2">
        <v>799.34</v>
      </c>
      <c r="H710" s="2">
        <v>799.34</v>
      </c>
      <c r="I710" s="2">
        <v>799.34</v>
      </c>
      <c r="J710" s="2" t="str">
        <f t="shared" si="22"/>
        <v>45-54</v>
      </c>
      <c r="K710" s="17" t="str">
        <f t="shared" si="23"/>
        <v>12-15</v>
      </c>
    </row>
    <row r="711" spans="1:11" x14ac:dyDescent="0.2">
      <c r="A711" s="4">
        <v>56</v>
      </c>
      <c r="B711" s="4">
        <v>0</v>
      </c>
      <c r="C711" t="s">
        <v>8</v>
      </c>
      <c r="D711" s="4">
        <v>1</v>
      </c>
      <c r="E711" s="3">
        <v>0.52005169214680802</v>
      </c>
      <c r="F711" s="4">
        <v>1</v>
      </c>
      <c r="G711" s="2">
        <v>1586.23</v>
      </c>
      <c r="H711" s="2">
        <v>1586.23</v>
      </c>
      <c r="I711" s="2">
        <v>1586.23</v>
      </c>
      <c r="J711" s="2" t="str">
        <f t="shared" si="22"/>
        <v>55-64</v>
      </c>
      <c r="K711" s="17" t="str">
        <f t="shared" si="23"/>
        <v>0-2</v>
      </c>
    </row>
    <row r="712" spans="1:11" x14ac:dyDescent="0.2">
      <c r="A712" s="4">
        <v>63</v>
      </c>
      <c r="B712" s="4">
        <v>12</v>
      </c>
      <c r="C712" t="s">
        <v>16</v>
      </c>
      <c r="D712" s="4">
        <v>1</v>
      </c>
      <c r="E712" s="3">
        <v>0.72549048147629902</v>
      </c>
      <c r="F712" s="4">
        <v>2</v>
      </c>
      <c r="G712" s="2">
        <v>1163.03</v>
      </c>
      <c r="H712" s="2">
        <v>581.52</v>
      </c>
      <c r="I712" s="2">
        <v>1163.03</v>
      </c>
      <c r="J712" s="2" t="str">
        <f t="shared" si="22"/>
        <v>55-64</v>
      </c>
      <c r="K712" s="17" t="str">
        <f t="shared" si="23"/>
        <v>12-15</v>
      </c>
    </row>
    <row r="713" spans="1:11" x14ac:dyDescent="0.2">
      <c r="A713" s="4">
        <v>49</v>
      </c>
      <c r="B713" s="4">
        <v>12</v>
      </c>
      <c r="C713" t="s">
        <v>16</v>
      </c>
      <c r="D713" s="4">
        <v>1</v>
      </c>
      <c r="E713" s="3">
        <v>0.90720567258540497</v>
      </c>
      <c r="F713" s="4">
        <v>1</v>
      </c>
      <c r="G713" s="2">
        <v>735.82</v>
      </c>
      <c r="H713" s="2">
        <v>735.82</v>
      </c>
      <c r="I713" s="2">
        <v>735.82</v>
      </c>
      <c r="J713" s="2" t="str">
        <f t="shared" si="22"/>
        <v>45-54</v>
      </c>
      <c r="K713" s="17" t="str">
        <f t="shared" si="23"/>
        <v>12-15</v>
      </c>
    </row>
    <row r="714" spans="1:11" x14ac:dyDescent="0.2">
      <c r="A714" s="4">
        <v>87</v>
      </c>
      <c r="B714" s="4">
        <v>12</v>
      </c>
      <c r="C714" t="s">
        <v>8</v>
      </c>
      <c r="D714" s="4">
        <v>1</v>
      </c>
      <c r="E714" s="3">
        <v>0.86203029169700995</v>
      </c>
      <c r="F714" s="4">
        <v>2</v>
      </c>
      <c r="G714" s="2">
        <v>4021.5</v>
      </c>
      <c r="H714" s="2">
        <v>2010.75</v>
      </c>
      <c r="I714" s="2">
        <v>4021.5</v>
      </c>
      <c r="J714" s="2" t="str">
        <f t="shared" si="22"/>
        <v>75-90</v>
      </c>
      <c r="K714" s="17" t="str">
        <f t="shared" si="23"/>
        <v>12-15</v>
      </c>
    </row>
    <row r="715" spans="1:11" x14ac:dyDescent="0.2">
      <c r="A715" s="4">
        <v>70</v>
      </c>
      <c r="B715" s="4">
        <v>4</v>
      </c>
      <c r="C715" t="s">
        <v>16</v>
      </c>
      <c r="D715" s="4">
        <v>0</v>
      </c>
      <c r="E715" s="3">
        <v>0.84739648166578296</v>
      </c>
      <c r="F715" s="4">
        <v>1</v>
      </c>
      <c r="G715" s="2">
        <v>1156.98</v>
      </c>
      <c r="H715" s="2">
        <v>1156.98</v>
      </c>
      <c r="I715" s="2">
        <v>1156.98</v>
      </c>
      <c r="J715" s="2" t="str">
        <f t="shared" si="22"/>
        <v>65-74</v>
      </c>
      <c r="K715" s="17" t="str">
        <f t="shared" si="23"/>
        <v>3-5</v>
      </c>
    </row>
    <row r="716" spans="1:11" x14ac:dyDescent="0.2">
      <c r="A716" s="4">
        <v>78</v>
      </c>
      <c r="B716" s="4">
        <v>9</v>
      </c>
      <c r="C716" t="s">
        <v>8</v>
      </c>
      <c r="D716" s="4">
        <v>0</v>
      </c>
      <c r="E716" s="3">
        <v>0.53448214067611799</v>
      </c>
      <c r="F716" s="4">
        <v>1</v>
      </c>
      <c r="G716" s="2">
        <v>1432.73</v>
      </c>
      <c r="H716" s="2">
        <v>1432.73</v>
      </c>
      <c r="I716" s="2">
        <v>1432.73</v>
      </c>
      <c r="J716" s="2" t="str">
        <f t="shared" si="22"/>
        <v>75-90</v>
      </c>
      <c r="K716" s="17" t="str">
        <f t="shared" si="23"/>
        <v>9-11</v>
      </c>
    </row>
    <row r="717" spans="1:11" x14ac:dyDescent="0.2">
      <c r="A717" s="4">
        <v>70</v>
      </c>
      <c r="B717" s="4">
        <v>7</v>
      </c>
      <c r="C717" t="s">
        <v>8</v>
      </c>
      <c r="D717" s="4">
        <v>0</v>
      </c>
      <c r="E717" s="3">
        <v>0.73483569780364599</v>
      </c>
      <c r="F717" s="4">
        <v>1</v>
      </c>
      <c r="G717" s="2">
        <v>974.32</v>
      </c>
      <c r="H717" s="2">
        <v>974.32</v>
      </c>
      <c r="I717" s="2">
        <v>974.32</v>
      </c>
      <c r="J717" s="2" t="str">
        <f t="shared" si="22"/>
        <v>65-74</v>
      </c>
      <c r="K717" s="17" t="str">
        <f t="shared" si="23"/>
        <v>6-8</v>
      </c>
    </row>
    <row r="718" spans="1:11" x14ac:dyDescent="0.2">
      <c r="A718" s="4">
        <v>33</v>
      </c>
      <c r="B718" s="4">
        <v>8</v>
      </c>
      <c r="C718" t="s">
        <v>8</v>
      </c>
      <c r="D718" s="4">
        <v>0</v>
      </c>
      <c r="E718" s="3">
        <v>0.75774757598992404</v>
      </c>
      <c r="F718" s="4">
        <v>1</v>
      </c>
      <c r="G718" s="2">
        <v>447.55</v>
      </c>
      <c r="H718" s="2">
        <v>447.55</v>
      </c>
      <c r="I718" s="2">
        <v>447.55</v>
      </c>
      <c r="J718" s="2" t="str">
        <f t="shared" si="22"/>
        <v>25-34</v>
      </c>
      <c r="K718" s="17" t="str">
        <f t="shared" si="23"/>
        <v>6-8</v>
      </c>
    </row>
    <row r="719" spans="1:11" x14ac:dyDescent="0.2">
      <c r="A719" s="4">
        <v>54</v>
      </c>
      <c r="B719" s="4">
        <v>8</v>
      </c>
      <c r="C719" t="s">
        <v>8</v>
      </c>
      <c r="D719" s="4">
        <v>0</v>
      </c>
      <c r="E719" s="3">
        <v>0.65765231521800205</v>
      </c>
      <c r="F719" s="4">
        <v>2</v>
      </c>
      <c r="G719" s="2">
        <v>521.04</v>
      </c>
      <c r="H719" s="2">
        <v>260.52</v>
      </c>
      <c r="I719" s="2">
        <v>521.04</v>
      </c>
      <c r="J719" s="2" t="str">
        <f t="shared" si="22"/>
        <v>45-54</v>
      </c>
      <c r="K719" s="17" t="str">
        <f t="shared" si="23"/>
        <v>6-8</v>
      </c>
    </row>
    <row r="720" spans="1:11" x14ac:dyDescent="0.2">
      <c r="A720" s="4">
        <v>73</v>
      </c>
      <c r="B720" s="4">
        <v>1</v>
      </c>
      <c r="C720" t="s">
        <v>10</v>
      </c>
      <c r="D720" s="4">
        <v>0</v>
      </c>
      <c r="E720" s="3">
        <v>0.66056882892735302</v>
      </c>
      <c r="F720" s="4">
        <v>1</v>
      </c>
      <c r="G720" s="2">
        <v>361.69</v>
      </c>
      <c r="H720" s="2">
        <v>361.69</v>
      </c>
      <c r="I720" s="2">
        <v>361.69</v>
      </c>
      <c r="J720" s="2" t="str">
        <f t="shared" si="22"/>
        <v>65-74</v>
      </c>
      <c r="K720" s="17" t="str">
        <f t="shared" si="23"/>
        <v>0-2</v>
      </c>
    </row>
    <row r="721" spans="1:11" x14ac:dyDescent="0.2">
      <c r="A721" s="4">
        <v>69</v>
      </c>
      <c r="B721" s="4">
        <v>9</v>
      </c>
      <c r="C721" t="s">
        <v>8</v>
      </c>
      <c r="D721" s="4">
        <v>1</v>
      </c>
      <c r="E721" s="3">
        <v>0.58424934162758302</v>
      </c>
      <c r="F721" s="4">
        <v>1</v>
      </c>
      <c r="G721" s="2">
        <v>1524.38</v>
      </c>
      <c r="H721" s="2">
        <v>1524.38</v>
      </c>
      <c r="I721" s="2">
        <v>1524.38</v>
      </c>
      <c r="J721" s="2" t="str">
        <f t="shared" si="22"/>
        <v>65-74</v>
      </c>
      <c r="K721" s="17" t="str">
        <f t="shared" si="23"/>
        <v>9-11</v>
      </c>
    </row>
    <row r="722" spans="1:11" x14ac:dyDescent="0.2">
      <c r="A722" s="4">
        <v>79</v>
      </c>
      <c r="B722" s="4">
        <v>2</v>
      </c>
      <c r="C722" t="s">
        <v>16</v>
      </c>
      <c r="D722" s="4">
        <v>0</v>
      </c>
      <c r="E722" s="3">
        <v>0.95150800771080002</v>
      </c>
      <c r="F722" s="4">
        <v>3</v>
      </c>
      <c r="G722" s="2">
        <v>1933.99</v>
      </c>
      <c r="H722" s="2">
        <v>644.66</v>
      </c>
      <c r="I722" s="2">
        <v>1933.99</v>
      </c>
      <c r="J722" s="2" t="str">
        <f t="shared" si="22"/>
        <v>75-90</v>
      </c>
      <c r="K722" s="17" t="str">
        <f t="shared" si="23"/>
        <v>0-2</v>
      </c>
    </row>
    <row r="723" spans="1:11" x14ac:dyDescent="0.2">
      <c r="A723" s="4">
        <v>66</v>
      </c>
      <c r="B723" s="4">
        <v>5</v>
      </c>
      <c r="C723" t="s">
        <v>10</v>
      </c>
      <c r="D723" s="4">
        <v>0</v>
      </c>
      <c r="E723" s="3">
        <v>0.93203798600006804</v>
      </c>
      <c r="F723" s="4">
        <v>1</v>
      </c>
      <c r="G723" s="2">
        <v>1223.46</v>
      </c>
      <c r="H723" s="2">
        <v>1223.46</v>
      </c>
      <c r="I723" s="2">
        <v>1223.46</v>
      </c>
      <c r="J723" s="2" t="str">
        <f t="shared" si="22"/>
        <v>65-74</v>
      </c>
      <c r="K723" s="17" t="str">
        <f t="shared" si="23"/>
        <v>3-5</v>
      </c>
    </row>
    <row r="724" spans="1:11" x14ac:dyDescent="0.2">
      <c r="A724" s="4">
        <v>56</v>
      </c>
      <c r="B724" s="4">
        <v>10</v>
      </c>
      <c r="C724" t="s">
        <v>16</v>
      </c>
      <c r="D724" s="4">
        <v>0</v>
      </c>
      <c r="E724" s="3">
        <v>0.58267091121524595</v>
      </c>
      <c r="F724" s="4">
        <v>1</v>
      </c>
      <c r="G724" s="2">
        <v>2096.8200000000002</v>
      </c>
      <c r="H724" s="2">
        <v>2096.8200000000002</v>
      </c>
      <c r="I724" s="2">
        <v>2096.8200000000002</v>
      </c>
      <c r="J724" s="2" t="str">
        <f t="shared" si="22"/>
        <v>55-64</v>
      </c>
      <c r="K724" s="17" t="str">
        <f t="shared" si="23"/>
        <v>9-11</v>
      </c>
    </row>
    <row r="725" spans="1:11" x14ac:dyDescent="0.2">
      <c r="A725" s="4">
        <v>28</v>
      </c>
      <c r="B725" s="4">
        <v>2</v>
      </c>
      <c r="C725" t="s">
        <v>8</v>
      </c>
      <c r="D725" s="4">
        <v>1</v>
      </c>
      <c r="E725" s="3">
        <v>0.81787674466613702</v>
      </c>
      <c r="F725" s="4">
        <v>1</v>
      </c>
      <c r="G725" s="2">
        <v>422.84</v>
      </c>
      <c r="H725" s="2">
        <v>422.84</v>
      </c>
      <c r="I725" s="2">
        <v>422.84</v>
      </c>
      <c r="J725" s="2" t="str">
        <f t="shared" si="22"/>
        <v>25-34</v>
      </c>
      <c r="K725" s="17" t="str">
        <f t="shared" si="23"/>
        <v>0-2</v>
      </c>
    </row>
    <row r="726" spans="1:11" x14ac:dyDescent="0.2">
      <c r="A726" s="4">
        <v>29</v>
      </c>
      <c r="B726" s="4">
        <v>12</v>
      </c>
      <c r="C726" t="s">
        <v>8</v>
      </c>
      <c r="D726" s="4">
        <v>0</v>
      </c>
      <c r="E726" s="3">
        <v>0.58903060993179701</v>
      </c>
      <c r="F726" s="4">
        <v>1</v>
      </c>
      <c r="G726" s="2">
        <v>503.42</v>
      </c>
      <c r="H726" s="2">
        <v>503.42</v>
      </c>
      <c r="I726" s="2">
        <v>503.42</v>
      </c>
      <c r="J726" s="2" t="str">
        <f t="shared" si="22"/>
        <v>25-34</v>
      </c>
      <c r="K726" s="17" t="str">
        <f t="shared" si="23"/>
        <v>12-15</v>
      </c>
    </row>
    <row r="727" spans="1:11" x14ac:dyDescent="0.2">
      <c r="A727" s="4">
        <v>76</v>
      </c>
      <c r="B727" s="4">
        <v>7</v>
      </c>
      <c r="C727" t="s">
        <v>8</v>
      </c>
      <c r="D727" s="4">
        <v>2</v>
      </c>
      <c r="E727" s="3">
        <v>0.85014087019953899</v>
      </c>
      <c r="F727" s="4">
        <v>1</v>
      </c>
      <c r="G727" s="2">
        <v>1982.55</v>
      </c>
      <c r="H727" s="2">
        <v>1982.55</v>
      </c>
      <c r="I727" s="2">
        <v>1982.55</v>
      </c>
      <c r="J727" s="2" t="str">
        <f t="shared" si="22"/>
        <v>75-90</v>
      </c>
      <c r="K727" s="17" t="str">
        <f t="shared" si="23"/>
        <v>6-8</v>
      </c>
    </row>
    <row r="728" spans="1:11" x14ac:dyDescent="0.2">
      <c r="A728" s="4">
        <v>69</v>
      </c>
      <c r="B728" s="4">
        <v>5</v>
      </c>
      <c r="C728" t="s">
        <v>16</v>
      </c>
      <c r="D728" s="4">
        <v>1</v>
      </c>
      <c r="E728" s="3">
        <v>0.65815559367183596</v>
      </c>
      <c r="F728" s="4">
        <v>1</v>
      </c>
      <c r="G728" s="2">
        <v>764.42</v>
      </c>
      <c r="H728" s="2">
        <v>764.42</v>
      </c>
      <c r="I728" s="2">
        <v>764.42</v>
      </c>
      <c r="J728" s="2" t="str">
        <f t="shared" si="22"/>
        <v>65-74</v>
      </c>
      <c r="K728" s="17" t="str">
        <f t="shared" si="23"/>
        <v>3-5</v>
      </c>
    </row>
    <row r="729" spans="1:11" x14ac:dyDescent="0.2">
      <c r="A729" s="4">
        <v>25</v>
      </c>
      <c r="B729" s="4">
        <v>11</v>
      </c>
      <c r="C729" t="s">
        <v>16</v>
      </c>
      <c r="D729" s="4">
        <v>0</v>
      </c>
      <c r="E729" s="3">
        <v>0.64536535146180496</v>
      </c>
      <c r="F729" s="4">
        <v>2</v>
      </c>
      <c r="G729" s="2">
        <v>1620.67</v>
      </c>
      <c r="H729" s="2">
        <v>810.33</v>
      </c>
      <c r="I729" s="2">
        <v>1620.67</v>
      </c>
      <c r="J729" s="2" t="str">
        <f t="shared" si="22"/>
        <v>25-34</v>
      </c>
      <c r="K729" s="17" t="str">
        <f t="shared" si="23"/>
        <v>9-11</v>
      </c>
    </row>
    <row r="730" spans="1:11" x14ac:dyDescent="0.2">
      <c r="A730" s="4">
        <v>46</v>
      </c>
      <c r="B730" s="4">
        <v>14</v>
      </c>
      <c r="C730" t="s">
        <v>8</v>
      </c>
      <c r="D730" s="4">
        <v>0</v>
      </c>
      <c r="E730" s="3">
        <v>0.55097168392967399</v>
      </c>
      <c r="F730" s="4">
        <v>2</v>
      </c>
      <c r="G730" s="2">
        <v>316.41000000000003</v>
      </c>
      <c r="H730" s="2">
        <v>158.19999999999999</v>
      </c>
      <c r="I730" s="2">
        <v>316.41000000000003</v>
      </c>
      <c r="J730" s="2" t="str">
        <f t="shared" si="22"/>
        <v>45-54</v>
      </c>
      <c r="K730" s="17" t="str">
        <f t="shared" si="23"/>
        <v>12-15</v>
      </c>
    </row>
    <row r="731" spans="1:11" x14ac:dyDescent="0.2">
      <c r="A731" s="4">
        <v>64</v>
      </c>
      <c r="B731" s="4">
        <v>15</v>
      </c>
      <c r="C731" t="s">
        <v>10</v>
      </c>
      <c r="D731" s="4">
        <v>0</v>
      </c>
      <c r="E731" s="3">
        <v>0.51237311027944099</v>
      </c>
      <c r="F731" s="4">
        <v>3</v>
      </c>
      <c r="G731" s="2">
        <v>1946.01</v>
      </c>
      <c r="H731" s="2">
        <v>648.66999999999996</v>
      </c>
      <c r="I731" s="2">
        <v>1946.01</v>
      </c>
      <c r="J731" s="2" t="str">
        <f t="shared" si="22"/>
        <v>55-64</v>
      </c>
      <c r="K731" s="17" t="str">
        <f t="shared" si="23"/>
        <v>12-15</v>
      </c>
    </row>
    <row r="732" spans="1:11" x14ac:dyDescent="0.2">
      <c r="A732" s="4">
        <v>47</v>
      </c>
      <c r="B732" s="4">
        <v>6</v>
      </c>
      <c r="C732" t="s">
        <v>16</v>
      </c>
      <c r="D732" s="4">
        <v>0</v>
      </c>
      <c r="E732" s="3">
        <v>0.65933418227359697</v>
      </c>
      <c r="F732" s="4">
        <v>1</v>
      </c>
      <c r="G732" s="2">
        <v>539.36</v>
      </c>
      <c r="H732" s="2">
        <v>539.36</v>
      </c>
      <c r="I732" s="2">
        <v>539.36</v>
      </c>
      <c r="J732" s="2" t="str">
        <f t="shared" si="22"/>
        <v>45-54</v>
      </c>
      <c r="K732" s="17" t="str">
        <f t="shared" si="23"/>
        <v>6-8</v>
      </c>
    </row>
    <row r="733" spans="1:11" x14ac:dyDescent="0.2">
      <c r="A733" s="4">
        <v>69</v>
      </c>
      <c r="B733" s="4">
        <v>13</v>
      </c>
      <c r="C733" t="s">
        <v>8</v>
      </c>
      <c r="D733" s="4">
        <v>2</v>
      </c>
      <c r="E733" s="3">
        <v>0.59501177712809294</v>
      </c>
      <c r="F733" s="4">
        <v>2</v>
      </c>
      <c r="G733" s="2">
        <v>6178.44</v>
      </c>
      <c r="H733" s="2">
        <v>3089.22</v>
      </c>
      <c r="I733" s="2">
        <v>6178.44</v>
      </c>
      <c r="J733" s="2" t="str">
        <f t="shared" si="22"/>
        <v>65-74</v>
      </c>
      <c r="K733" s="17" t="str">
        <f t="shared" si="23"/>
        <v>12-15</v>
      </c>
    </row>
    <row r="734" spans="1:11" x14ac:dyDescent="0.2">
      <c r="A734" s="4">
        <v>21</v>
      </c>
      <c r="B734" s="4">
        <v>15</v>
      </c>
      <c r="C734" t="s">
        <v>10</v>
      </c>
      <c r="D734" s="4">
        <v>2</v>
      </c>
      <c r="E734" s="3">
        <v>0.71288690902292695</v>
      </c>
      <c r="F734" s="4">
        <v>1</v>
      </c>
      <c r="G734" s="2">
        <v>1121.96</v>
      </c>
      <c r="H734" s="2">
        <v>1121.96</v>
      </c>
      <c r="I734" s="2">
        <v>1121.96</v>
      </c>
      <c r="J734" s="2" t="str">
        <f t="shared" si="22"/>
        <v>18-24</v>
      </c>
      <c r="K734" s="17" t="str">
        <f t="shared" si="23"/>
        <v>12-15</v>
      </c>
    </row>
    <row r="735" spans="1:11" x14ac:dyDescent="0.2">
      <c r="A735" s="4">
        <v>89</v>
      </c>
      <c r="B735" s="4">
        <v>4</v>
      </c>
      <c r="C735" t="s">
        <v>16</v>
      </c>
      <c r="D735" s="4">
        <v>0</v>
      </c>
      <c r="E735" s="3">
        <v>0.75242228363640595</v>
      </c>
      <c r="F735" s="4">
        <v>1</v>
      </c>
      <c r="G735" s="2">
        <v>1344.36</v>
      </c>
      <c r="H735" s="2">
        <v>1344.36</v>
      </c>
      <c r="I735" s="2">
        <v>1344.36</v>
      </c>
      <c r="J735" s="2" t="str">
        <f t="shared" si="22"/>
        <v>75-90</v>
      </c>
      <c r="K735" s="17" t="str">
        <f t="shared" si="23"/>
        <v>3-5</v>
      </c>
    </row>
    <row r="736" spans="1:11" x14ac:dyDescent="0.2">
      <c r="A736" s="4">
        <v>29</v>
      </c>
      <c r="B736" s="4">
        <v>1</v>
      </c>
      <c r="C736" t="s">
        <v>10</v>
      </c>
      <c r="D736" s="4">
        <v>1</v>
      </c>
      <c r="E736" s="3">
        <v>0.81039060372859195</v>
      </c>
      <c r="F736" s="4">
        <v>1</v>
      </c>
      <c r="G736" s="2">
        <v>610.07000000000005</v>
      </c>
      <c r="H736" s="2">
        <v>610.07000000000005</v>
      </c>
      <c r="I736" s="2">
        <v>610.07000000000005</v>
      </c>
      <c r="J736" s="2" t="str">
        <f t="shared" si="22"/>
        <v>25-34</v>
      </c>
      <c r="K736" s="17" t="str">
        <f t="shared" si="23"/>
        <v>0-2</v>
      </c>
    </row>
    <row r="737" spans="1:11" x14ac:dyDescent="0.2">
      <c r="A737" s="4">
        <v>31</v>
      </c>
      <c r="B737" s="4">
        <v>4</v>
      </c>
      <c r="C737" t="s">
        <v>8</v>
      </c>
      <c r="D737" s="4">
        <v>3</v>
      </c>
      <c r="E737" s="3">
        <v>0.84552466834429696</v>
      </c>
      <c r="F737" s="4">
        <v>1</v>
      </c>
      <c r="G737" s="2">
        <v>1928.7</v>
      </c>
      <c r="H737" s="2">
        <v>1928.7</v>
      </c>
      <c r="I737" s="2">
        <v>1928.7</v>
      </c>
      <c r="J737" s="2" t="str">
        <f t="shared" si="22"/>
        <v>25-34</v>
      </c>
      <c r="K737" s="17" t="str">
        <f t="shared" si="23"/>
        <v>3-5</v>
      </c>
    </row>
    <row r="738" spans="1:11" x14ac:dyDescent="0.2">
      <c r="A738" s="4">
        <v>41</v>
      </c>
      <c r="B738" s="4">
        <v>15</v>
      </c>
      <c r="C738" t="s">
        <v>10</v>
      </c>
      <c r="D738" s="4">
        <v>1</v>
      </c>
      <c r="E738" s="3">
        <v>0.69213622866664104</v>
      </c>
      <c r="F738" s="4">
        <v>1</v>
      </c>
      <c r="G738" s="2">
        <v>1136.8800000000001</v>
      </c>
      <c r="H738" s="2">
        <v>1136.8800000000001</v>
      </c>
      <c r="I738" s="2">
        <v>1136.8800000000001</v>
      </c>
      <c r="J738" s="2" t="str">
        <f t="shared" si="22"/>
        <v>35-44</v>
      </c>
      <c r="K738" s="17" t="str">
        <f t="shared" si="23"/>
        <v>12-15</v>
      </c>
    </row>
    <row r="739" spans="1:11" x14ac:dyDescent="0.2">
      <c r="A739" s="4">
        <v>79</v>
      </c>
      <c r="B739" s="4">
        <v>0</v>
      </c>
      <c r="C739" t="s">
        <v>10</v>
      </c>
      <c r="D739" s="4">
        <v>0</v>
      </c>
      <c r="E739" s="3">
        <v>0.60763388115447003</v>
      </c>
      <c r="F739" s="4">
        <v>1</v>
      </c>
      <c r="G739" s="2">
        <v>1458.98</v>
      </c>
      <c r="H739" s="2">
        <v>1458.98</v>
      </c>
      <c r="I739" s="2">
        <v>1458.98</v>
      </c>
      <c r="J739" s="2" t="str">
        <f t="shared" si="22"/>
        <v>75-90</v>
      </c>
      <c r="K739" s="17" t="str">
        <f t="shared" si="23"/>
        <v>0-2</v>
      </c>
    </row>
    <row r="740" spans="1:11" x14ac:dyDescent="0.2">
      <c r="A740" s="4">
        <v>87</v>
      </c>
      <c r="B740" s="4">
        <v>4</v>
      </c>
      <c r="C740" t="s">
        <v>8</v>
      </c>
      <c r="D740" s="4">
        <v>1</v>
      </c>
      <c r="E740" s="3">
        <v>0.69715018034912601</v>
      </c>
      <c r="F740" s="4">
        <v>1</v>
      </c>
      <c r="G740" s="2">
        <v>1063.01</v>
      </c>
      <c r="H740" s="2">
        <v>1063.01</v>
      </c>
      <c r="I740" s="2">
        <v>1063.01</v>
      </c>
      <c r="J740" s="2" t="str">
        <f t="shared" si="22"/>
        <v>75-90</v>
      </c>
      <c r="K740" s="17" t="str">
        <f t="shared" si="23"/>
        <v>3-5</v>
      </c>
    </row>
    <row r="741" spans="1:11" x14ac:dyDescent="0.2">
      <c r="A741" s="4">
        <v>85</v>
      </c>
      <c r="B741" s="4">
        <v>12</v>
      </c>
      <c r="C741" t="s">
        <v>8</v>
      </c>
      <c r="D741" s="4">
        <v>1</v>
      </c>
      <c r="E741" s="3">
        <v>0.95274996373336795</v>
      </c>
      <c r="F741" s="4">
        <v>2</v>
      </c>
      <c r="G741" s="2">
        <v>1874.39</v>
      </c>
      <c r="H741" s="2">
        <v>937.2</v>
      </c>
      <c r="I741" s="2">
        <v>1874.39</v>
      </c>
      <c r="J741" s="2" t="str">
        <f t="shared" si="22"/>
        <v>75-90</v>
      </c>
      <c r="K741" s="17" t="str">
        <f t="shared" si="23"/>
        <v>12-15</v>
      </c>
    </row>
    <row r="742" spans="1:11" x14ac:dyDescent="0.2">
      <c r="A742" s="4">
        <v>79</v>
      </c>
      <c r="B742" s="4">
        <v>11</v>
      </c>
      <c r="C742" t="s">
        <v>16</v>
      </c>
      <c r="D742" s="4">
        <v>0</v>
      </c>
      <c r="E742" s="3">
        <v>0.93837962322868396</v>
      </c>
      <c r="F742" s="4">
        <v>1</v>
      </c>
      <c r="G742" s="2">
        <v>4064.33</v>
      </c>
      <c r="H742" s="2">
        <v>4064.33</v>
      </c>
      <c r="I742" s="2">
        <v>4064.33</v>
      </c>
      <c r="J742" s="2" t="str">
        <f t="shared" si="22"/>
        <v>75-90</v>
      </c>
      <c r="K742" s="17" t="str">
        <f t="shared" si="23"/>
        <v>9-11</v>
      </c>
    </row>
    <row r="743" spans="1:11" x14ac:dyDescent="0.2">
      <c r="A743" s="4">
        <v>47</v>
      </c>
      <c r="B743" s="4">
        <v>10</v>
      </c>
      <c r="C743" t="s">
        <v>10</v>
      </c>
      <c r="D743" s="4">
        <v>0</v>
      </c>
      <c r="E743" s="3">
        <v>0.69329811993520696</v>
      </c>
      <c r="F743" s="4">
        <v>2</v>
      </c>
      <c r="G743" s="2">
        <v>487.19</v>
      </c>
      <c r="H743" s="2">
        <v>243.59</v>
      </c>
      <c r="I743" s="2">
        <v>487.19</v>
      </c>
      <c r="J743" s="2" t="str">
        <f t="shared" si="22"/>
        <v>45-54</v>
      </c>
      <c r="K743" s="17" t="str">
        <f t="shared" si="23"/>
        <v>9-11</v>
      </c>
    </row>
    <row r="744" spans="1:11" x14ac:dyDescent="0.2">
      <c r="A744" s="4">
        <v>75</v>
      </c>
      <c r="B744" s="4">
        <v>13</v>
      </c>
      <c r="C744" t="s">
        <v>8</v>
      </c>
      <c r="D744" s="4">
        <v>2</v>
      </c>
      <c r="E744" s="3">
        <v>0.63694290886633098</v>
      </c>
      <c r="F744" s="4">
        <v>1</v>
      </c>
      <c r="G744" s="2">
        <v>1395.78</v>
      </c>
      <c r="H744" s="2">
        <v>1395.78</v>
      </c>
      <c r="I744" s="2">
        <v>1395.78</v>
      </c>
      <c r="J744" s="2" t="str">
        <f t="shared" si="22"/>
        <v>75-90</v>
      </c>
      <c r="K744" s="17" t="str">
        <f t="shared" si="23"/>
        <v>12-15</v>
      </c>
    </row>
    <row r="745" spans="1:11" x14ac:dyDescent="0.2">
      <c r="A745" s="4">
        <v>24</v>
      </c>
      <c r="B745" s="4">
        <v>5</v>
      </c>
      <c r="C745" t="s">
        <v>8</v>
      </c>
      <c r="D745" s="4">
        <v>0</v>
      </c>
      <c r="E745" s="3">
        <v>0.92545810167211995</v>
      </c>
      <c r="F745" s="4">
        <v>1</v>
      </c>
      <c r="G745" s="2">
        <v>199.62</v>
      </c>
      <c r="H745" s="2">
        <v>199.62</v>
      </c>
      <c r="I745" s="2">
        <v>199.62</v>
      </c>
      <c r="J745" s="2" t="str">
        <f t="shared" si="22"/>
        <v>18-24</v>
      </c>
      <c r="K745" s="17" t="str">
        <f t="shared" si="23"/>
        <v>3-5</v>
      </c>
    </row>
    <row r="746" spans="1:11" x14ac:dyDescent="0.2">
      <c r="A746" s="4">
        <v>69</v>
      </c>
      <c r="B746" s="4">
        <v>10</v>
      </c>
      <c r="C746" t="s">
        <v>16</v>
      </c>
      <c r="D746" s="4">
        <v>2</v>
      </c>
      <c r="E746" s="3">
        <v>0.82705294585321099</v>
      </c>
      <c r="F746" s="4">
        <v>2</v>
      </c>
      <c r="G746" s="2">
        <v>1326.35</v>
      </c>
      <c r="H746" s="2">
        <v>663.17</v>
      </c>
      <c r="I746" s="2">
        <v>1326.35</v>
      </c>
      <c r="J746" s="2" t="str">
        <f t="shared" si="22"/>
        <v>65-74</v>
      </c>
      <c r="K746" s="17" t="str">
        <f t="shared" si="23"/>
        <v>9-11</v>
      </c>
    </row>
    <row r="747" spans="1:11" x14ac:dyDescent="0.2">
      <c r="A747" s="4">
        <v>59</v>
      </c>
      <c r="B747" s="4">
        <v>11</v>
      </c>
      <c r="C747" t="s">
        <v>8</v>
      </c>
      <c r="D747" s="4">
        <v>0</v>
      </c>
      <c r="E747" s="3">
        <v>0.63332129316404495</v>
      </c>
      <c r="F747" s="4">
        <v>1</v>
      </c>
      <c r="G747" s="2">
        <v>491.27</v>
      </c>
      <c r="H747" s="2">
        <v>491.27</v>
      </c>
      <c r="I747" s="2">
        <v>491.27</v>
      </c>
      <c r="J747" s="2" t="str">
        <f t="shared" si="22"/>
        <v>55-64</v>
      </c>
      <c r="K747" s="17" t="str">
        <f t="shared" si="23"/>
        <v>9-11</v>
      </c>
    </row>
    <row r="748" spans="1:11" x14ac:dyDescent="0.2">
      <c r="A748" s="4">
        <v>46</v>
      </c>
      <c r="B748" s="4">
        <v>12</v>
      </c>
      <c r="C748" t="s">
        <v>16</v>
      </c>
      <c r="D748" s="4">
        <v>0</v>
      </c>
      <c r="E748" s="3">
        <v>0.91502315923571598</v>
      </c>
      <c r="F748" s="4">
        <v>1</v>
      </c>
      <c r="G748" s="2">
        <v>1908.09</v>
      </c>
      <c r="H748" s="2">
        <v>1908.09</v>
      </c>
      <c r="I748" s="2">
        <v>1908.09</v>
      </c>
      <c r="J748" s="2" t="str">
        <f t="shared" si="22"/>
        <v>45-54</v>
      </c>
      <c r="K748" s="17" t="str">
        <f t="shared" si="23"/>
        <v>12-15</v>
      </c>
    </row>
    <row r="749" spans="1:11" x14ac:dyDescent="0.2">
      <c r="A749" s="4">
        <v>56</v>
      </c>
      <c r="B749" s="4">
        <v>0</v>
      </c>
      <c r="C749" t="s">
        <v>10</v>
      </c>
      <c r="D749" s="4">
        <v>1</v>
      </c>
      <c r="E749" s="3">
        <v>0.88189692690502897</v>
      </c>
      <c r="F749" s="4">
        <v>1</v>
      </c>
      <c r="G749" s="2">
        <v>2225.7800000000002</v>
      </c>
      <c r="H749" s="2">
        <v>2225.7800000000002</v>
      </c>
      <c r="I749" s="2">
        <v>2225.7800000000002</v>
      </c>
      <c r="J749" s="2" t="str">
        <f t="shared" si="22"/>
        <v>55-64</v>
      </c>
      <c r="K749" s="17" t="str">
        <f t="shared" si="23"/>
        <v>0-2</v>
      </c>
    </row>
    <row r="750" spans="1:11" x14ac:dyDescent="0.2">
      <c r="A750" s="4">
        <v>64</v>
      </c>
      <c r="B750" s="4">
        <v>8</v>
      </c>
      <c r="C750" t="s">
        <v>16</v>
      </c>
      <c r="D750" s="4">
        <v>1</v>
      </c>
      <c r="E750" s="3">
        <v>0.66581180202774704</v>
      </c>
      <c r="F750" s="4">
        <v>1</v>
      </c>
      <c r="G750" s="2">
        <v>812.79</v>
      </c>
      <c r="H750" s="2">
        <v>812.79</v>
      </c>
      <c r="I750" s="2">
        <v>812.79</v>
      </c>
      <c r="J750" s="2" t="str">
        <f t="shared" si="22"/>
        <v>55-64</v>
      </c>
      <c r="K750" s="17" t="str">
        <f t="shared" si="23"/>
        <v>6-8</v>
      </c>
    </row>
    <row r="751" spans="1:11" x14ac:dyDescent="0.2">
      <c r="A751" s="4">
        <v>59</v>
      </c>
      <c r="B751" s="4">
        <v>3</v>
      </c>
      <c r="C751" t="s">
        <v>16</v>
      </c>
      <c r="D751" s="4">
        <v>0</v>
      </c>
      <c r="E751" s="3">
        <v>0.66144119808450297</v>
      </c>
      <c r="F751" s="4">
        <v>1</v>
      </c>
      <c r="G751" s="2">
        <v>1076.3800000000001</v>
      </c>
      <c r="H751" s="2">
        <v>1076.3800000000001</v>
      </c>
      <c r="I751" s="2">
        <v>1076.3800000000001</v>
      </c>
      <c r="J751" s="2" t="str">
        <f t="shared" si="22"/>
        <v>55-64</v>
      </c>
      <c r="K751" s="17" t="str">
        <f t="shared" si="23"/>
        <v>3-5</v>
      </c>
    </row>
    <row r="752" spans="1:11" x14ac:dyDescent="0.2">
      <c r="A752" s="4">
        <v>78</v>
      </c>
      <c r="B752" s="4">
        <v>14</v>
      </c>
      <c r="C752" t="s">
        <v>16</v>
      </c>
      <c r="D752" s="4">
        <v>0</v>
      </c>
      <c r="E752" s="3">
        <v>0.84755996835883696</v>
      </c>
      <c r="F752" s="4">
        <v>1</v>
      </c>
      <c r="G752" s="2">
        <v>1191.18</v>
      </c>
      <c r="H752" s="2">
        <v>1191.18</v>
      </c>
      <c r="I752" s="2">
        <v>1191.18</v>
      </c>
      <c r="J752" s="2" t="str">
        <f t="shared" si="22"/>
        <v>75-90</v>
      </c>
      <c r="K752" s="17" t="str">
        <f t="shared" si="23"/>
        <v>12-15</v>
      </c>
    </row>
    <row r="753" spans="1:11" x14ac:dyDescent="0.2">
      <c r="A753" s="4">
        <v>42</v>
      </c>
      <c r="B753" s="4">
        <v>4</v>
      </c>
      <c r="C753" t="s">
        <v>8</v>
      </c>
      <c r="D753" s="4">
        <v>0</v>
      </c>
      <c r="E753" s="3">
        <v>0.51575032982509605</v>
      </c>
      <c r="F753" s="4">
        <v>1</v>
      </c>
      <c r="G753" s="2">
        <v>385.13</v>
      </c>
      <c r="H753" s="2">
        <v>385.13</v>
      </c>
      <c r="I753" s="2">
        <v>385.13</v>
      </c>
      <c r="J753" s="2" t="str">
        <f t="shared" si="22"/>
        <v>35-44</v>
      </c>
      <c r="K753" s="17" t="str">
        <f t="shared" si="23"/>
        <v>3-5</v>
      </c>
    </row>
    <row r="754" spans="1:11" x14ac:dyDescent="0.2">
      <c r="A754" s="4">
        <v>80</v>
      </c>
      <c r="B754" s="4">
        <v>9</v>
      </c>
      <c r="C754" t="s">
        <v>8</v>
      </c>
      <c r="D754" s="4">
        <v>1</v>
      </c>
      <c r="E754" s="3">
        <v>0.799144350108691</v>
      </c>
      <c r="F754" s="4">
        <v>2</v>
      </c>
      <c r="G754" s="2">
        <v>2401.11</v>
      </c>
      <c r="H754" s="2">
        <v>1200.55</v>
      </c>
      <c r="I754" s="2">
        <v>2401.11</v>
      </c>
      <c r="J754" s="2" t="str">
        <f t="shared" si="22"/>
        <v>75-90</v>
      </c>
      <c r="K754" s="17" t="str">
        <f t="shared" si="23"/>
        <v>9-11</v>
      </c>
    </row>
    <row r="755" spans="1:11" x14ac:dyDescent="0.2">
      <c r="A755" s="4">
        <v>52</v>
      </c>
      <c r="B755" s="4">
        <v>13</v>
      </c>
      <c r="C755" t="s">
        <v>8</v>
      </c>
      <c r="D755" s="4">
        <v>0</v>
      </c>
      <c r="E755" s="3">
        <v>0.73630494775716204</v>
      </c>
      <c r="F755" s="4">
        <v>1</v>
      </c>
      <c r="G755" s="2">
        <v>912.86</v>
      </c>
      <c r="H755" s="2">
        <v>912.86</v>
      </c>
      <c r="I755" s="2">
        <v>912.86</v>
      </c>
      <c r="J755" s="2" t="str">
        <f t="shared" si="22"/>
        <v>45-54</v>
      </c>
      <c r="K755" s="17" t="str">
        <f t="shared" si="23"/>
        <v>12-15</v>
      </c>
    </row>
    <row r="756" spans="1:11" x14ac:dyDescent="0.2">
      <c r="A756" s="4">
        <v>65</v>
      </c>
      <c r="B756" s="4">
        <v>8</v>
      </c>
      <c r="C756" t="s">
        <v>8</v>
      </c>
      <c r="D756" s="4">
        <v>0</v>
      </c>
      <c r="E756" s="3">
        <v>0.92820258589927096</v>
      </c>
      <c r="F756" s="4">
        <v>2</v>
      </c>
      <c r="G756" s="2">
        <v>577</v>
      </c>
      <c r="H756" s="2">
        <v>288.5</v>
      </c>
      <c r="I756" s="2">
        <v>577</v>
      </c>
      <c r="J756" s="2" t="str">
        <f t="shared" si="22"/>
        <v>65-74</v>
      </c>
      <c r="K756" s="17" t="str">
        <f t="shared" si="23"/>
        <v>6-8</v>
      </c>
    </row>
    <row r="757" spans="1:11" x14ac:dyDescent="0.2">
      <c r="A757" s="4">
        <v>84</v>
      </c>
      <c r="B757" s="4">
        <v>4</v>
      </c>
      <c r="C757" t="s">
        <v>8</v>
      </c>
      <c r="D757" s="4">
        <v>0</v>
      </c>
      <c r="E757" s="3">
        <v>0.90254893084056698</v>
      </c>
      <c r="F757" s="4">
        <v>2</v>
      </c>
      <c r="G757" s="2">
        <v>820.95</v>
      </c>
      <c r="H757" s="2">
        <v>410.48</v>
      </c>
      <c r="I757" s="2">
        <v>820.95</v>
      </c>
      <c r="J757" s="2" t="str">
        <f t="shared" si="22"/>
        <v>75-90</v>
      </c>
      <c r="K757" s="17" t="str">
        <f t="shared" si="23"/>
        <v>3-5</v>
      </c>
    </row>
    <row r="758" spans="1:11" x14ac:dyDescent="0.2">
      <c r="A758" s="4">
        <v>89</v>
      </c>
      <c r="B758" s="4">
        <v>10</v>
      </c>
      <c r="C758" t="s">
        <v>8</v>
      </c>
      <c r="D758" s="4">
        <v>0</v>
      </c>
      <c r="E758" s="3">
        <v>0.66148253635037702</v>
      </c>
      <c r="F758" s="4">
        <v>1</v>
      </c>
      <c r="G758" s="2">
        <v>720.84</v>
      </c>
      <c r="H758" s="2">
        <v>720.84</v>
      </c>
      <c r="I758" s="2">
        <v>720.84</v>
      </c>
      <c r="J758" s="2" t="str">
        <f t="shared" si="22"/>
        <v>75-90</v>
      </c>
      <c r="K758" s="17" t="str">
        <f t="shared" si="23"/>
        <v>9-11</v>
      </c>
    </row>
    <row r="759" spans="1:11" x14ac:dyDescent="0.2">
      <c r="A759" s="4">
        <v>73</v>
      </c>
      <c r="B759" s="4">
        <v>12</v>
      </c>
      <c r="C759" t="s">
        <v>8</v>
      </c>
      <c r="D759" s="4">
        <v>1</v>
      </c>
      <c r="E759" s="3">
        <v>0.74931039905641195</v>
      </c>
      <c r="F759" s="4">
        <v>1</v>
      </c>
      <c r="G759" s="2">
        <v>2518.85</v>
      </c>
      <c r="H759" s="2">
        <v>2518.85</v>
      </c>
      <c r="I759" s="2">
        <v>2518.85</v>
      </c>
      <c r="J759" s="2" t="str">
        <f t="shared" si="22"/>
        <v>65-74</v>
      </c>
      <c r="K759" s="17" t="str">
        <f t="shared" si="23"/>
        <v>12-15</v>
      </c>
    </row>
    <row r="760" spans="1:11" x14ac:dyDescent="0.2">
      <c r="A760" s="4">
        <v>68</v>
      </c>
      <c r="B760" s="4">
        <v>13</v>
      </c>
      <c r="C760" t="s">
        <v>10</v>
      </c>
      <c r="D760" s="4">
        <v>0</v>
      </c>
      <c r="E760" s="3">
        <v>0.94332485075574402</v>
      </c>
      <c r="F760" s="4">
        <v>3</v>
      </c>
      <c r="G760" s="2">
        <v>1303.25</v>
      </c>
      <c r="H760" s="2">
        <v>434.42</v>
      </c>
      <c r="I760" s="2">
        <v>1303.25</v>
      </c>
      <c r="J760" s="2" t="str">
        <f t="shared" si="22"/>
        <v>65-74</v>
      </c>
      <c r="K760" s="17" t="str">
        <f t="shared" si="23"/>
        <v>12-15</v>
      </c>
    </row>
    <row r="761" spans="1:11" x14ac:dyDescent="0.2">
      <c r="A761" s="4">
        <v>80</v>
      </c>
      <c r="B761" s="4">
        <v>10</v>
      </c>
      <c r="C761" t="s">
        <v>16</v>
      </c>
      <c r="D761" s="4">
        <v>0</v>
      </c>
      <c r="E761" s="3">
        <v>0.72453158174175802</v>
      </c>
      <c r="F761" s="4">
        <v>1</v>
      </c>
      <c r="G761" s="2">
        <v>1285.6300000000001</v>
      </c>
      <c r="H761" s="2">
        <v>1285.6300000000001</v>
      </c>
      <c r="I761" s="2">
        <v>1285.6300000000001</v>
      </c>
      <c r="J761" s="2" t="str">
        <f t="shared" si="22"/>
        <v>75-90</v>
      </c>
      <c r="K761" s="17" t="str">
        <f t="shared" si="23"/>
        <v>9-11</v>
      </c>
    </row>
    <row r="762" spans="1:11" x14ac:dyDescent="0.2">
      <c r="A762" s="4">
        <v>30</v>
      </c>
      <c r="B762" s="4">
        <v>12</v>
      </c>
      <c r="C762" t="s">
        <v>8</v>
      </c>
      <c r="D762" s="4">
        <v>0</v>
      </c>
      <c r="E762" s="3">
        <v>0.57919338543433696</v>
      </c>
      <c r="F762" s="4">
        <v>1</v>
      </c>
      <c r="G762" s="2">
        <v>421.34</v>
      </c>
      <c r="H762" s="2">
        <v>421.34</v>
      </c>
      <c r="I762" s="2">
        <v>421.34</v>
      </c>
      <c r="J762" s="2" t="str">
        <f t="shared" si="22"/>
        <v>25-34</v>
      </c>
      <c r="K762" s="17" t="str">
        <f t="shared" si="23"/>
        <v>12-15</v>
      </c>
    </row>
    <row r="763" spans="1:11" x14ac:dyDescent="0.2">
      <c r="A763" s="4">
        <v>83</v>
      </c>
      <c r="B763" s="4">
        <v>11</v>
      </c>
      <c r="C763" t="s">
        <v>16</v>
      </c>
      <c r="D763" s="4">
        <v>0</v>
      </c>
      <c r="E763" s="3">
        <v>0.970555781270377</v>
      </c>
      <c r="F763" s="4">
        <v>1</v>
      </c>
      <c r="G763" s="2">
        <v>2316.81</v>
      </c>
      <c r="H763" s="2">
        <v>2316.81</v>
      </c>
      <c r="I763" s="2">
        <v>2316.81</v>
      </c>
      <c r="J763" s="2" t="str">
        <f t="shared" si="22"/>
        <v>75-90</v>
      </c>
      <c r="K763" s="17" t="str">
        <f t="shared" si="23"/>
        <v>9-11</v>
      </c>
    </row>
    <row r="764" spans="1:11" x14ac:dyDescent="0.2">
      <c r="A764" s="4">
        <v>87</v>
      </c>
      <c r="B764" s="4">
        <v>12</v>
      </c>
      <c r="C764" t="s">
        <v>10</v>
      </c>
      <c r="D764" s="4">
        <v>2</v>
      </c>
      <c r="E764" s="3">
        <v>0.98417958663776495</v>
      </c>
      <c r="F764" s="4">
        <v>2</v>
      </c>
      <c r="G764" s="2">
        <v>2389.56</v>
      </c>
      <c r="H764" s="2">
        <v>1194.78</v>
      </c>
      <c r="I764" s="2">
        <v>2389.56</v>
      </c>
      <c r="J764" s="2" t="str">
        <f t="shared" si="22"/>
        <v>75-90</v>
      </c>
      <c r="K764" s="17" t="str">
        <f t="shared" si="23"/>
        <v>12-15</v>
      </c>
    </row>
    <row r="765" spans="1:11" x14ac:dyDescent="0.2">
      <c r="A765" s="4">
        <v>44</v>
      </c>
      <c r="B765" s="4">
        <v>5</v>
      </c>
      <c r="C765" t="s">
        <v>10</v>
      </c>
      <c r="D765" s="4">
        <v>2</v>
      </c>
      <c r="E765" s="3">
        <v>0.79069774306844898</v>
      </c>
      <c r="F765" s="4">
        <v>2</v>
      </c>
      <c r="G765" s="2">
        <v>868.45</v>
      </c>
      <c r="H765" s="2">
        <v>434.22</v>
      </c>
      <c r="I765" s="2">
        <v>868.45</v>
      </c>
      <c r="J765" s="2" t="str">
        <f t="shared" si="22"/>
        <v>35-44</v>
      </c>
      <c r="K765" s="17" t="str">
        <f t="shared" si="23"/>
        <v>3-5</v>
      </c>
    </row>
    <row r="766" spans="1:11" x14ac:dyDescent="0.2">
      <c r="A766" s="4">
        <v>54</v>
      </c>
      <c r="B766" s="4">
        <v>12</v>
      </c>
      <c r="C766" t="s">
        <v>8</v>
      </c>
      <c r="D766" s="4">
        <v>0</v>
      </c>
      <c r="E766" s="3">
        <v>0.68522970273625095</v>
      </c>
      <c r="F766" s="4">
        <v>1</v>
      </c>
      <c r="G766" s="2">
        <v>2378.38</v>
      </c>
      <c r="H766" s="2">
        <v>2378.38</v>
      </c>
      <c r="I766" s="2">
        <v>2378.38</v>
      </c>
      <c r="J766" s="2" t="str">
        <f t="shared" si="22"/>
        <v>45-54</v>
      </c>
      <c r="K766" s="17" t="str">
        <f t="shared" si="23"/>
        <v>12-15</v>
      </c>
    </row>
    <row r="767" spans="1:11" x14ac:dyDescent="0.2">
      <c r="A767" s="4">
        <v>57</v>
      </c>
      <c r="B767" s="4">
        <v>12</v>
      </c>
      <c r="C767" t="s">
        <v>8</v>
      </c>
      <c r="D767" s="4">
        <v>1</v>
      </c>
      <c r="E767" s="3">
        <v>0.91236021299846504</v>
      </c>
      <c r="F767" s="4">
        <v>1</v>
      </c>
      <c r="G767" s="2">
        <v>2255.96</v>
      </c>
      <c r="H767" s="2">
        <v>2255.96</v>
      </c>
      <c r="I767" s="2">
        <v>2255.96</v>
      </c>
      <c r="J767" s="2" t="str">
        <f t="shared" si="22"/>
        <v>55-64</v>
      </c>
      <c r="K767" s="17" t="str">
        <f t="shared" si="23"/>
        <v>12-15</v>
      </c>
    </row>
    <row r="768" spans="1:11" x14ac:dyDescent="0.2">
      <c r="A768" s="4">
        <v>62</v>
      </c>
      <c r="B768" s="4">
        <v>14</v>
      </c>
      <c r="C768" t="s">
        <v>16</v>
      </c>
      <c r="D768" s="4">
        <v>0</v>
      </c>
      <c r="E768" s="3">
        <v>0.66411252226680495</v>
      </c>
      <c r="F768" s="4">
        <v>3</v>
      </c>
      <c r="G768" s="2">
        <v>1162.92</v>
      </c>
      <c r="H768" s="2">
        <v>387.64</v>
      </c>
      <c r="I768" s="2">
        <v>1162.92</v>
      </c>
      <c r="J768" s="2" t="str">
        <f t="shared" si="22"/>
        <v>55-64</v>
      </c>
      <c r="K768" s="17" t="str">
        <f t="shared" si="23"/>
        <v>12-15</v>
      </c>
    </row>
    <row r="769" spans="1:11" x14ac:dyDescent="0.2">
      <c r="A769" s="4">
        <v>81</v>
      </c>
      <c r="B769" s="4">
        <v>4</v>
      </c>
      <c r="C769" t="s">
        <v>10</v>
      </c>
      <c r="D769" s="4">
        <v>0</v>
      </c>
      <c r="E769" s="3">
        <v>0.565980134764686</v>
      </c>
      <c r="F769" s="4">
        <v>2</v>
      </c>
      <c r="G769" s="2">
        <v>902.57</v>
      </c>
      <c r="H769" s="2">
        <v>451.28</v>
      </c>
      <c r="I769" s="2">
        <v>902.57</v>
      </c>
      <c r="J769" s="2" t="str">
        <f t="shared" si="22"/>
        <v>75-90</v>
      </c>
      <c r="K769" s="17" t="str">
        <f t="shared" si="23"/>
        <v>3-5</v>
      </c>
    </row>
    <row r="770" spans="1:11" x14ac:dyDescent="0.2">
      <c r="A770" s="4">
        <v>82</v>
      </c>
      <c r="B770" s="4">
        <v>1</v>
      </c>
      <c r="C770" t="s">
        <v>8</v>
      </c>
      <c r="D770" s="4">
        <v>1</v>
      </c>
      <c r="E770" s="3">
        <v>0.57276088756043497</v>
      </c>
      <c r="F770" s="4">
        <v>1</v>
      </c>
      <c r="G770" s="2">
        <v>1506.04</v>
      </c>
      <c r="H770" s="2">
        <v>1506.04</v>
      </c>
      <c r="I770" s="2">
        <v>1506.04</v>
      </c>
      <c r="J770" s="2" t="str">
        <f t="shared" ref="J770:J833" si="24" xml:space="preserve"> IF(A770&lt;25,"18-24",
 IF(A770&lt;35,"25-34",
 IF(A770&lt;45,"35-44",
 IF(A770&lt;55,"45-54", IF(A770&lt;65, "55-64", IF(A770&lt;75, "65-74", "75-90"))))))</f>
        <v>75-90</v>
      </c>
      <c r="K770" s="17" t="str">
        <f t="shared" ref="K770:K833" si="25" xml:space="preserve"> IF(B770 &lt; 3, "0-2", IF(B770 &lt; 6, "3-5", IF(B770 &lt; 9, "6-8", IF(B770 &lt; 12, "9-11", "12-15"))))</f>
        <v>0-2</v>
      </c>
    </row>
    <row r="771" spans="1:11" x14ac:dyDescent="0.2">
      <c r="A771" s="4">
        <v>30</v>
      </c>
      <c r="B771" s="4">
        <v>12</v>
      </c>
      <c r="C771" t="s">
        <v>8</v>
      </c>
      <c r="D771" s="4">
        <v>0</v>
      </c>
      <c r="E771" s="3">
        <v>0.550662796129473</v>
      </c>
      <c r="F771" s="4">
        <v>1</v>
      </c>
      <c r="G771" s="2">
        <v>544.91999999999996</v>
      </c>
      <c r="H771" s="2">
        <v>544.91999999999996</v>
      </c>
      <c r="I771" s="2">
        <v>544.91999999999996</v>
      </c>
      <c r="J771" s="2" t="str">
        <f t="shared" si="24"/>
        <v>25-34</v>
      </c>
      <c r="K771" s="17" t="str">
        <f t="shared" si="25"/>
        <v>12-15</v>
      </c>
    </row>
    <row r="772" spans="1:11" x14ac:dyDescent="0.2">
      <c r="A772" s="4">
        <v>63</v>
      </c>
      <c r="B772" s="4">
        <v>14</v>
      </c>
      <c r="C772" t="s">
        <v>16</v>
      </c>
      <c r="D772" s="4">
        <v>1</v>
      </c>
      <c r="E772" s="3">
        <v>0.59334161109290995</v>
      </c>
      <c r="F772" s="4">
        <v>1</v>
      </c>
      <c r="G772" s="2">
        <v>3698.69</v>
      </c>
      <c r="H772" s="2">
        <v>3698.69</v>
      </c>
      <c r="I772" s="2">
        <v>3698.69</v>
      </c>
      <c r="J772" s="2" t="str">
        <f t="shared" si="24"/>
        <v>55-64</v>
      </c>
      <c r="K772" s="17" t="str">
        <f t="shared" si="25"/>
        <v>12-15</v>
      </c>
    </row>
    <row r="773" spans="1:11" x14ac:dyDescent="0.2">
      <c r="A773" s="4">
        <v>70</v>
      </c>
      <c r="B773" s="4">
        <v>11</v>
      </c>
      <c r="C773" t="s">
        <v>8</v>
      </c>
      <c r="D773" s="4">
        <v>3</v>
      </c>
      <c r="E773" s="3">
        <v>0.72445985197555296</v>
      </c>
      <c r="F773" s="4">
        <v>1</v>
      </c>
      <c r="G773" s="2">
        <v>1631.47</v>
      </c>
      <c r="H773" s="2">
        <v>1631.47</v>
      </c>
      <c r="I773" s="2">
        <v>1631.47</v>
      </c>
      <c r="J773" s="2" t="str">
        <f t="shared" si="24"/>
        <v>65-74</v>
      </c>
      <c r="K773" s="17" t="str">
        <f t="shared" si="25"/>
        <v>9-11</v>
      </c>
    </row>
    <row r="774" spans="1:11" x14ac:dyDescent="0.2">
      <c r="A774" s="4">
        <v>59</v>
      </c>
      <c r="B774" s="4">
        <v>7</v>
      </c>
      <c r="C774" t="s">
        <v>16</v>
      </c>
      <c r="D774" s="4">
        <v>0</v>
      </c>
      <c r="E774" s="3">
        <v>0.609470777329989</v>
      </c>
      <c r="F774" s="4">
        <v>1</v>
      </c>
      <c r="G774" s="2">
        <v>866.6</v>
      </c>
      <c r="H774" s="2">
        <v>866.6</v>
      </c>
      <c r="I774" s="2">
        <v>866.6</v>
      </c>
      <c r="J774" s="2" t="str">
        <f t="shared" si="24"/>
        <v>55-64</v>
      </c>
      <c r="K774" s="17" t="str">
        <f t="shared" si="25"/>
        <v>6-8</v>
      </c>
    </row>
    <row r="775" spans="1:11" x14ac:dyDescent="0.2">
      <c r="A775" s="4">
        <v>57</v>
      </c>
      <c r="B775" s="4">
        <v>7</v>
      </c>
      <c r="C775" t="s">
        <v>16</v>
      </c>
      <c r="D775" s="4">
        <v>1</v>
      </c>
      <c r="E775" s="3">
        <v>0.80837752087973103</v>
      </c>
      <c r="F775" s="4">
        <v>2</v>
      </c>
      <c r="G775" s="2">
        <v>704.36</v>
      </c>
      <c r="H775" s="2">
        <v>352.18</v>
      </c>
      <c r="I775" s="2">
        <v>704.36</v>
      </c>
      <c r="J775" s="2" t="str">
        <f t="shared" si="24"/>
        <v>55-64</v>
      </c>
      <c r="K775" s="17" t="str">
        <f t="shared" si="25"/>
        <v>6-8</v>
      </c>
    </row>
    <row r="776" spans="1:11" x14ac:dyDescent="0.2">
      <c r="A776" s="4">
        <v>64</v>
      </c>
      <c r="B776" s="4">
        <v>10</v>
      </c>
      <c r="C776" t="s">
        <v>8</v>
      </c>
      <c r="D776" s="4">
        <v>0</v>
      </c>
      <c r="E776" s="3">
        <v>0.90192388102877896</v>
      </c>
      <c r="F776" s="4">
        <v>1</v>
      </c>
      <c r="G776" s="2">
        <v>1375.39</v>
      </c>
      <c r="H776" s="2">
        <v>1375.39</v>
      </c>
      <c r="I776" s="2">
        <v>1375.39</v>
      </c>
      <c r="J776" s="2" t="str">
        <f t="shared" si="24"/>
        <v>55-64</v>
      </c>
      <c r="K776" s="17" t="str">
        <f t="shared" si="25"/>
        <v>9-11</v>
      </c>
    </row>
    <row r="777" spans="1:11" x14ac:dyDescent="0.2">
      <c r="A777" s="4">
        <v>66</v>
      </c>
      <c r="B777" s="4">
        <v>12</v>
      </c>
      <c r="C777" t="s">
        <v>8</v>
      </c>
      <c r="D777" s="4">
        <v>0</v>
      </c>
      <c r="E777" s="3">
        <v>0.88778847036883202</v>
      </c>
      <c r="F777" s="4">
        <v>2</v>
      </c>
      <c r="G777" s="2">
        <v>1919.66</v>
      </c>
      <c r="H777" s="2">
        <v>959.83</v>
      </c>
      <c r="I777" s="2">
        <v>1919.66</v>
      </c>
      <c r="J777" s="2" t="str">
        <f t="shared" si="24"/>
        <v>65-74</v>
      </c>
      <c r="K777" s="17" t="str">
        <f t="shared" si="25"/>
        <v>12-15</v>
      </c>
    </row>
    <row r="778" spans="1:11" x14ac:dyDescent="0.2">
      <c r="A778" s="4">
        <v>52</v>
      </c>
      <c r="B778" s="4">
        <v>9</v>
      </c>
      <c r="C778" t="s">
        <v>8</v>
      </c>
      <c r="D778" s="4">
        <v>1</v>
      </c>
      <c r="E778" s="3">
        <v>0.79218625451903801</v>
      </c>
      <c r="F778" s="4">
        <v>1</v>
      </c>
      <c r="G778" s="2">
        <v>3276.39</v>
      </c>
      <c r="H778" s="2">
        <v>3276.39</v>
      </c>
      <c r="I778" s="2">
        <v>3276.39</v>
      </c>
      <c r="J778" s="2" t="str">
        <f t="shared" si="24"/>
        <v>45-54</v>
      </c>
      <c r="K778" s="17" t="str">
        <f t="shared" si="25"/>
        <v>9-11</v>
      </c>
    </row>
    <row r="779" spans="1:11" x14ac:dyDescent="0.2">
      <c r="A779" s="4">
        <v>51</v>
      </c>
      <c r="B779" s="4">
        <v>10</v>
      </c>
      <c r="C779" t="s">
        <v>16</v>
      </c>
      <c r="D779" s="4">
        <v>0</v>
      </c>
      <c r="E779" s="3">
        <v>0.53332227421924505</v>
      </c>
      <c r="F779" s="4">
        <v>1</v>
      </c>
      <c r="G779" s="2">
        <v>991.82</v>
      </c>
      <c r="H779" s="2">
        <v>991.82</v>
      </c>
      <c r="I779" s="2">
        <v>991.82</v>
      </c>
      <c r="J779" s="2" t="str">
        <f t="shared" si="24"/>
        <v>45-54</v>
      </c>
      <c r="K779" s="17" t="str">
        <f t="shared" si="25"/>
        <v>9-11</v>
      </c>
    </row>
    <row r="780" spans="1:11" x14ac:dyDescent="0.2">
      <c r="A780" s="4">
        <v>20</v>
      </c>
      <c r="B780" s="4">
        <v>11</v>
      </c>
      <c r="C780" t="s">
        <v>8</v>
      </c>
      <c r="D780" s="4">
        <v>0</v>
      </c>
      <c r="E780" s="3">
        <v>0.96783707593567703</v>
      </c>
      <c r="F780" s="4">
        <v>2</v>
      </c>
      <c r="G780" s="2">
        <v>712.29</v>
      </c>
      <c r="H780" s="2">
        <v>356.15</v>
      </c>
      <c r="I780" s="2">
        <v>712.29</v>
      </c>
      <c r="J780" s="2" t="str">
        <f t="shared" si="24"/>
        <v>18-24</v>
      </c>
      <c r="K780" s="17" t="str">
        <f t="shared" si="25"/>
        <v>9-11</v>
      </c>
    </row>
    <row r="781" spans="1:11" x14ac:dyDescent="0.2">
      <c r="A781" s="4">
        <v>86</v>
      </c>
      <c r="B781" s="4">
        <v>12</v>
      </c>
      <c r="C781" t="s">
        <v>8</v>
      </c>
      <c r="D781" s="4">
        <v>1</v>
      </c>
      <c r="E781" s="3">
        <v>0.97138972103130095</v>
      </c>
      <c r="F781" s="4">
        <v>1</v>
      </c>
      <c r="G781" s="2">
        <v>2459.67</v>
      </c>
      <c r="H781" s="2">
        <v>2459.67</v>
      </c>
      <c r="I781" s="2">
        <v>2459.67</v>
      </c>
      <c r="J781" s="2" t="str">
        <f t="shared" si="24"/>
        <v>75-90</v>
      </c>
      <c r="K781" s="17" t="str">
        <f t="shared" si="25"/>
        <v>12-15</v>
      </c>
    </row>
    <row r="782" spans="1:11" x14ac:dyDescent="0.2">
      <c r="A782" s="4">
        <v>84</v>
      </c>
      <c r="B782" s="4">
        <v>4</v>
      </c>
      <c r="C782" t="s">
        <v>10</v>
      </c>
      <c r="D782" s="4">
        <v>0</v>
      </c>
      <c r="E782" s="3">
        <v>0.91985255316831205</v>
      </c>
      <c r="F782" s="4">
        <v>1</v>
      </c>
      <c r="G782" s="2">
        <v>1794.96</v>
      </c>
      <c r="H782" s="2">
        <v>1794.96</v>
      </c>
      <c r="I782" s="2">
        <v>1794.96</v>
      </c>
      <c r="J782" s="2" t="str">
        <f t="shared" si="24"/>
        <v>75-90</v>
      </c>
      <c r="K782" s="17" t="str">
        <f t="shared" si="25"/>
        <v>3-5</v>
      </c>
    </row>
    <row r="783" spans="1:11" x14ac:dyDescent="0.2">
      <c r="A783" s="4">
        <v>84</v>
      </c>
      <c r="B783" s="4">
        <v>12</v>
      </c>
      <c r="C783" t="s">
        <v>10</v>
      </c>
      <c r="D783" s="4">
        <v>2</v>
      </c>
      <c r="E783" s="3">
        <v>0.59398309700190999</v>
      </c>
      <c r="F783" s="4">
        <v>2</v>
      </c>
      <c r="G783" s="2">
        <v>8479.07</v>
      </c>
      <c r="H783" s="2">
        <v>4239.53</v>
      </c>
      <c r="I783" s="2">
        <v>8479.07</v>
      </c>
      <c r="J783" s="2" t="str">
        <f t="shared" si="24"/>
        <v>75-90</v>
      </c>
      <c r="K783" s="17" t="str">
        <f t="shared" si="25"/>
        <v>12-15</v>
      </c>
    </row>
    <row r="784" spans="1:11" x14ac:dyDescent="0.2">
      <c r="A784" s="4">
        <v>59</v>
      </c>
      <c r="B784" s="4">
        <v>12</v>
      </c>
      <c r="C784" t="s">
        <v>16</v>
      </c>
      <c r="D784" s="4">
        <v>0</v>
      </c>
      <c r="E784" s="3">
        <v>0.96144324040506002</v>
      </c>
      <c r="F784" s="4">
        <v>1</v>
      </c>
      <c r="G784" s="2">
        <v>544.79999999999995</v>
      </c>
      <c r="H784" s="2">
        <v>544.79999999999995</v>
      </c>
      <c r="I784" s="2">
        <v>544.79999999999995</v>
      </c>
      <c r="J784" s="2" t="str">
        <f t="shared" si="24"/>
        <v>55-64</v>
      </c>
      <c r="K784" s="17" t="str">
        <f t="shared" si="25"/>
        <v>12-15</v>
      </c>
    </row>
    <row r="785" spans="1:11" x14ac:dyDescent="0.2">
      <c r="A785" s="4">
        <v>44</v>
      </c>
      <c r="B785" s="4">
        <v>12</v>
      </c>
      <c r="C785" t="s">
        <v>8</v>
      </c>
      <c r="D785" s="4">
        <v>0</v>
      </c>
      <c r="E785" s="3">
        <v>0.66229033644776802</v>
      </c>
      <c r="F785" s="4">
        <v>1</v>
      </c>
      <c r="G785" s="2">
        <v>1262.67</v>
      </c>
      <c r="H785" s="2">
        <v>1262.67</v>
      </c>
      <c r="I785" s="2">
        <v>1262.67</v>
      </c>
      <c r="J785" s="2" t="str">
        <f t="shared" si="24"/>
        <v>35-44</v>
      </c>
      <c r="K785" s="17" t="str">
        <f t="shared" si="25"/>
        <v>12-15</v>
      </c>
    </row>
    <row r="786" spans="1:11" x14ac:dyDescent="0.2">
      <c r="A786" s="4">
        <v>58</v>
      </c>
      <c r="B786" s="4">
        <v>6</v>
      </c>
      <c r="C786" t="s">
        <v>16</v>
      </c>
      <c r="D786" s="4">
        <v>0</v>
      </c>
      <c r="E786" s="3">
        <v>0.89418518263846603</v>
      </c>
      <c r="F786" s="4">
        <v>1</v>
      </c>
      <c r="G786" s="2">
        <v>1193.57</v>
      </c>
      <c r="H786" s="2">
        <v>1193.57</v>
      </c>
      <c r="I786" s="2">
        <v>1193.57</v>
      </c>
      <c r="J786" s="2" t="str">
        <f t="shared" si="24"/>
        <v>55-64</v>
      </c>
      <c r="K786" s="17" t="str">
        <f t="shared" si="25"/>
        <v>6-8</v>
      </c>
    </row>
    <row r="787" spans="1:11" x14ac:dyDescent="0.2">
      <c r="A787" s="4">
        <v>35</v>
      </c>
      <c r="B787" s="4">
        <v>4</v>
      </c>
      <c r="C787" t="s">
        <v>16</v>
      </c>
      <c r="D787" s="4">
        <v>0</v>
      </c>
      <c r="E787" s="3">
        <v>0.80313922383356795</v>
      </c>
      <c r="F787" s="4">
        <v>1</v>
      </c>
      <c r="G787" s="2">
        <v>279.54000000000002</v>
      </c>
      <c r="H787" s="2">
        <v>279.54000000000002</v>
      </c>
      <c r="I787" s="2">
        <v>279.54000000000002</v>
      </c>
      <c r="J787" s="2" t="str">
        <f t="shared" si="24"/>
        <v>35-44</v>
      </c>
      <c r="K787" s="17" t="str">
        <f t="shared" si="25"/>
        <v>3-5</v>
      </c>
    </row>
    <row r="788" spans="1:11" x14ac:dyDescent="0.2">
      <c r="A788" s="4">
        <v>82</v>
      </c>
      <c r="B788" s="4">
        <v>5</v>
      </c>
      <c r="C788" t="s">
        <v>16</v>
      </c>
      <c r="D788" s="4">
        <v>1</v>
      </c>
      <c r="E788" s="3">
        <v>0.94934045954141799</v>
      </c>
      <c r="F788" s="4">
        <v>1</v>
      </c>
      <c r="G788" s="2">
        <v>1717.78</v>
      </c>
      <c r="H788" s="2">
        <v>1717.78</v>
      </c>
      <c r="I788" s="2">
        <v>1717.78</v>
      </c>
      <c r="J788" s="2" t="str">
        <f t="shared" si="24"/>
        <v>75-90</v>
      </c>
      <c r="K788" s="17" t="str">
        <f t="shared" si="25"/>
        <v>3-5</v>
      </c>
    </row>
    <row r="789" spans="1:11" x14ac:dyDescent="0.2">
      <c r="A789" s="4">
        <v>66</v>
      </c>
      <c r="B789" s="4">
        <v>14</v>
      </c>
      <c r="C789" t="s">
        <v>10</v>
      </c>
      <c r="D789" s="4">
        <v>0</v>
      </c>
      <c r="E789" s="3">
        <v>0.89181332266889501</v>
      </c>
      <c r="F789" s="4">
        <v>2</v>
      </c>
      <c r="G789" s="2">
        <v>3251.69</v>
      </c>
      <c r="H789" s="2">
        <v>1625.84</v>
      </c>
      <c r="I789" s="2">
        <v>3251.69</v>
      </c>
      <c r="J789" s="2" t="str">
        <f t="shared" si="24"/>
        <v>65-74</v>
      </c>
      <c r="K789" s="17" t="str">
        <f t="shared" si="25"/>
        <v>12-15</v>
      </c>
    </row>
    <row r="790" spans="1:11" x14ac:dyDescent="0.2">
      <c r="A790" s="4">
        <v>70</v>
      </c>
      <c r="B790" s="4">
        <v>14</v>
      </c>
      <c r="C790" t="s">
        <v>10</v>
      </c>
      <c r="D790" s="4">
        <v>1</v>
      </c>
      <c r="E790" s="3">
        <v>0.750161876785569</v>
      </c>
      <c r="F790" s="4">
        <v>2</v>
      </c>
      <c r="G790" s="2">
        <v>2008.9</v>
      </c>
      <c r="H790" s="2">
        <v>1004.45</v>
      </c>
      <c r="I790" s="2">
        <v>2008.9</v>
      </c>
      <c r="J790" s="2" t="str">
        <f t="shared" si="24"/>
        <v>65-74</v>
      </c>
      <c r="K790" s="17" t="str">
        <f t="shared" si="25"/>
        <v>12-15</v>
      </c>
    </row>
    <row r="791" spans="1:11" x14ac:dyDescent="0.2">
      <c r="A791" s="4">
        <v>85</v>
      </c>
      <c r="B791" s="4">
        <v>9</v>
      </c>
      <c r="C791" t="s">
        <v>10</v>
      </c>
      <c r="D791" s="4">
        <v>0</v>
      </c>
      <c r="E791" s="3">
        <v>0.805532513302751</v>
      </c>
      <c r="F791" s="4">
        <v>2</v>
      </c>
      <c r="G791" s="2">
        <v>965</v>
      </c>
      <c r="H791" s="2">
        <v>482.5</v>
      </c>
      <c r="I791" s="2">
        <v>965</v>
      </c>
      <c r="J791" s="2" t="str">
        <f t="shared" si="24"/>
        <v>75-90</v>
      </c>
      <c r="K791" s="17" t="str">
        <f t="shared" si="25"/>
        <v>9-11</v>
      </c>
    </row>
    <row r="792" spans="1:11" x14ac:dyDescent="0.2">
      <c r="A792" s="4">
        <v>45</v>
      </c>
      <c r="B792" s="4">
        <v>7</v>
      </c>
      <c r="C792" t="s">
        <v>10</v>
      </c>
      <c r="D792" s="4">
        <v>0</v>
      </c>
      <c r="E792" s="3">
        <v>0.513081971905194</v>
      </c>
      <c r="F792" s="4">
        <v>1</v>
      </c>
      <c r="G792" s="2">
        <v>744.75</v>
      </c>
      <c r="H792" s="2">
        <v>744.75</v>
      </c>
      <c r="I792" s="2">
        <v>744.75</v>
      </c>
      <c r="J792" s="2" t="str">
        <f t="shared" si="24"/>
        <v>45-54</v>
      </c>
      <c r="K792" s="17" t="str">
        <f t="shared" si="25"/>
        <v>6-8</v>
      </c>
    </row>
    <row r="793" spans="1:11" x14ac:dyDescent="0.2">
      <c r="A793" s="4">
        <v>89</v>
      </c>
      <c r="B793" s="4">
        <v>6</v>
      </c>
      <c r="C793" t="s">
        <v>8</v>
      </c>
      <c r="D793" s="4">
        <v>0</v>
      </c>
      <c r="E793" s="3">
        <v>0.62590499327052396</v>
      </c>
      <c r="F793" s="4">
        <v>2</v>
      </c>
      <c r="G793" s="2">
        <v>1264.1500000000001</v>
      </c>
      <c r="H793" s="2">
        <v>632.07000000000005</v>
      </c>
      <c r="I793" s="2">
        <v>1264.1500000000001</v>
      </c>
      <c r="J793" s="2" t="str">
        <f t="shared" si="24"/>
        <v>75-90</v>
      </c>
      <c r="K793" s="17" t="str">
        <f t="shared" si="25"/>
        <v>6-8</v>
      </c>
    </row>
    <row r="794" spans="1:11" x14ac:dyDescent="0.2">
      <c r="A794" s="4">
        <v>28</v>
      </c>
      <c r="B794" s="4">
        <v>8</v>
      </c>
      <c r="C794" t="s">
        <v>10</v>
      </c>
      <c r="D794" s="4">
        <v>0</v>
      </c>
      <c r="E794" s="3">
        <v>0.721118947374634</v>
      </c>
      <c r="F794" s="4">
        <v>1</v>
      </c>
      <c r="G794" s="2">
        <v>404.24</v>
      </c>
      <c r="H794" s="2">
        <v>404.24</v>
      </c>
      <c r="I794" s="2">
        <v>404.24</v>
      </c>
      <c r="J794" s="2" t="str">
        <f t="shared" si="24"/>
        <v>25-34</v>
      </c>
      <c r="K794" s="17" t="str">
        <f t="shared" si="25"/>
        <v>6-8</v>
      </c>
    </row>
    <row r="795" spans="1:11" x14ac:dyDescent="0.2">
      <c r="A795" s="4">
        <v>69</v>
      </c>
      <c r="B795" s="4">
        <v>11</v>
      </c>
      <c r="C795" t="s">
        <v>8</v>
      </c>
      <c r="D795" s="4">
        <v>1</v>
      </c>
      <c r="E795" s="3">
        <v>0.97173591528553505</v>
      </c>
      <c r="F795" s="4">
        <v>1</v>
      </c>
      <c r="G795" s="2">
        <v>2264.0100000000002</v>
      </c>
      <c r="H795" s="2">
        <v>2264.0100000000002</v>
      </c>
      <c r="I795" s="2">
        <v>2264.0100000000002</v>
      </c>
      <c r="J795" s="2" t="str">
        <f t="shared" si="24"/>
        <v>65-74</v>
      </c>
      <c r="K795" s="17" t="str">
        <f t="shared" si="25"/>
        <v>9-11</v>
      </c>
    </row>
    <row r="796" spans="1:11" x14ac:dyDescent="0.2">
      <c r="A796" s="4">
        <v>85</v>
      </c>
      <c r="B796" s="4">
        <v>8</v>
      </c>
      <c r="C796" t="s">
        <v>10</v>
      </c>
      <c r="D796" s="4">
        <v>0</v>
      </c>
      <c r="E796" s="3">
        <v>0.940726830041967</v>
      </c>
      <c r="F796" s="4">
        <v>1</v>
      </c>
      <c r="G796" s="2">
        <v>2282.0700000000002</v>
      </c>
      <c r="H796" s="2">
        <v>2282.0700000000002</v>
      </c>
      <c r="I796" s="2">
        <v>2282.0700000000002</v>
      </c>
      <c r="J796" s="2" t="str">
        <f t="shared" si="24"/>
        <v>75-90</v>
      </c>
      <c r="K796" s="17" t="str">
        <f t="shared" si="25"/>
        <v>6-8</v>
      </c>
    </row>
    <row r="797" spans="1:11" x14ac:dyDescent="0.2">
      <c r="A797" s="4">
        <v>90</v>
      </c>
      <c r="B797" s="4">
        <v>9</v>
      </c>
      <c r="C797" t="s">
        <v>8</v>
      </c>
      <c r="D797" s="4">
        <v>2</v>
      </c>
      <c r="E797" s="3">
        <v>0.60258039645850703</v>
      </c>
      <c r="F797" s="4">
        <v>2</v>
      </c>
      <c r="G797" s="2">
        <v>1566.26</v>
      </c>
      <c r="H797" s="2">
        <v>783.13</v>
      </c>
      <c r="I797" s="2">
        <v>1566.26</v>
      </c>
      <c r="J797" s="2" t="str">
        <f t="shared" si="24"/>
        <v>75-90</v>
      </c>
      <c r="K797" s="17" t="str">
        <f t="shared" si="25"/>
        <v>9-11</v>
      </c>
    </row>
    <row r="798" spans="1:11" x14ac:dyDescent="0.2">
      <c r="A798" s="4">
        <v>34</v>
      </c>
      <c r="B798" s="4">
        <v>7</v>
      </c>
      <c r="C798" t="s">
        <v>8</v>
      </c>
      <c r="D798" s="4">
        <v>0</v>
      </c>
      <c r="E798" s="3">
        <v>0.94542695698328305</v>
      </c>
      <c r="F798" s="4">
        <v>1</v>
      </c>
      <c r="G798" s="2">
        <v>702.29</v>
      </c>
      <c r="H798" s="2">
        <v>702.29</v>
      </c>
      <c r="I798" s="2">
        <v>702.29</v>
      </c>
      <c r="J798" s="2" t="str">
        <f t="shared" si="24"/>
        <v>25-34</v>
      </c>
      <c r="K798" s="17" t="str">
        <f t="shared" si="25"/>
        <v>6-8</v>
      </c>
    </row>
    <row r="799" spans="1:11" x14ac:dyDescent="0.2">
      <c r="A799" s="4">
        <v>76</v>
      </c>
      <c r="B799" s="4">
        <v>12</v>
      </c>
      <c r="C799" t="s">
        <v>8</v>
      </c>
      <c r="D799" s="4">
        <v>0</v>
      </c>
      <c r="E799" s="3">
        <v>0.75800961896311503</v>
      </c>
      <c r="F799" s="4">
        <v>2</v>
      </c>
      <c r="G799" s="2">
        <v>730.06</v>
      </c>
      <c r="H799" s="2">
        <v>365.03</v>
      </c>
      <c r="I799" s="2">
        <v>730.06</v>
      </c>
      <c r="J799" s="2" t="str">
        <f t="shared" si="24"/>
        <v>75-90</v>
      </c>
      <c r="K799" s="17" t="str">
        <f t="shared" si="25"/>
        <v>12-15</v>
      </c>
    </row>
    <row r="800" spans="1:11" x14ac:dyDescent="0.2">
      <c r="A800" s="4">
        <v>65</v>
      </c>
      <c r="B800" s="4">
        <v>6</v>
      </c>
      <c r="C800" t="s">
        <v>8</v>
      </c>
      <c r="D800" s="4">
        <v>2</v>
      </c>
      <c r="E800" s="3">
        <v>0.712400167365558</v>
      </c>
      <c r="F800" s="4">
        <v>2</v>
      </c>
      <c r="G800" s="2">
        <v>1091.57</v>
      </c>
      <c r="H800" s="2">
        <v>545.78</v>
      </c>
      <c r="I800" s="2">
        <v>1091.57</v>
      </c>
      <c r="J800" s="2" t="str">
        <f t="shared" si="24"/>
        <v>65-74</v>
      </c>
      <c r="K800" s="17" t="str">
        <f t="shared" si="25"/>
        <v>6-8</v>
      </c>
    </row>
    <row r="801" spans="1:11" x14ac:dyDescent="0.2">
      <c r="A801" s="4">
        <v>71</v>
      </c>
      <c r="B801" s="4">
        <v>5</v>
      </c>
      <c r="C801" t="s">
        <v>8</v>
      </c>
      <c r="D801" s="4">
        <v>1</v>
      </c>
      <c r="E801" s="3">
        <v>0.94522193388547704</v>
      </c>
      <c r="F801" s="4">
        <v>1</v>
      </c>
      <c r="G801" s="2">
        <v>919.88</v>
      </c>
      <c r="H801" s="2">
        <v>919.88</v>
      </c>
      <c r="I801" s="2">
        <v>919.88</v>
      </c>
      <c r="J801" s="2" t="str">
        <f t="shared" si="24"/>
        <v>65-74</v>
      </c>
      <c r="K801" s="17" t="str">
        <f t="shared" si="25"/>
        <v>3-5</v>
      </c>
    </row>
    <row r="802" spans="1:11" x14ac:dyDescent="0.2">
      <c r="A802" s="4">
        <v>67</v>
      </c>
      <c r="B802" s="4">
        <v>3</v>
      </c>
      <c r="C802" t="s">
        <v>10</v>
      </c>
      <c r="D802" s="4">
        <v>1</v>
      </c>
      <c r="E802" s="3">
        <v>0.82155644113663595</v>
      </c>
      <c r="F802" s="4">
        <v>1</v>
      </c>
      <c r="G802" s="2">
        <v>1141.97</v>
      </c>
      <c r="H802" s="2">
        <v>1141.97</v>
      </c>
      <c r="I802" s="2">
        <v>1141.97</v>
      </c>
      <c r="J802" s="2" t="str">
        <f t="shared" si="24"/>
        <v>65-74</v>
      </c>
      <c r="K802" s="17" t="str">
        <f t="shared" si="25"/>
        <v>3-5</v>
      </c>
    </row>
    <row r="803" spans="1:11" x14ac:dyDescent="0.2">
      <c r="A803" s="4">
        <v>19</v>
      </c>
      <c r="B803" s="4">
        <v>6</v>
      </c>
      <c r="C803" t="s">
        <v>8</v>
      </c>
      <c r="D803" s="4">
        <v>3</v>
      </c>
      <c r="E803" s="3">
        <v>0.55025406391359899</v>
      </c>
      <c r="F803" s="4">
        <v>1</v>
      </c>
      <c r="G803" s="2">
        <v>1146.6199999999999</v>
      </c>
      <c r="H803" s="2">
        <v>1146.6199999999999</v>
      </c>
      <c r="I803" s="2">
        <v>1146.6199999999999</v>
      </c>
      <c r="J803" s="2" t="str">
        <f t="shared" si="24"/>
        <v>18-24</v>
      </c>
      <c r="K803" s="17" t="str">
        <f t="shared" si="25"/>
        <v>6-8</v>
      </c>
    </row>
    <row r="804" spans="1:11" x14ac:dyDescent="0.2">
      <c r="A804" s="4">
        <v>80</v>
      </c>
      <c r="B804" s="4">
        <v>6</v>
      </c>
      <c r="C804" t="s">
        <v>8</v>
      </c>
      <c r="D804" s="4">
        <v>1</v>
      </c>
      <c r="E804" s="3">
        <v>0.89391619956586499</v>
      </c>
      <c r="F804" s="4">
        <v>1</v>
      </c>
      <c r="G804" s="2">
        <v>2433.15</v>
      </c>
      <c r="H804" s="2">
        <v>2433.15</v>
      </c>
      <c r="I804" s="2">
        <v>2433.15</v>
      </c>
      <c r="J804" s="2" t="str">
        <f t="shared" si="24"/>
        <v>75-90</v>
      </c>
      <c r="K804" s="17" t="str">
        <f t="shared" si="25"/>
        <v>6-8</v>
      </c>
    </row>
    <row r="805" spans="1:11" x14ac:dyDescent="0.2">
      <c r="A805" s="4">
        <v>62</v>
      </c>
      <c r="B805" s="4">
        <v>9</v>
      </c>
      <c r="C805" t="s">
        <v>8</v>
      </c>
      <c r="D805" s="4">
        <v>1</v>
      </c>
      <c r="E805" s="3">
        <v>0.95863281015772395</v>
      </c>
      <c r="F805" s="4">
        <v>1</v>
      </c>
      <c r="G805" s="2">
        <v>948.04</v>
      </c>
      <c r="H805" s="2">
        <v>948.04</v>
      </c>
      <c r="I805" s="2">
        <v>948.04</v>
      </c>
      <c r="J805" s="2" t="str">
        <f t="shared" si="24"/>
        <v>55-64</v>
      </c>
      <c r="K805" s="17" t="str">
        <f t="shared" si="25"/>
        <v>9-11</v>
      </c>
    </row>
    <row r="806" spans="1:11" x14ac:dyDescent="0.2">
      <c r="A806" s="4">
        <v>42</v>
      </c>
      <c r="B806" s="4">
        <v>4</v>
      </c>
      <c r="C806" t="s">
        <v>10</v>
      </c>
      <c r="D806" s="4">
        <v>1</v>
      </c>
      <c r="E806" s="3">
        <v>0.73542747413739595</v>
      </c>
      <c r="F806" s="4">
        <v>1</v>
      </c>
      <c r="G806" s="2">
        <v>1355.81</v>
      </c>
      <c r="H806" s="2">
        <v>1355.81</v>
      </c>
      <c r="I806" s="2">
        <v>1355.81</v>
      </c>
      <c r="J806" s="2" t="str">
        <f t="shared" si="24"/>
        <v>35-44</v>
      </c>
      <c r="K806" s="17" t="str">
        <f t="shared" si="25"/>
        <v>3-5</v>
      </c>
    </row>
    <row r="807" spans="1:11" x14ac:dyDescent="0.2">
      <c r="A807" s="4">
        <v>60</v>
      </c>
      <c r="B807" s="4">
        <v>10</v>
      </c>
      <c r="C807" t="s">
        <v>8</v>
      </c>
      <c r="D807" s="4">
        <v>1</v>
      </c>
      <c r="E807" s="3">
        <v>0.587745082215406</v>
      </c>
      <c r="F807" s="4">
        <v>1</v>
      </c>
      <c r="G807" s="2">
        <v>1035.22</v>
      </c>
      <c r="H807" s="2">
        <v>1035.22</v>
      </c>
      <c r="I807" s="2">
        <v>1035.22</v>
      </c>
      <c r="J807" s="2" t="str">
        <f t="shared" si="24"/>
        <v>55-64</v>
      </c>
      <c r="K807" s="17" t="str">
        <f t="shared" si="25"/>
        <v>9-11</v>
      </c>
    </row>
    <row r="808" spans="1:11" x14ac:dyDescent="0.2">
      <c r="A808" s="4">
        <v>78</v>
      </c>
      <c r="B808" s="4">
        <v>5</v>
      </c>
      <c r="C808" t="s">
        <v>8</v>
      </c>
      <c r="D808" s="4">
        <v>1</v>
      </c>
      <c r="E808" s="3">
        <v>0.89571661490481302</v>
      </c>
      <c r="F808" s="4">
        <v>1</v>
      </c>
      <c r="G808" s="2">
        <v>1275.92</v>
      </c>
      <c r="H808" s="2">
        <v>1275.92</v>
      </c>
      <c r="I808" s="2">
        <v>1275.92</v>
      </c>
      <c r="J808" s="2" t="str">
        <f t="shared" si="24"/>
        <v>75-90</v>
      </c>
      <c r="K808" s="17" t="str">
        <f t="shared" si="25"/>
        <v>3-5</v>
      </c>
    </row>
    <row r="809" spans="1:11" x14ac:dyDescent="0.2">
      <c r="A809" s="4">
        <v>42</v>
      </c>
      <c r="B809" s="4">
        <v>14</v>
      </c>
      <c r="C809" t="s">
        <v>10</v>
      </c>
      <c r="D809" s="4">
        <v>2</v>
      </c>
      <c r="E809" s="3">
        <v>0.76375467434991196</v>
      </c>
      <c r="F809" s="4">
        <v>1</v>
      </c>
      <c r="G809" s="2">
        <v>1666.7</v>
      </c>
      <c r="H809" s="2">
        <v>1666.7</v>
      </c>
      <c r="I809" s="2">
        <v>1666.7</v>
      </c>
      <c r="J809" s="2" t="str">
        <f t="shared" si="24"/>
        <v>35-44</v>
      </c>
      <c r="K809" s="17" t="str">
        <f t="shared" si="25"/>
        <v>12-15</v>
      </c>
    </row>
    <row r="810" spans="1:11" x14ac:dyDescent="0.2">
      <c r="A810" s="4">
        <v>54</v>
      </c>
      <c r="B810" s="4">
        <v>14</v>
      </c>
      <c r="C810" t="s">
        <v>8</v>
      </c>
      <c r="D810" s="4">
        <v>0</v>
      </c>
      <c r="E810" s="3">
        <v>0.88745104544796005</v>
      </c>
      <c r="F810" s="4">
        <v>1</v>
      </c>
      <c r="G810" s="2">
        <v>1329.88</v>
      </c>
      <c r="H810" s="2">
        <v>1329.88</v>
      </c>
      <c r="I810" s="2">
        <v>1329.88</v>
      </c>
      <c r="J810" s="2" t="str">
        <f t="shared" si="24"/>
        <v>45-54</v>
      </c>
      <c r="K810" s="17" t="str">
        <f t="shared" si="25"/>
        <v>12-15</v>
      </c>
    </row>
    <row r="811" spans="1:11" x14ac:dyDescent="0.2">
      <c r="A811" s="4">
        <v>26</v>
      </c>
      <c r="B811" s="4">
        <v>14</v>
      </c>
      <c r="C811" t="s">
        <v>8</v>
      </c>
      <c r="D811" s="4">
        <v>2</v>
      </c>
      <c r="E811" s="3">
        <v>0.84417521522846095</v>
      </c>
      <c r="F811" s="4">
        <v>1</v>
      </c>
      <c r="G811" s="2">
        <v>791.89</v>
      </c>
      <c r="H811" s="2">
        <v>791.89</v>
      </c>
      <c r="I811" s="2">
        <v>791.89</v>
      </c>
      <c r="J811" s="2" t="str">
        <f t="shared" si="24"/>
        <v>25-34</v>
      </c>
      <c r="K811" s="17" t="str">
        <f t="shared" si="25"/>
        <v>12-15</v>
      </c>
    </row>
    <row r="812" spans="1:11" x14ac:dyDescent="0.2">
      <c r="A812" s="4">
        <v>79</v>
      </c>
      <c r="B812" s="4">
        <v>0</v>
      </c>
      <c r="C812" t="s">
        <v>8</v>
      </c>
      <c r="D812" s="4">
        <v>0</v>
      </c>
      <c r="E812" s="3">
        <v>0.82945711584761705</v>
      </c>
      <c r="F812" s="4">
        <v>2</v>
      </c>
      <c r="G812" s="2">
        <v>1070.49</v>
      </c>
      <c r="H812" s="2">
        <v>535.24</v>
      </c>
      <c r="I812" s="2">
        <v>1070.49</v>
      </c>
      <c r="J812" s="2" t="str">
        <f t="shared" si="24"/>
        <v>75-90</v>
      </c>
      <c r="K812" s="17" t="str">
        <f t="shared" si="25"/>
        <v>0-2</v>
      </c>
    </row>
    <row r="813" spans="1:11" x14ac:dyDescent="0.2">
      <c r="A813" s="4">
        <v>72</v>
      </c>
      <c r="B813" s="4">
        <v>11</v>
      </c>
      <c r="C813" t="s">
        <v>16</v>
      </c>
      <c r="D813" s="4">
        <v>1</v>
      </c>
      <c r="E813" s="3">
        <v>0.55956807348411497</v>
      </c>
      <c r="F813" s="4">
        <v>1</v>
      </c>
      <c r="G813" s="2">
        <v>932.28</v>
      </c>
      <c r="H813" s="2">
        <v>932.28</v>
      </c>
      <c r="I813" s="2">
        <v>932.28</v>
      </c>
      <c r="J813" s="2" t="str">
        <f t="shared" si="24"/>
        <v>65-74</v>
      </c>
      <c r="K813" s="17" t="str">
        <f t="shared" si="25"/>
        <v>9-11</v>
      </c>
    </row>
    <row r="814" spans="1:11" x14ac:dyDescent="0.2">
      <c r="A814" s="4">
        <v>67</v>
      </c>
      <c r="B814" s="4">
        <v>11</v>
      </c>
      <c r="C814" t="s">
        <v>16</v>
      </c>
      <c r="D814" s="4">
        <v>0</v>
      </c>
      <c r="E814" s="3">
        <v>0.77014116395730503</v>
      </c>
      <c r="F814" s="4">
        <v>1</v>
      </c>
      <c r="G814" s="2">
        <v>1030.99</v>
      </c>
      <c r="H814" s="2">
        <v>1030.99</v>
      </c>
      <c r="I814" s="2">
        <v>1030.99</v>
      </c>
      <c r="J814" s="2" t="str">
        <f t="shared" si="24"/>
        <v>65-74</v>
      </c>
      <c r="K814" s="17" t="str">
        <f t="shared" si="25"/>
        <v>9-11</v>
      </c>
    </row>
    <row r="815" spans="1:11" x14ac:dyDescent="0.2">
      <c r="A815" s="4">
        <v>66</v>
      </c>
      <c r="B815" s="4">
        <v>8</v>
      </c>
      <c r="C815" t="s">
        <v>16</v>
      </c>
      <c r="D815" s="4">
        <v>1</v>
      </c>
      <c r="E815" s="3">
        <v>0.89342433447018299</v>
      </c>
      <c r="F815" s="4">
        <v>1</v>
      </c>
      <c r="G815" s="2">
        <v>1809.89</v>
      </c>
      <c r="H815" s="2">
        <v>1809.89</v>
      </c>
      <c r="I815" s="2">
        <v>1809.89</v>
      </c>
      <c r="J815" s="2" t="str">
        <f t="shared" si="24"/>
        <v>65-74</v>
      </c>
      <c r="K815" s="17" t="str">
        <f t="shared" si="25"/>
        <v>6-8</v>
      </c>
    </row>
    <row r="816" spans="1:11" x14ac:dyDescent="0.2">
      <c r="A816" s="4">
        <v>19</v>
      </c>
      <c r="B816" s="4">
        <v>10</v>
      </c>
      <c r="C816" t="s">
        <v>8</v>
      </c>
      <c r="D816" s="4">
        <v>1</v>
      </c>
      <c r="E816" s="3">
        <v>0.75520851474720996</v>
      </c>
      <c r="F816" s="4">
        <v>1</v>
      </c>
      <c r="G816" s="2">
        <v>769.8</v>
      </c>
      <c r="H816" s="2">
        <v>769.8</v>
      </c>
      <c r="I816" s="2">
        <v>769.8</v>
      </c>
      <c r="J816" s="2" t="str">
        <f t="shared" si="24"/>
        <v>18-24</v>
      </c>
      <c r="K816" s="17" t="str">
        <f t="shared" si="25"/>
        <v>9-11</v>
      </c>
    </row>
    <row r="817" spans="1:11" x14ac:dyDescent="0.2">
      <c r="A817" s="4">
        <v>22</v>
      </c>
      <c r="B817" s="4">
        <v>9</v>
      </c>
      <c r="C817" t="s">
        <v>16</v>
      </c>
      <c r="D817" s="4">
        <v>1</v>
      </c>
      <c r="E817" s="3">
        <v>0.895143141620792</v>
      </c>
      <c r="F817" s="4">
        <v>1</v>
      </c>
      <c r="G817" s="2">
        <v>553.73</v>
      </c>
      <c r="H817" s="2">
        <v>553.73</v>
      </c>
      <c r="I817" s="2">
        <v>553.73</v>
      </c>
      <c r="J817" s="2" t="str">
        <f t="shared" si="24"/>
        <v>18-24</v>
      </c>
      <c r="K817" s="17" t="str">
        <f t="shared" si="25"/>
        <v>9-11</v>
      </c>
    </row>
    <row r="818" spans="1:11" x14ac:dyDescent="0.2">
      <c r="A818" s="4">
        <v>43</v>
      </c>
      <c r="B818" s="4">
        <v>12</v>
      </c>
      <c r="C818" t="s">
        <v>8</v>
      </c>
      <c r="D818" s="4">
        <v>0</v>
      </c>
      <c r="E818" s="3">
        <v>0.68670442537404597</v>
      </c>
      <c r="F818" s="4">
        <v>1</v>
      </c>
      <c r="G818" s="2">
        <v>1863.58</v>
      </c>
      <c r="H818" s="2">
        <v>1863.58</v>
      </c>
      <c r="I818" s="2">
        <v>1863.58</v>
      </c>
      <c r="J818" s="2" t="str">
        <f t="shared" si="24"/>
        <v>35-44</v>
      </c>
      <c r="K818" s="17" t="str">
        <f t="shared" si="25"/>
        <v>12-15</v>
      </c>
    </row>
    <row r="819" spans="1:11" x14ac:dyDescent="0.2">
      <c r="A819" s="4">
        <v>42</v>
      </c>
      <c r="B819" s="4">
        <v>14</v>
      </c>
      <c r="C819" t="s">
        <v>16</v>
      </c>
      <c r="D819" s="4">
        <v>0</v>
      </c>
      <c r="E819" s="3">
        <v>0.86073911725543395</v>
      </c>
      <c r="F819" s="4">
        <v>1</v>
      </c>
      <c r="G819" s="2">
        <v>609.24</v>
      </c>
      <c r="H819" s="2">
        <v>609.24</v>
      </c>
      <c r="I819" s="2">
        <v>609.24</v>
      </c>
      <c r="J819" s="2" t="str">
        <f t="shared" si="24"/>
        <v>35-44</v>
      </c>
      <c r="K819" s="17" t="str">
        <f t="shared" si="25"/>
        <v>12-15</v>
      </c>
    </row>
    <row r="820" spans="1:11" x14ac:dyDescent="0.2">
      <c r="A820" s="4">
        <v>74</v>
      </c>
      <c r="B820" s="4">
        <v>14</v>
      </c>
      <c r="C820" t="s">
        <v>16</v>
      </c>
      <c r="D820" s="4">
        <v>0</v>
      </c>
      <c r="E820" s="3">
        <v>0.51834667485673003</v>
      </c>
      <c r="F820" s="4">
        <v>1</v>
      </c>
      <c r="G820" s="2">
        <v>1080.3399999999999</v>
      </c>
      <c r="H820" s="2">
        <v>1080.3399999999999</v>
      </c>
      <c r="I820" s="2">
        <v>1080.3399999999999</v>
      </c>
      <c r="J820" s="2" t="str">
        <f t="shared" si="24"/>
        <v>65-74</v>
      </c>
      <c r="K820" s="17" t="str">
        <f t="shared" si="25"/>
        <v>12-15</v>
      </c>
    </row>
    <row r="821" spans="1:11" x14ac:dyDescent="0.2">
      <c r="A821" s="4">
        <v>89</v>
      </c>
      <c r="B821" s="4">
        <v>2</v>
      </c>
      <c r="C821" t="s">
        <v>10</v>
      </c>
      <c r="D821" s="4">
        <v>1</v>
      </c>
      <c r="E821" s="3">
        <v>0.90872166515328001</v>
      </c>
      <c r="F821" s="4">
        <v>1</v>
      </c>
      <c r="G821" s="2">
        <v>1825.31</v>
      </c>
      <c r="H821" s="2">
        <v>1825.31</v>
      </c>
      <c r="I821" s="2">
        <v>1825.31</v>
      </c>
      <c r="J821" s="2" t="str">
        <f t="shared" si="24"/>
        <v>75-90</v>
      </c>
      <c r="K821" s="17" t="str">
        <f t="shared" si="25"/>
        <v>0-2</v>
      </c>
    </row>
    <row r="822" spans="1:11" x14ac:dyDescent="0.2">
      <c r="A822" s="4">
        <v>88</v>
      </c>
      <c r="B822" s="4">
        <v>4</v>
      </c>
      <c r="C822" t="s">
        <v>16</v>
      </c>
      <c r="D822" s="4">
        <v>0</v>
      </c>
      <c r="E822" s="3">
        <v>0.76430282497312896</v>
      </c>
      <c r="F822" s="4">
        <v>2</v>
      </c>
      <c r="G822" s="2">
        <v>872.05</v>
      </c>
      <c r="H822" s="2">
        <v>436.03</v>
      </c>
      <c r="I822" s="2">
        <v>872.05</v>
      </c>
      <c r="J822" s="2" t="str">
        <f t="shared" si="24"/>
        <v>75-90</v>
      </c>
      <c r="K822" s="17" t="str">
        <f t="shared" si="25"/>
        <v>3-5</v>
      </c>
    </row>
    <row r="823" spans="1:11" x14ac:dyDescent="0.2">
      <c r="A823" s="4">
        <v>20</v>
      </c>
      <c r="B823" s="4">
        <v>14</v>
      </c>
      <c r="C823" t="s">
        <v>10</v>
      </c>
      <c r="D823" s="4">
        <v>0</v>
      </c>
      <c r="E823" s="3">
        <v>0.61812993045896303</v>
      </c>
      <c r="F823" s="4">
        <v>1</v>
      </c>
      <c r="G823" s="2">
        <v>330.28</v>
      </c>
      <c r="H823" s="2">
        <v>330.28</v>
      </c>
      <c r="I823" s="2">
        <v>330.28</v>
      </c>
      <c r="J823" s="2" t="str">
        <f t="shared" si="24"/>
        <v>18-24</v>
      </c>
      <c r="K823" s="17" t="str">
        <f t="shared" si="25"/>
        <v>12-15</v>
      </c>
    </row>
    <row r="824" spans="1:11" x14ac:dyDescent="0.2">
      <c r="A824" s="4">
        <v>60</v>
      </c>
      <c r="B824" s="4">
        <v>4</v>
      </c>
      <c r="C824" t="s">
        <v>10</v>
      </c>
      <c r="D824" s="4">
        <v>0</v>
      </c>
      <c r="E824" s="3">
        <v>0.87925050337798905</v>
      </c>
      <c r="F824" s="4">
        <v>1</v>
      </c>
      <c r="G824" s="2">
        <v>594.62</v>
      </c>
      <c r="H824" s="2">
        <v>594.62</v>
      </c>
      <c r="I824" s="2">
        <v>594.62</v>
      </c>
      <c r="J824" s="2" t="str">
        <f t="shared" si="24"/>
        <v>55-64</v>
      </c>
      <c r="K824" s="17" t="str">
        <f t="shared" si="25"/>
        <v>3-5</v>
      </c>
    </row>
    <row r="825" spans="1:11" x14ac:dyDescent="0.2">
      <c r="A825" s="4">
        <v>72</v>
      </c>
      <c r="B825" s="4">
        <v>4</v>
      </c>
      <c r="C825" t="s">
        <v>10</v>
      </c>
      <c r="D825" s="4">
        <v>0</v>
      </c>
      <c r="E825" s="3">
        <v>0.66100829653441895</v>
      </c>
      <c r="F825" s="4">
        <v>1</v>
      </c>
      <c r="G825" s="2">
        <v>1189.04</v>
      </c>
      <c r="H825" s="2">
        <v>1189.04</v>
      </c>
      <c r="I825" s="2">
        <v>1189.04</v>
      </c>
      <c r="J825" s="2" t="str">
        <f t="shared" si="24"/>
        <v>65-74</v>
      </c>
      <c r="K825" s="17" t="str">
        <f t="shared" si="25"/>
        <v>3-5</v>
      </c>
    </row>
    <row r="826" spans="1:11" x14ac:dyDescent="0.2">
      <c r="A826" s="4">
        <v>79</v>
      </c>
      <c r="B826" s="4">
        <v>5</v>
      </c>
      <c r="C826" t="s">
        <v>8</v>
      </c>
      <c r="D826" s="4">
        <v>1</v>
      </c>
      <c r="E826" s="3">
        <v>0.91794432071037602</v>
      </c>
      <c r="F826" s="4">
        <v>1</v>
      </c>
      <c r="G826" s="2">
        <v>1326.37</v>
      </c>
      <c r="H826" s="2">
        <v>1326.37</v>
      </c>
      <c r="I826" s="2">
        <v>1326.37</v>
      </c>
      <c r="J826" s="2" t="str">
        <f t="shared" si="24"/>
        <v>75-90</v>
      </c>
      <c r="K826" s="17" t="str">
        <f t="shared" si="25"/>
        <v>3-5</v>
      </c>
    </row>
    <row r="827" spans="1:11" x14ac:dyDescent="0.2">
      <c r="A827" s="4">
        <v>84</v>
      </c>
      <c r="B827" s="4">
        <v>3</v>
      </c>
      <c r="C827" t="s">
        <v>16</v>
      </c>
      <c r="D827" s="4">
        <v>0</v>
      </c>
      <c r="E827" s="3">
        <v>0.65883865451905899</v>
      </c>
      <c r="F827" s="4">
        <v>1</v>
      </c>
      <c r="G827" s="2">
        <v>1241.24</v>
      </c>
      <c r="H827" s="2">
        <v>1241.24</v>
      </c>
      <c r="I827" s="2">
        <v>1241.24</v>
      </c>
      <c r="J827" s="2" t="str">
        <f t="shared" si="24"/>
        <v>75-90</v>
      </c>
      <c r="K827" s="17" t="str">
        <f t="shared" si="25"/>
        <v>3-5</v>
      </c>
    </row>
    <row r="828" spans="1:11" x14ac:dyDescent="0.2">
      <c r="A828" s="4">
        <v>29</v>
      </c>
      <c r="B828" s="4">
        <v>13</v>
      </c>
      <c r="C828" t="s">
        <v>16</v>
      </c>
      <c r="D828" s="4">
        <v>0</v>
      </c>
      <c r="E828" s="3">
        <v>0.97005756781436503</v>
      </c>
      <c r="F828" s="4">
        <v>1</v>
      </c>
      <c r="G828" s="2">
        <v>1066.99</v>
      </c>
      <c r="H828" s="2">
        <v>1066.99</v>
      </c>
      <c r="I828" s="2">
        <v>1066.99</v>
      </c>
      <c r="J828" s="2" t="str">
        <f t="shared" si="24"/>
        <v>25-34</v>
      </c>
      <c r="K828" s="17" t="str">
        <f t="shared" si="25"/>
        <v>12-15</v>
      </c>
    </row>
    <row r="829" spans="1:11" x14ac:dyDescent="0.2">
      <c r="A829" s="4">
        <v>63</v>
      </c>
      <c r="B829" s="4">
        <v>14</v>
      </c>
      <c r="C829" t="s">
        <v>10</v>
      </c>
      <c r="D829" s="4">
        <v>0</v>
      </c>
      <c r="E829" s="3">
        <v>0.863127285032533</v>
      </c>
      <c r="F829" s="4">
        <v>1</v>
      </c>
      <c r="G829" s="2">
        <v>1307.26</v>
      </c>
      <c r="H829" s="2">
        <v>1307.26</v>
      </c>
      <c r="I829" s="2">
        <v>1307.26</v>
      </c>
      <c r="J829" s="2" t="str">
        <f t="shared" si="24"/>
        <v>55-64</v>
      </c>
      <c r="K829" s="17" t="str">
        <f t="shared" si="25"/>
        <v>12-15</v>
      </c>
    </row>
    <row r="830" spans="1:11" x14ac:dyDescent="0.2">
      <c r="A830" s="4">
        <v>84</v>
      </c>
      <c r="B830" s="4">
        <v>7</v>
      </c>
      <c r="C830" t="s">
        <v>16</v>
      </c>
      <c r="D830" s="4">
        <v>0</v>
      </c>
      <c r="E830" s="3">
        <v>0.93874907528515905</v>
      </c>
      <c r="F830" s="4">
        <v>1</v>
      </c>
      <c r="G830" s="2">
        <v>1132.1400000000001</v>
      </c>
      <c r="H830" s="2">
        <v>1132.1400000000001</v>
      </c>
      <c r="I830" s="2">
        <v>1132.1400000000001</v>
      </c>
      <c r="J830" s="2" t="str">
        <f t="shared" si="24"/>
        <v>75-90</v>
      </c>
      <c r="K830" s="17" t="str">
        <f t="shared" si="25"/>
        <v>6-8</v>
      </c>
    </row>
    <row r="831" spans="1:11" x14ac:dyDescent="0.2">
      <c r="A831" s="4">
        <v>69</v>
      </c>
      <c r="B831" s="4">
        <v>8</v>
      </c>
      <c r="C831" t="s">
        <v>10</v>
      </c>
      <c r="D831" s="4">
        <v>0</v>
      </c>
      <c r="E831" s="3">
        <v>0.65522548451553997</v>
      </c>
      <c r="F831" s="4">
        <v>1</v>
      </c>
      <c r="G831" s="2">
        <v>796.17</v>
      </c>
      <c r="H831" s="2">
        <v>796.17</v>
      </c>
      <c r="I831" s="2">
        <v>796.17</v>
      </c>
      <c r="J831" s="2" t="str">
        <f t="shared" si="24"/>
        <v>65-74</v>
      </c>
      <c r="K831" s="17" t="str">
        <f t="shared" si="25"/>
        <v>6-8</v>
      </c>
    </row>
    <row r="832" spans="1:11" x14ac:dyDescent="0.2">
      <c r="A832" s="4">
        <v>79</v>
      </c>
      <c r="B832" s="4">
        <v>6</v>
      </c>
      <c r="C832" t="s">
        <v>8</v>
      </c>
      <c r="D832" s="4">
        <v>0</v>
      </c>
      <c r="E832" s="3">
        <v>0.65052104403730504</v>
      </c>
      <c r="F832" s="4">
        <v>1</v>
      </c>
      <c r="G832" s="2">
        <v>1449.74</v>
      </c>
      <c r="H832" s="2">
        <v>1449.74</v>
      </c>
      <c r="I832" s="2">
        <v>1449.74</v>
      </c>
      <c r="J832" s="2" t="str">
        <f t="shared" si="24"/>
        <v>75-90</v>
      </c>
      <c r="K832" s="17" t="str">
        <f t="shared" si="25"/>
        <v>6-8</v>
      </c>
    </row>
    <row r="833" spans="1:11" x14ac:dyDescent="0.2">
      <c r="A833" s="4">
        <v>39</v>
      </c>
      <c r="B833" s="4">
        <v>4</v>
      </c>
      <c r="C833" t="s">
        <v>16</v>
      </c>
      <c r="D833" s="4">
        <v>0</v>
      </c>
      <c r="E833" s="3">
        <v>0.829425074509345</v>
      </c>
      <c r="F833" s="4">
        <v>1</v>
      </c>
      <c r="G833" s="2">
        <v>358.69</v>
      </c>
      <c r="H833" s="2">
        <v>358.69</v>
      </c>
      <c r="I833" s="2">
        <v>358.69</v>
      </c>
      <c r="J833" s="2" t="str">
        <f t="shared" si="24"/>
        <v>35-44</v>
      </c>
      <c r="K833" s="17" t="str">
        <f t="shared" si="25"/>
        <v>3-5</v>
      </c>
    </row>
    <row r="834" spans="1:11" x14ac:dyDescent="0.2">
      <c r="A834" s="4">
        <v>65</v>
      </c>
      <c r="B834" s="4">
        <v>13</v>
      </c>
      <c r="C834" t="s">
        <v>8</v>
      </c>
      <c r="D834" s="4">
        <v>0</v>
      </c>
      <c r="E834" s="3">
        <v>0.81341686949599501</v>
      </c>
      <c r="F834" s="4">
        <v>1</v>
      </c>
      <c r="G834" s="2">
        <v>1332.58</v>
      </c>
      <c r="H834" s="2">
        <v>1332.58</v>
      </c>
      <c r="I834" s="2">
        <v>1332.58</v>
      </c>
      <c r="J834" s="2" t="str">
        <f t="shared" ref="J834:J897" si="26" xml:space="preserve"> IF(A834&lt;25,"18-24",
 IF(A834&lt;35,"25-34",
 IF(A834&lt;45,"35-44",
 IF(A834&lt;55,"45-54", IF(A834&lt;65, "55-64", IF(A834&lt;75, "65-74", "75-90"))))))</f>
        <v>65-74</v>
      </c>
      <c r="K834" s="17" t="str">
        <f t="shared" ref="K834:K897" si="27" xml:space="preserve"> IF(B834 &lt; 3, "0-2", IF(B834 &lt; 6, "3-5", IF(B834 &lt; 9, "6-8", IF(B834 &lt; 12, "9-11", "12-15"))))</f>
        <v>12-15</v>
      </c>
    </row>
    <row r="835" spans="1:11" x14ac:dyDescent="0.2">
      <c r="A835" s="4">
        <v>79</v>
      </c>
      <c r="B835" s="4">
        <v>1</v>
      </c>
      <c r="C835" t="s">
        <v>8</v>
      </c>
      <c r="D835" s="4">
        <v>0</v>
      </c>
      <c r="E835" s="3">
        <v>0.788426266866736</v>
      </c>
      <c r="F835" s="4">
        <v>1</v>
      </c>
      <c r="G835" s="2">
        <v>530.57000000000005</v>
      </c>
      <c r="H835" s="2">
        <v>530.57000000000005</v>
      </c>
      <c r="I835" s="2">
        <v>530.57000000000005</v>
      </c>
      <c r="J835" s="2" t="str">
        <f t="shared" si="26"/>
        <v>75-90</v>
      </c>
      <c r="K835" s="17" t="str">
        <f t="shared" si="27"/>
        <v>0-2</v>
      </c>
    </row>
    <row r="836" spans="1:11" x14ac:dyDescent="0.2">
      <c r="A836" s="4">
        <v>66</v>
      </c>
      <c r="B836" s="4">
        <v>11</v>
      </c>
      <c r="C836" t="s">
        <v>8</v>
      </c>
      <c r="D836" s="4">
        <v>0</v>
      </c>
      <c r="E836" s="3">
        <v>0.88362957851495605</v>
      </c>
      <c r="F836" s="4">
        <v>1</v>
      </c>
      <c r="G836" s="2">
        <v>828.65</v>
      </c>
      <c r="H836" s="2">
        <v>828.65</v>
      </c>
      <c r="I836" s="2">
        <v>828.65</v>
      </c>
      <c r="J836" s="2" t="str">
        <f t="shared" si="26"/>
        <v>65-74</v>
      </c>
      <c r="K836" s="17" t="str">
        <f t="shared" si="27"/>
        <v>9-11</v>
      </c>
    </row>
    <row r="837" spans="1:11" x14ac:dyDescent="0.2">
      <c r="A837" s="4">
        <v>71</v>
      </c>
      <c r="B837" s="4">
        <v>13</v>
      </c>
      <c r="C837" t="s">
        <v>8</v>
      </c>
      <c r="D837" s="4">
        <v>0</v>
      </c>
      <c r="E837" s="3">
        <v>0.61028226779308203</v>
      </c>
      <c r="F837" s="4">
        <v>1</v>
      </c>
      <c r="G837" s="2">
        <v>1509.06</v>
      </c>
      <c r="H837" s="2">
        <v>1509.06</v>
      </c>
      <c r="I837" s="2">
        <v>1509.06</v>
      </c>
      <c r="J837" s="2" t="str">
        <f t="shared" si="26"/>
        <v>65-74</v>
      </c>
      <c r="K837" s="17" t="str">
        <f t="shared" si="27"/>
        <v>12-15</v>
      </c>
    </row>
    <row r="838" spans="1:11" x14ac:dyDescent="0.2">
      <c r="A838" s="4">
        <v>37</v>
      </c>
      <c r="B838" s="4">
        <v>14</v>
      </c>
      <c r="C838" t="s">
        <v>8</v>
      </c>
      <c r="D838" s="4">
        <v>0</v>
      </c>
      <c r="E838" s="3">
        <v>0.95697905158158403</v>
      </c>
      <c r="F838" s="4">
        <v>1</v>
      </c>
      <c r="G838" s="2">
        <v>1027.18</v>
      </c>
      <c r="H838" s="2">
        <v>1027.18</v>
      </c>
      <c r="I838" s="2">
        <v>1027.18</v>
      </c>
      <c r="J838" s="2" t="str">
        <f t="shared" si="26"/>
        <v>35-44</v>
      </c>
      <c r="K838" s="17" t="str">
        <f t="shared" si="27"/>
        <v>12-15</v>
      </c>
    </row>
    <row r="839" spans="1:11" x14ac:dyDescent="0.2">
      <c r="A839" s="4">
        <v>28</v>
      </c>
      <c r="B839" s="4">
        <v>11</v>
      </c>
      <c r="C839" t="s">
        <v>8</v>
      </c>
      <c r="D839" s="4">
        <v>1</v>
      </c>
      <c r="E839" s="3">
        <v>0.95756926178000901</v>
      </c>
      <c r="F839" s="4">
        <v>1</v>
      </c>
      <c r="G839" s="2">
        <v>473.94</v>
      </c>
      <c r="H839" s="2">
        <v>473.94</v>
      </c>
      <c r="I839" s="2">
        <v>473.94</v>
      </c>
      <c r="J839" s="2" t="str">
        <f t="shared" si="26"/>
        <v>25-34</v>
      </c>
      <c r="K839" s="17" t="str">
        <f t="shared" si="27"/>
        <v>9-11</v>
      </c>
    </row>
    <row r="840" spans="1:11" x14ac:dyDescent="0.2">
      <c r="A840" s="4">
        <v>35</v>
      </c>
      <c r="B840" s="4">
        <v>2</v>
      </c>
      <c r="C840" t="s">
        <v>8</v>
      </c>
      <c r="D840" s="4">
        <v>0</v>
      </c>
      <c r="E840" s="3">
        <v>0.69842167850583803</v>
      </c>
      <c r="F840" s="4">
        <v>2</v>
      </c>
      <c r="G840" s="2">
        <v>417.95</v>
      </c>
      <c r="H840" s="2">
        <v>208.97</v>
      </c>
      <c r="I840" s="2">
        <v>417.95</v>
      </c>
      <c r="J840" s="2" t="str">
        <f t="shared" si="26"/>
        <v>35-44</v>
      </c>
      <c r="K840" s="17" t="str">
        <f t="shared" si="27"/>
        <v>0-2</v>
      </c>
    </row>
    <row r="841" spans="1:11" x14ac:dyDescent="0.2">
      <c r="A841" s="4">
        <v>63</v>
      </c>
      <c r="B841" s="4">
        <v>8</v>
      </c>
      <c r="C841" t="s">
        <v>16</v>
      </c>
      <c r="D841" s="4">
        <v>0</v>
      </c>
      <c r="E841" s="3">
        <v>0.77263582218438398</v>
      </c>
      <c r="F841" s="4">
        <v>1</v>
      </c>
      <c r="G841" s="2">
        <v>710.54</v>
      </c>
      <c r="H841" s="2">
        <v>710.54</v>
      </c>
      <c r="I841" s="2">
        <v>710.54</v>
      </c>
      <c r="J841" s="2" t="str">
        <f t="shared" si="26"/>
        <v>55-64</v>
      </c>
      <c r="K841" s="17" t="str">
        <f t="shared" si="27"/>
        <v>6-8</v>
      </c>
    </row>
    <row r="842" spans="1:11" x14ac:dyDescent="0.2">
      <c r="A842" s="4">
        <v>64</v>
      </c>
      <c r="B842" s="4">
        <v>14</v>
      </c>
      <c r="C842" t="s">
        <v>8</v>
      </c>
      <c r="D842" s="4">
        <v>0</v>
      </c>
      <c r="E842" s="3">
        <v>0.88112003949936502</v>
      </c>
      <c r="F842" s="4">
        <v>2</v>
      </c>
      <c r="G842" s="2">
        <v>852.46</v>
      </c>
      <c r="H842" s="2">
        <v>426.23</v>
      </c>
      <c r="I842" s="2">
        <v>852.46</v>
      </c>
      <c r="J842" s="2" t="str">
        <f t="shared" si="26"/>
        <v>55-64</v>
      </c>
      <c r="K842" s="17" t="str">
        <f t="shared" si="27"/>
        <v>12-15</v>
      </c>
    </row>
    <row r="843" spans="1:11" x14ac:dyDescent="0.2">
      <c r="A843" s="4">
        <v>42</v>
      </c>
      <c r="B843" s="4">
        <v>6</v>
      </c>
      <c r="C843" t="s">
        <v>8</v>
      </c>
      <c r="D843" s="4">
        <v>0</v>
      </c>
      <c r="E843" s="3">
        <v>0.75833217543549802</v>
      </c>
      <c r="F843" s="4">
        <v>1</v>
      </c>
      <c r="G843" s="2">
        <v>621.82000000000005</v>
      </c>
      <c r="H843" s="2">
        <v>621.82000000000005</v>
      </c>
      <c r="I843" s="2">
        <v>621.82000000000005</v>
      </c>
      <c r="J843" s="2" t="str">
        <f t="shared" si="26"/>
        <v>35-44</v>
      </c>
      <c r="K843" s="17" t="str">
        <f t="shared" si="27"/>
        <v>6-8</v>
      </c>
    </row>
    <row r="844" spans="1:11" x14ac:dyDescent="0.2">
      <c r="A844" s="4">
        <v>73</v>
      </c>
      <c r="B844" s="4">
        <v>0</v>
      </c>
      <c r="C844" t="s">
        <v>8</v>
      </c>
      <c r="D844" s="4">
        <v>2</v>
      </c>
      <c r="E844" s="3">
        <v>0.86189648474100999</v>
      </c>
      <c r="F844" s="4">
        <v>1</v>
      </c>
      <c r="G844" s="2">
        <v>1074.1600000000001</v>
      </c>
      <c r="H844" s="2">
        <v>1074.1600000000001</v>
      </c>
      <c r="I844" s="2">
        <v>1074.1600000000001</v>
      </c>
      <c r="J844" s="2" t="str">
        <f t="shared" si="26"/>
        <v>65-74</v>
      </c>
      <c r="K844" s="17" t="str">
        <f t="shared" si="27"/>
        <v>0-2</v>
      </c>
    </row>
    <row r="845" spans="1:11" x14ac:dyDescent="0.2">
      <c r="A845" s="4">
        <v>87</v>
      </c>
      <c r="B845" s="4">
        <v>7</v>
      </c>
      <c r="C845" t="s">
        <v>10</v>
      </c>
      <c r="D845" s="4">
        <v>1</v>
      </c>
      <c r="E845" s="3">
        <v>0.89179164427332602</v>
      </c>
      <c r="F845" s="4">
        <v>1</v>
      </c>
      <c r="G845" s="2">
        <v>3916.44</v>
      </c>
      <c r="H845" s="2">
        <v>3916.44</v>
      </c>
      <c r="I845" s="2">
        <v>3916.44</v>
      </c>
      <c r="J845" s="2" t="str">
        <f t="shared" si="26"/>
        <v>75-90</v>
      </c>
      <c r="K845" s="17" t="str">
        <f t="shared" si="27"/>
        <v>6-8</v>
      </c>
    </row>
    <row r="846" spans="1:11" x14ac:dyDescent="0.2">
      <c r="A846" s="4">
        <v>45</v>
      </c>
      <c r="B846" s="4">
        <v>6</v>
      </c>
      <c r="C846" t="s">
        <v>16</v>
      </c>
      <c r="D846" s="4">
        <v>0</v>
      </c>
      <c r="E846" s="3">
        <v>0.70230278733652096</v>
      </c>
      <c r="F846" s="4">
        <v>1</v>
      </c>
      <c r="G846" s="2">
        <v>949.6</v>
      </c>
      <c r="H846" s="2">
        <v>949.6</v>
      </c>
      <c r="I846" s="2">
        <v>949.6</v>
      </c>
      <c r="J846" s="2" t="str">
        <f t="shared" si="26"/>
        <v>45-54</v>
      </c>
      <c r="K846" s="17" t="str">
        <f t="shared" si="27"/>
        <v>6-8</v>
      </c>
    </row>
    <row r="847" spans="1:11" x14ac:dyDescent="0.2">
      <c r="A847" s="4">
        <v>58</v>
      </c>
      <c r="B847" s="4">
        <v>8</v>
      </c>
      <c r="C847" t="s">
        <v>8</v>
      </c>
      <c r="D847" s="4">
        <v>0</v>
      </c>
      <c r="E847" s="3">
        <v>0.64087976329028595</v>
      </c>
      <c r="F847" s="4">
        <v>1</v>
      </c>
      <c r="G847" s="2">
        <v>675.17</v>
      </c>
      <c r="H847" s="2">
        <v>675.17</v>
      </c>
      <c r="I847" s="2">
        <v>675.17</v>
      </c>
      <c r="J847" s="2" t="str">
        <f t="shared" si="26"/>
        <v>55-64</v>
      </c>
      <c r="K847" s="17" t="str">
        <f t="shared" si="27"/>
        <v>6-8</v>
      </c>
    </row>
    <row r="848" spans="1:11" x14ac:dyDescent="0.2">
      <c r="A848" s="4">
        <v>85</v>
      </c>
      <c r="B848" s="4">
        <v>11</v>
      </c>
      <c r="C848" t="s">
        <v>8</v>
      </c>
      <c r="D848" s="4">
        <v>0</v>
      </c>
      <c r="E848" s="3">
        <v>0.60991541831754104</v>
      </c>
      <c r="F848" s="4">
        <v>1</v>
      </c>
      <c r="G848" s="2">
        <v>2598.33</v>
      </c>
      <c r="H848" s="2">
        <v>2598.33</v>
      </c>
      <c r="I848" s="2">
        <v>2598.33</v>
      </c>
      <c r="J848" s="2" t="str">
        <f t="shared" si="26"/>
        <v>75-90</v>
      </c>
      <c r="K848" s="17" t="str">
        <f t="shared" si="27"/>
        <v>9-11</v>
      </c>
    </row>
    <row r="849" spans="1:11" x14ac:dyDescent="0.2">
      <c r="A849" s="4">
        <v>25</v>
      </c>
      <c r="B849" s="4">
        <v>10</v>
      </c>
      <c r="C849" t="s">
        <v>16</v>
      </c>
      <c r="D849" s="4">
        <v>0</v>
      </c>
      <c r="E849" s="3">
        <v>0.90106647380161997</v>
      </c>
      <c r="F849" s="4">
        <v>1</v>
      </c>
      <c r="G849" s="2">
        <v>647.75</v>
      </c>
      <c r="H849" s="2">
        <v>647.75</v>
      </c>
      <c r="I849" s="2">
        <v>647.75</v>
      </c>
      <c r="J849" s="2" t="str">
        <f t="shared" si="26"/>
        <v>25-34</v>
      </c>
      <c r="K849" s="17" t="str">
        <f t="shared" si="27"/>
        <v>9-11</v>
      </c>
    </row>
    <row r="850" spans="1:11" x14ac:dyDescent="0.2">
      <c r="A850" s="4">
        <v>83</v>
      </c>
      <c r="B850" s="4">
        <v>1</v>
      </c>
      <c r="C850" t="s">
        <v>8</v>
      </c>
      <c r="D850" s="4">
        <v>2</v>
      </c>
      <c r="E850" s="3">
        <v>0.58638500259257897</v>
      </c>
      <c r="F850" s="4">
        <v>2</v>
      </c>
      <c r="G850" s="2">
        <v>1742.36</v>
      </c>
      <c r="H850" s="2">
        <v>871.18</v>
      </c>
      <c r="I850" s="2">
        <v>1742.36</v>
      </c>
      <c r="J850" s="2" t="str">
        <f t="shared" si="26"/>
        <v>75-90</v>
      </c>
      <c r="K850" s="17" t="str">
        <f t="shared" si="27"/>
        <v>0-2</v>
      </c>
    </row>
    <row r="851" spans="1:11" x14ac:dyDescent="0.2">
      <c r="A851" s="4">
        <v>76</v>
      </c>
      <c r="B851" s="4">
        <v>7</v>
      </c>
      <c r="C851" t="s">
        <v>8</v>
      </c>
      <c r="D851" s="4">
        <v>0</v>
      </c>
      <c r="E851" s="3">
        <v>0.76673546293750405</v>
      </c>
      <c r="F851" s="4">
        <v>1</v>
      </c>
      <c r="G851" s="2">
        <v>782.06</v>
      </c>
      <c r="H851" s="2">
        <v>782.06</v>
      </c>
      <c r="I851" s="2">
        <v>782.06</v>
      </c>
      <c r="J851" s="2" t="str">
        <f t="shared" si="26"/>
        <v>75-90</v>
      </c>
      <c r="K851" s="17" t="str">
        <f t="shared" si="27"/>
        <v>6-8</v>
      </c>
    </row>
    <row r="852" spans="1:11" x14ac:dyDescent="0.2">
      <c r="A852" s="4">
        <v>87</v>
      </c>
      <c r="B852" s="4">
        <v>1</v>
      </c>
      <c r="C852" t="s">
        <v>8</v>
      </c>
      <c r="D852" s="4">
        <v>1</v>
      </c>
      <c r="E852" s="3">
        <v>0.68087813642341599</v>
      </c>
      <c r="F852" s="4">
        <v>2</v>
      </c>
      <c r="G852" s="2">
        <v>918.96</v>
      </c>
      <c r="H852" s="2">
        <v>459.48</v>
      </c>
      <c r="I852" s="2">
        <v>918.96</v>
      </c>
      <c r="J852" s="2" t="str">
        <f t="shared" si="26"/>
        <v>75-90</v>
      </c>
      <c r="K852" s="17" t="str">
        <f t="shared" si="27"/>
        <v>0-2</v>
      </c>
    </row>
    <row r="853" spans="1:11" x14ac:dyDescent="0.2">
      <c r="A853" s="4">
        <v>51</v>
      </c>
      <c r="B853" s="4">
        <v>10</v>
      </c>
      <c r="C853" t="s">
        <v>8</v>
      </c>
      <c r="D853" s="4">
        <v>0</v>
      </c>
      <c r="E853" s="3">
        <v>0.92019794601947102</v>
      </c>
      <c r="F853" s="4">
        <v>1</v>
      </c>
      <c r="G853" s="2">
        <v>459.37</v>
      </c>
      <c r="H853" s="2">
        <v>459.37</v>
      </c>
      <c r="I853" s="2">
        <v>459.37</v>
      </c>
      <c r="J853" s="2" t="str">
        <f t="shared" si="26"/>
        <v>45-54</v>
      </c>
      <c r="K853" s="17" t="str">
        <f t="shared" si="27"/>
        <v>9-11</v>
      </c>
    </row>
    <row r="854" spans="1:11" x14ac:dyDescent="0.2">
      <c r="A854" s="4">
        <v>55</v>
      </c>
      <c r="B854" s="4">
        <v>10</v>
      </c>
      <c r="C854" t="s">
        <v>10</v>
      </c>
      <c r="D854" s="4">
        <v>0</v>
      </c>
      <c r="E854" s="3">
        <v>0.67655492038466003</v>
      </c>
      <c r="F854" s="4">
        <v>1</v>
      </c>
      <c r="G854" s="2">
        <v>935.33</v>
      </c>
      <c r="H854" s="2">
        <v>935.33</v>
      </c>
      <c r="I854" s="2">
        <v>935.33</v>
      </c>
      <c r="J854" s="2" t="str">
        <f t="shared" si="26"/>
        <v>55-64</v>
      </c>
      <c r="K854" s="17" t="str">
        <f t="shared" si="27"/>
        <v>9-11</v>
      </c>
    </row>
    <row r="855" spans="1:11" x14ac:dyDescent="0.2">
      <c r="A855" s="4">
        <v>48</v>
      </c>
      <c r="B855" s="4">
        <v>10</v>
      </c>
      <c r="C855" t="s">
        <v>8</v>
      </c>
      <c r="D855" s="4">
        <v>0</v>
      </c>
      <c r="E855" s="3">
        <v>0.93541462474968295</v>
      </c>
      <c r="F855" s="4">
        <v>1</v>
      </c>
      <c r="G855" s="2">
        <v>1342.17</v>
      </c>
      <c r="H855" s="2">
        <v>1342.17</v>
      </c>
      <c r="I855" s="2">
        <v>1342.17</v>
      </c>
      <c r="J855" s="2" t="str">
        <f t="shared" si="26"/>
        <v>45-54</v>
      </c>
      <c r="K855" s="17" t="str">
        <f t="shared" si="27"/>
        <v>9-11</v>
      </c>
    </row>
    <row r="856" spans="1:11" x14ac:dyDescent="0.2">
      <c r="A856" s="4">
        <v>52</v>
      </c>
      <c r="B856" s="4">
        <v>11</v>
      </c>
      <c r="C856" t="s">
        <v>10</v>
      </c>
      <c r="D856" s="4">
        <v>0</v>
      </c>
      <c r="E856" s="3">
        <v>0.96071999135892805</v>
      </c>
      <c r="F856" s="4">
        <v>1</v>
      </c>
      <c r="G856" s="2">
        <v>1544.71</v>
      </c>
      <c r="H856" s="2">
        <v>1544.71</v>
      </c>
      <c r="I856" s="2">
        <v>1544.71</v>
      </c>
      <c r="J856" s="2" t="str">
        <f t="shared" si="26"/>
        <v>45-54</v>
      </c>
      <c r="K856" s="17" t="str">
        <f t="shared" si="27"/>
        <v>9-11</v>
      </c>
    </row>
    <row r="857" spans="1:11" x14ac:dyDescent="0.2">
      <c r="A857" s="4">
        <v>41</v>
      </c>
      <c r="B857" s="4">
        <v>5</v>
      </c>
      <c r="C857" t="s">
        <v>10</v>
      </c>
      <c r="D857" s="4">
        <v>1</v>
      </c>
      <c r="E857" s="3">
        <v>0.97779618692584302</v>
      </c>
      <c r="F857" s="4">
        <v>1</v>
      </c>
      <c r="G857" s="2">
        <v>1405.7</v>
      </c>
      <c r="H857" s="2">
        <v>1405.7</v>
      </c>
      <c r="I857" s="2">
        <v>1405.7</v>
      </c>
      <c r="J857" s="2" t="str">
        <f t="shared" si="26"/>
        <v>35-44</v>
      </c>
      <c r="K857" s="17" t="str">
        <f t="shared" si="27"/>
        <v>3-5</v>
      </c>
    </row>
    <row r="858" spans="1:11" x14ac:dyDescent="0.2">
      <c r="A858" s="4">
        <v>78</v>
      </c>
      <c r="B858" s="4">
        <v>1</v>
      </c>
      <c r="C858" t="s">
        <v>8</v>
      </c>
      <c r="D858" s="4">
        <v>1</v>
      </c>
      <c r="E858" s="3">
        <v>0.90296080254484001</v>
      </c>
      <c r="F858" s="4">
        <v>1</v>
      </c>
      <c r="G858" s="2">
        <v>1188.83</v>
      </c>
      <c r="H858" s="2">
        <v>1188.83</v>
      </c>
      <c r="I858" s="2">
        <v>1188.83</v>
      </c>
      <c r="J858" s="2" t="str">
        <f t="shared" si="26"/>
        <v>75-90</v>
      </c>
      <c r="K858" s="17" t="str">
        <f t="shared" si="27"/>
        <v>0-2</v>
      </c>
    </row>
    <row r="859" spans="1:11" x14ac:dyDescent="0.2">
      <c r="A859" s="4">
        <v>40</v>
      </c>
      <c r="B859" s="4">
        <v>2</v>
      </c>
      <c r="C859" t="s">
        <v>10</v>
      </c>
      <c r="D859" s="4">
        <v>0</v>
      </c>
      <c r="E859" s="3">
        <v>0.75454366486519597</v>
      </c>
      <c r="F859" s="4">
        <v>1</v>
      </c>
      <c r="G859" s="2">
        <v>583.66</v>
      </c>
      <c r="H859" s="2">
        <v>583.66</v>
      </c>
      <c r="I859" s="2">
        <v>583.66</v>
      </c>
      <c r="J859" s="2" t="str">
        <f t="shared" si="26"/>
        <v>35-44</v>
      </c>
      <c r="K859" s="17" t="str">
        <f t="shared" si="27"/>
        <v>0-2</v>
      </c>
    </row>
    <row r="860" spans="1:11" x14ac:dyDescent="0.2">
      <c r="A860" s="4">
        <v>77</v>
      </c>
      <c r="B860" s="4">
        <v>13</v>
      </c>
      <c r="C860" t="s">
        <v>16</v>
      </c>
      <c r="D860" s="4">
        <v>0</v>
      </c>
      <c r="E860" s="3">
        <v>0.93312148028053299</v>
      </c>
      <c r="F860" s="4">
        <v>1</v>
      </c>
      <c r="G860" s="2">
        <v>795.67</v>
      </c>
      <c r="H860" s="2">
        <v>795.67</v>
      </c>
      <c r="I860" s="2">
        <v>795.67</v>
      </c>
      <c r="J860" s="2" t="str">
        <f t="shared" si="26"/>
        <v>75-90</v>
      </c>
      <c r="K860" s="17" t="str">
        <f t="shared" si="27"/>
        <v>12-15</v>
      </c>
    </row>
    <row r="861" spans="1:11" x14ac:dyDescent="0.2">
      <c r="A861" s="4">
        <v>46</v>
      </c>
      <c r="B861" s="4">
        <v>9</v>
      </c>
      <c r="C861" t="s">
        <v>8</v>
      </c>
      <c r="D861" s="4">
        <v>0</v>
      </c>
      <c r="E861" s="3">
        <v>0.81244728388264797</v>
      </c>
      <c r="F861" s="4">
        <v>1</v>
      </c>
      <c r="G861" s="2">
        <v>501.07</v>
      </c>
      <c r="H861" s="2">
        <v>501.07</v>
      </c>
      <c r="I861" s="2">
        <v>501.07</v>
      </c>
      <c r="J861" s="2" t="str">
        <f t="shared" si="26"/>
        <v>45-54</v>
      </c>
      <c r="K861" s="17" t="str">
        <f t="shared" si="27"/>
        <v>9-11</v>
      </c>
    </row>
    <row r="862" spans="1:11" x14ac:dyDescent="0.2">
      <c r="A862" s="4">
        <v>72</v>
      </c>
      <c r="B862" s="4">
        <v>1</v>
      </c>
      <c r="C862" t="s">
        <v>10</v>
      </c>
      <c r="D862" s="4">
        <v>0</v>
      </c>
      <c r="E862" s="3">
        <v>0.84173218056093901</v>
      </c>
      <c r="F862" s="4">
        <v>1</v>
      </c>
      <c r="G862" s="2">
        <v>1292.8399999999999</v>
      </c>
      <c r="H862" s="2">
        <v>1292.8399999999999</v>
      </c>
      <c r="I862" s="2">
        <v>1292.8399999999999</v>
      </c>
      <c r="J862" s="2" t="str">
        <f t="shared" si="26"/>
        <v>65-74</v>
      </c>
      <c r="K862" s="17" t="str">
        <f t="shared" si="27"/>
        <v>0-2</v>
      </c>
    </row>
    <row r="863" spans="1:11" x14ac:dyDescent="0.2">
      <c r="A863" s="4">
        <v>53</v>
      </c>
      <c r="B863" s="4">
        <v>14</v>
      </c>
      <c r="C863" t="s">
        <v>16</v>
      </c>
      <c r="D863" s="4">
        <v>0</v>
      </c>
      <c r="E863" s="3">
        <v>0.96603443473577499</v>
      </c>
      <c r="F863" s="4">
        <v>1</v>
      </c>
      <c r="G863" s="2">
        <v>1098.5</v>
      </c>
      <c r="H863" s="2">
        <v>1098.5</v>
      </c>
      <c r="I863" s="2">
        <v>1098.5</v>
      </c>
      <c r="J863" s="2" t="str">
        <f t="shared" si="26"/>
        <v>45-54</v>
      </c>
      <c r="K863" s="17" t="str">
        <f t="shared" si="27"/>
        <v>12-15</v>
      </c>
    </row>
    <row r="864" spans="1:11" x14ac:dyDescent="0.2">
      <c r="A864" s="4">
        <v>46</v>
      </c>
      <c r="B864" s="4">
        <v>10</v>
      </c>
      <c r="C864" t="s">
        <v>16</v>
      </c>
      <c r="D864" s="4">
        <v>0</v>
      </c>
      <c r="E864" s="3">
        <v>0.97428708767984096</v>
      </c>
      <c r="F864" s="4">
        <v>1</v>
      </c>
      <c r="G864" s="2">
        <v>550.73</v>
      </c>
      <c r="H864" s="2">
        <v>550.73</v>
      </c>
      <c r="I864" s="2">
        <v>550.73</v>
      </c>
      <c r="J864" s="2" t="str">
        <f t="shared" si="26"/>
        <v>45-54</v>
      </c>
      <c r="K864" s="17" t="str">
        <f t="shared" si="27"/>
        <v>9-11</v>
      </c>
    </row>
    <row r="865" spans="1:11" x14ac:dyDescent="0.2">
      <c r="A865" s="4">
        <v>75</v>
      </c>
      <c r="B865" s="4">
        <v>8</v>
      </c>
      <c r="C865" t="s">
        <v>8</v>
      </c>
      <c r="D865" s="4">
        <v>1</v>
      </c>
      <c r="E865" s="3">
        <v>0.91531921760179102</v>
      </c>
      <c r="F865" s="4">
        <v>1</v>
      </c>
      <c r="G865" s="2">
        <v>1110</v>
      </c>
      <c r="H865" s="2">
        <v>1110</v>
      </c>
      <c r="I865" s="2">
        <v>1110</v>
      </c>
      <c r="J865" s="2" t="str">
        <f t="shared" si="26"/>
        <v>75-90</v>
      </c>
      <c r="K865" s="17" t="str">
        <f t="shared" si="27"/>
        <v>6-8</v>
      </c>
    </row>
    <row r="866" spans="1:11" x14ac:dyDescent="0.2">
      <c r="A866" s="4">
        <v>63</v>
      </c>
      <c r="B866" s="4">
        <v>5</v>
      </c>
      <c r="C866" t="s">
        <v>10</v>
      </c>
      <c r="D866" s="4">
        <v>0</v>
      </c>
      <c r="E866" s="3">
        <v>0.66511063266079895</v>
      </c>
      <c r="F866" s="4">
        <v>1</v>
      </c>
      <c r="G866" s="2">
        <v>630.89</v>
      </c>
      <c r="H866" s="2">
        <v>630.89</v>
      </c>
      <c r="I866" s="2">
        <v>630.89</v>
      </c>
      <c r="J866" s="2" t="str">
        <f t="shared" si="26"/>
        <v>55-64</v>
      </c>
      <c r="K866" s="17" t="str">
        <f t="shared" si="27"/>
        <v>3-5</v>
      </c>
    </row>
    <row r="867" spans="1:11" x14ac:dyDescent="0.2">
      <c r="A867" s="4">
        <v>25</v>
      </c>
      <c r="B867" s="4">
        <v>9</v>
      </c>
      <c r="C867" t="s">
        <v>8</v>
      </c>
      <c r="D867" s="4">
        <v>0</v>
      </c>
      <c r="E867" s="3">
        <v>0.84346409642603204</v>
      </c>
      <c r="F867" s="4">
        <v>1</v>
      </c>
      <c r="G867" s="2">
        <v>350.46</v>
      </c>
      <c r="H867" s="2">
        <v>350.46</v>
      </c>
      <c r="I867" s="2">
        <v>350.46</v>
      </c>
      <c r="J867" s="2" t="str">
        <f t="shared" si="26"/>
        <v>25-34</v>
      </c>
      <c r="K867" s="17" t="str">
        <f t="shared" si="27"/>
        <v>9-11</v>
      </c>
    </row>
    <row r="868" spans="1:11" x14ac:dyDescent="0.2">
      <c r="A868" s="4">
        <v>53</v>
      </c>
      <c r="B868" s="4">
        <v>4</v>
      </c>
      <c r="C868" t="s">
        <v>10</v>
      </c>
      <c r="D868" s="4">
        <v>1</v>
      </c>
      <c r="E868" s="3">
        <v>0.81783559324685495</v>
      </c>
      <c r="F868" s="4">
        <v>1</v>
      </c>
      <c r="G868" s="2">
        <v>676.99</v>
      </c>
      <c r="H868" s="2">
        <v>676.99</v>
      </c>
      <c r="I868" s="2">
        <v>676.99</v>
      </c>
      <c r="J868" s="2" t="str">
        <f t="shared" si="26"/>
        <v>45-54</v>
      </c>
      <c r="K868" s="17" t="str">
        <f t="shared" si="27"/>
        <v>3-5</v>
      </c>
    </row>
    <row r="869" spans="1:11" x14ac:dyDescent="0.2">
      <c r="A869" s="4">
        <v>39</v>
      </c>
      <c r="B869" s="4">
        <v>7</v>
      </c>
      <c r="C869" t="s">
        <v>16</v>
      </c>
      <c r="D869" s="4">
        <v>1</v>
      </c>
      <c r="E869" s="3">
        <v>0.70970065623987499</v>
      </c>
      <c r="F869" s="4">
        <v>1</v>
      </c>
      <c r="G869" s="2">
        <v>3042.28</v>
      </c>
      <c r="H869" s="2">
        <v>3042.28</v>
      </c>
      <c r="I869" s="2">
        <v>3042.28</v>
      </c>
      <c r="J869" s="2" t="str">
        <f t="shared" si="26"/>
        <v>35-44</v>
      </c>
      <c r="K869" s="17" t="str">
        <f t="shared" si="27"/>
        <v>6-8</v>
      </c>
    </row>
    <row r="870" spans="1:11" x14ac:dyDescent="0.2">
      <c r="A870" s="4">
        <v>63</v>
      </c>
      <c r="B870" s="4">
        <v>1</v>
      </c>
      <c r="C870" t="s">
        <v>8</v>
      </c>
      <c r="D870" s="4">
        <v>0</v>
      </c>
      <c r="E870" s="3">
        <v>0.73103138338774398</v>
      </c>
      <c r="F870" s="4">
        <v>1</v>
      </c>
      <c r="G870" s="2">
        <v>845.13</v>
      </c>
      <c r="H870" s="2">
        <v>845.13</v>
      </c>
      <c r="I870" s="2">
        <v>845.13</v>
      </c>
      <c r="J870" s="2" t="str">
        <f t="shared" si="26"/>
        <v>55-64</v>
      </c>
      <c r="K870" s="17" t="str">
        <f t="shared" si="27"/>
        <v>0-2</v>
      </c>
    </row>
    <row r="871" spans="1:11" x14ac:dyDescent="0.2">
      <c r="A871" s="4">
        <v>82</v>
      </c>
      <c r="B871" s="4">
        <v>9</v>
      </c>
      <c r="C871" t="s">
        <v>8</v>
      </c>
      <c r="D871" s="4">
        <v>0</v>
      </c>
      <c r="E871" s="3">
        <v>0.676881426246837</v>
      </c>
      <c r="F871" s="4">
        <v>2</v>
      </c>
      <c r="G871" s="2">
        <v>1513.25</v>
      </c>
      <c r="H871" s="2">
        <v>756.63</v>
      </c>
      <c r="I871" s="2">
        <v>1513.25</v>
      </c>
      <c r="J871" s="2" t="str">
        <f t="shared" si="26"/>
        <v>75-90</v>
      </c>
      <c r="K871" s="17" t="str">
        <f t="shared" si="27"/>
        <v>9-11</v>
      </c>
    </row>
    <row r="872" spans="1:11" x14ac:dyDescent="0.2">
      <c r="A872" s="4">
        <v>27</v>
      </c>
      <c r="B872" s="4">
        <v>12</v>
      </c>
      <c r="C872" t="s">
        <v>8</v>
      </c>
      <c r="D872" s="4">
        <v>2</v>
      </c>
      <c r="E872" s="3">
        <v>0.89597985788714096</v>
      </c>
      <c r="F872" s="4">
        <v>1</v>
      </c>
      <c r="G872" s="2">
        <v>861.47</v>
      </c>
      <c r="H872" s="2">
        <v>861.47</v>
      </c>
      <c r="I872" s="2">
        <v>861.47</v>
      </c>
      <c r="J872" s="2" t="str">
        <f t="shared" si="26"/>
        <v>25-34</v>
      </c>
      <c r="K872" s="17" t="str">
        <f t="shared" si="27"/>
        <v>12-15</v>
      </c>
    </row>
    <row r="873" spans="1:11" x14ac:dyDescent="0.2">
      <c r="A873" s="4">
        <v>64</v>
      </c>
      <c r="B873" s="4">
        <v>3</v>
      </c>
      <c r="C873" t="s">
        <v>8</v>
      </c>
      <c r="D873" s="4">
        <v>0</v>
      </c>
      <c r="E873" s="3">
        <v>0.70327626448124603</v>
      </c>
      <c r="F873" s="4">
        <v>2</v>
      </c>
      <c r="G873" s="2">
        <v>406.6</v>
      </c>
      <c r="H873" s="2">
        <v>203.3</v>
      </c>
      <c r="I873" s="2">
        <v>406.6</v>
      </c>
      <c r="J873" s="2" t="str">
        <f t="shared" si="26"/>
        <v>55-64</v>
      </c>
      <c r="K873" s="17" t="str">
        <f t="shared" si="27"/>
        <v>3-5</v>
      </c>
    </row>
    <row r="874" spans="1:11" x14ac:dyDescent="0.2">
      <c r="A874" s="4">
        <v>55</v>
      </c>
      <c r="B874" s="4">
        <v>8</v>
      </c>
      <c r="C874" t="s">
        <v>16</v>
      </c>
      <c r="D874" s="4">
        <v>0</v>
      </c>
      <c r="E874" s="3">
        <v>0.52919135754928004</v>
      </c>
      <c r="F874" s="4">
        <v>1</v>
      </c>
      <c r="G874" s="2">
        <v>320.89</v>
      </c>
      <c r="H874" s="2">
        <v>320.89</v>
      </c>
      <c r="I874" s="2">
        <v>320.89</v>
      </c>
      <c r="J874" s="2" t="str">
        <f t="shared" si="26"/>
        <v>55-64</v>
      </c>
      <c r="K874" s="17" t="str">
        <f t="shared" si="27"/>
        <v>6-8</v>
      </c>
    </row>
    <row r="875" spans="1:11" x14ac:dyDescent="0.2">
      <c r="A875" s="4">
        <v>71</v>
      </c>
      <c r="B875" s="4">
        <v>3</v>
      </c>
      <c r="C875" t="s">
        <v>8</v>
      </c>
      <c r="D875" s="4">
        <v>0</v>
      </c>
      <c r="E875" s="3">
        <v>0.97467810066882499</v>
      </c>
      <c r="F875" s="4">
        <v>1</v>
      </c>
      <c r="G875" s="2">
        <v>337.12</v>
      </c>
      <c r="H875" s="2">
        <v>337.12</v>
      </c>
      <c r="I875" s="2">
        <v>337.12</v>
      </c>
      <c r="J875" s="2" t="str">
        <f t="shared" si="26"/>
        <v>65-74</v>
      </c>
      <c r="K875" s="17" t="str">
        <f t="shared" si="27"/>
        <v>3-5</v>
      </c>
    </row>
    <row r="876" spans="1:11" x14ac:dyDescent="0.2">
      <c r="A876" s="4">
        <v>54</v>
      </c>
      <c r="B876" s="4">
        <v>9</v>
      </c>
      <c r="C876" t="s">
        <v>16</v>
      </c>
      <c r="D876" s="4">
        <v>3</v>
      </c>
      <c r="E876" s="3">
        <v>0.91628269467037204</v>
      </c>
      <c r="F876" s="4">
        <v>1</v>
      </c>
      <c r="G876" s="2">
        <v>3491.56</v>
      </c>
      <c r="H876" s="2">
        <v>3491.56</v>
      </c>
      <c r="I876" s="2">
        <v>3491.56</v>
      </c>
      <c r="J876" s="2" t="str">
        <f t="shared" si="26"/>
        <v>45-54</v>
      </c>
      <c r="K876" s="17" t="str">
        <f t="shared" si="27"/>
        <v>9-11</v>
      </c>
    </row>
    <row r="877" spans="1:11" x14ac:dyDescent="0.2">
      <c r="A877" s="4">
        <v>40</v>
      </c>
      <c r="B877" s="4">
        <v>2</v>
      </c>
      <c r="C877" t="s">
        <v>8</v>
      </c>
      <c r="D877" s="4">
        <v>1</v>
      </c>
      <c r="E877" s="3">
        <v>0.95921724173240397</v>
      </c>
      <c r="F877" s="4">
        <v>1</v>
      </c>
      <c r="G877" s="2">
        <v>430.41</v>
      </c>
      <c r="H877" s="2">
        <v>430.41</v>
      </c>
      <c r="I877" s="2">
        <v>430.41</v>
      </c>
      <c r="J877" s="2" t="str">
        <f t="shared" si="26"/>
        <v>35-44</v>
      </c>
      <c r="K877" s="17" t="str">
        <f t="shared" si="27"/>
        <v>0-2</v>
      </c>
    </row>
    <row r="878" spans="1:11" x14ac:dyDescent="0.2">
      <c r="A878" s="4">
        <v>30</v>
      </c>
      <c r="B878" s="4">
        <v>13</v>
      </c>
      <c r="C878" t="s">
        <v>16</v>
      </c>
      <c r="D878" s="4">
        <v>2</v>
      </c>
      <c r="E878" s="3">
        <v>0.61802320822607704</v>
      </c>
      <c r="F878" s="4">
        <v>1</v>
      </c>
      <c r="G878" s="2">
        <v>747.05</v>
      </c>
      <c r="H878" s="2">
        <v>747.05</v>
      </c>
      <c r="I878" s="2">
        <v>747.05</v>
      </c>
      <c r="J878" s="2" t="str">
        <f t="shared" si="26"/>
        <v>25-34</v>
      </c>
      <c r="K878" s="17" t="str">
        <f t="shared" si="27"/>
        <v>12-15</v>
      </c>
    </row>
    <row r="879" spans="1:11" x14ac:dyDescent="0.2">
      <c r="A879" s="4">
        <v>41</v>
      </c>
      <c r="B879" s="4">
        <v>14</v>
      </c>
      <c r="C879" t="s">
        <v>16</v>
      </c>
      <c r="D879" s="4">
        <v>0</v>
      </c>
      <c r="E879" s="3">
        <v>0.63967542955651902</v>
      </c>
      <c r="F879" s="4">
        <v>2</v>
      </c>
      <c r="G879" s="2">
        <v>567.29999999999995</v>
      </c>
      <c r="H879" s="2">
        <v>283.64999999999998</v>
      </c>
      <c r="I879" s="2">
        <v>567.29999999999995</v>
      </c>
      <c r="J879" s="2" t="str">
        <f t="shared" si="26"/>
        <v>35-44</v>
      </c>
      <c r="K879" s="17" t="str">
        <f t="shared" si="27"/>
        <v>12-15</v>
      </c>
    </row>
    <row r="880" spans="1:11" x14ac:dyDescent="0.2">
      <c r="A880" s="4">
        <v>66</v>
      </c>
      <c r="B880" s="4">
        <v>4</v>
      </c>
      <c r="C880" t="s">
        <v>8</v>
      </c>
      <c r="D880" s="4">
        <v>0</v>
      </c>
      <c r="E880" s="3">
        <v>0.86609306314494505</v>
      </c>
      <c r="F880" s="4">
        <v>1</v>
      </c>
      <c r="G880" s="2">
        <v>1224.1400000000001</v>
      </c>
      <c r="H880" s="2">
        <v>1224.1400000000001</v>
      </c>
      <c r="I880" s="2">
        <v>1224.1400000000001</v>
      </c>
      <c r="J880" s="2" t="str">
        <f t="shared" si="26"/>
        <v>65-74</v>
      </c>
      <c r="K880" s="17" t="str">
        <f t="shared" si="27"/>
        <v>3-5</v>
      </c>
    </row>
    <row r="881" spans="1:11" x14ac:dyDescent="0.2">
      <c r="A881" s="4">
        <v>36</v>
      </c>
      <c r="B881" s="4">
        <v>8</v>
      </c>
      <c r="C881" t="s">
        <v>8</v>
      </c>
      <c r="D881" s="4">
        <v>1</v>
      </c>
      <c r="E881" s="3">
        <v>0.87794961361214496</v>
      </c>
      <c r="F881" s="4">
        <v>2</v>
      </c>
      <c r="G881" s="2">
        <v>951.43</v>
      </c>
      <c r="H881" s="2">
        <v>475.71</v>
      </c>
      <c r="I881" s="2">
        <v>951.43</v>
      </c>
      <c r="J881" s="2" t="str">
        <f t="shared" si="26"/>
        <v>35-44</v>
      </c>
      <c r="K881" s="17" t="str">
        <f t="shared" si="27"/>
        <v>6-8</v>
      </c>
    </row>
    <row r="882" spans="1:11" x14ac:dyDescent="0.2">
      <c r="A882" s="4">
        <v>62</v>
      </c>
      <c r="B882" s="4">
        <v>10</v>
      </c>
      <c r="C882" t="s">
        <v>10</v>
      </c>
      <c r="D882" s="4">
        <v>1</v>
      </c>
      <c r="E882" s="3">
        <v>0.57169121364131603</v>
      </c>
      <c r="F882" s="4">
        <v>2</v>
      </c>
      <c r="G882" s="2">
        <v>2355.3000000000002</v>
      </c>
      <c r="H882" s="2">
        <v>1177.6500000000001</v>
      </c>
      <c r="I882" s="2">
        <v>2355.3000000000002</v>
      </c>
      <c r="J882" s="2" t="str">
        <f t="shared" si="26"/>
        <v>55-64</v>
      </c>
      <c r="K882" s="17" t="str">
        <f t="shared" si="27"/>
        <v>9-11</v>
      </c>
    </row>
    <row r="883" spans="1:11" x14ac:dyDescent="0.2">
      <c r="A883" s="4">
        <v>20</v>
      </c>
      <c r="B883" s="4">
        <v>7</v>
      </c>
      <c r="C883" t="s">
        <v>10</v>
      </c>
      <c r="D883" s="4">
        <v>0</v>
      </c>
      <c r="E883" s="3">
        <v>0.62813752400688805</v>
      </c>
      <c r="F883" s="4">
        <v>1</v>
      </c>
      <c r="G883" s="2">
        <v>459.05</v>
      </c>
      <c r="H883" s="2">
        <v>459.05</v>
      </c>
      <c r="I883" s="2">
        <v>459.05</v>
      </c>
      <c r="J883" s="2" t="str">
        <f t="shared" si="26"/>
        <v>18-24</v>
      </c>
      <c r="K883" s="17" t="str">
        <f t="shared" si="27"/>
        <v>6-8</v>
      </c>
    </row>
    <row r="884" spans="1:11" x14ac:dyDescent="0.2">
      <c r="A884" s="4">
        <v>76</v>
      </c>
      <c r="B884" s="4">
        <v>9</v>
      </c>
      <c r="C884" t="s">
        <v>8</v>
      </c>
      <c r="D884" s="4">
        <v>0</v>
      </c>
      <c r="E884" s="3">
        <v>0.98435579403303597</v>
      </c>
      <c r="F884" s="4">
        <v>1</v>
      </c>
      <c r="G884" s="2">
        <v>730.21</v>
      </c>
      <c r="H884" s="2">
        <v>730.21</v>
      </c>
      <c r="I884" s="2">
        <v>730.21</v>
      </c>
      <c r="J884" s="2" t="str">
        <f t="shared" si="26"/>
        <v>75-90</v>
      </c>
      <c r="K884" s="17" t="str">
        <f t="shared" si="27"/>
        <v>9-11</v>
      </c>
    </row>
    <row r="885" spans="1:11" x14ac:dyDescent="0.2">
      <c r="A885" s="4">
        <v>81</v>
      </c>
      <c r="B885" s="4">
        <v>10</v>
      </c>
      <c r="C885" t="s">
        <v>16</v>
      </c>
      <c r="D885" s="4">
        <v>1</v>
      </c>
      <c r="E885" s="3">
        <v>0.89866146026179206</v>
      </c>
      <c r="F885" s="4">
        <v>1</v>
      </c>
      <c r="G885" s="2">
        <v>3286.98</v>
      </c>
      <c r="H885" s="2">
        <v>3286.98</v>
      </c>
      <c r="I885" s="2">
        <v>3286.98</v>
      </c>
      <c r="J885" s="2" t="str">
        <f t="shared" si="26"/>
        <v>75-90</v>
      </c>
      <c r="K885" s="17" t="str">
        <f t="shared" si="27"/>
        <v>9-11</v>
      </c>
    </row>
    <row r="886" spans="1:11" x14ac:dyDescent="0.2">
      <c r="A886" s="4">
        <v>62</v>
      </c>
      <c r="B886" s="4">
        <v>2</v>
      </c>
      <c r="C886" t="s">
        <v>16</v>
      </c>
      <c r="D886" s="4">
        <v>0</v>
      </c>
      <c r="E886" s="3">
        <v>0.92184973484836497</v>
      </c>
      <c r="F886" s="4">
        <v>1</v>
      </c>
      <c r="G886" s="2">
        <v>696.54</v>
      </c>
      <c r="H886" s="2">
        <v>696.54</v>
      </c>
      <c r="I886" s="2">
        <v>696.54</v>
      </c>
      <c r="J886" s="2" t="str">
        <f t="shared" si="26"/>
        <v>55-64</v>
      </c>
      <c r="K886" s="17" t="str">
        <f t="shared" si="27"/>
        <v>0-2</v>
      </c>
    </row>
    <row r="887" spans="1:11" x14ac:dyDescent="0.2">
      <c r="A887" s="4">
        <v>71</v>
      </c>
      <c r="B887" s="4">
        <v>9</v>
      </c>
      <c r="C887" t="s">
        <v>16</v>
      </c>
      <c r="D887" s="4">
        <v>0</v>
      </c>
      <c r="E887" s="3">
        <v>0.95233836304396402</v>
      </c>
      <c r="F887" s="4">
        <v>1</v>
      </c>
      <c r="G887" s="2">
        <v>1368.31</v>
      </c>
      <c r="H887" s="2">
        <v>1368.31</v>
      </c>
      <c r="I887" s="2">
        <v>1368.31</v>
      </c>
      <c r="J887" s="2" t="str">
        <f t="shared" si="26"/>
        <v>65-74</v>
      </c>
      <c r="K887" s="17" t="str">
        <f t="shared" si="27"/>
        <v>9-11</v>
      </c>
    </row>
    <row r="888" spans="1:11" x14ac:dyDescent="0.2">
      <c r="A888" s="4">
        <v>67</v>
      </c>
      <c r="B888" s="4">
        <v>12</v>
      </c>
      <c r="C888" t="s">
        <v>8</v>
      </c>
      <c r="D888" s="4">
        <v>0</v>
      </c>
      <c r="E888" s="3">
        <v>0.72348834120202798</v>
      </c>
      <c r="F888" s="4">
        <v>1</v>
      </c>
      <c r="G888" s="2">
        <v>810.05</v>
      </c>
      <c r="H888" s="2">
        <v>810.05</v>
      </c>
      <c r="I888" s="2">
        <v>810.05</v>
      </c>
      <c r="J888" s="2" t="str">
        <f t="shared" si="26"/>
        <v>65-74</v>
      </c>
      <c r="K888" s="17" t="str">
        <f t="shared" si="27"/>
        <v>12-15</v>
      </c>
    </row>
    <row r="889" spans="1:11" x14ac:dyDescent="0.2">
      <c r="A889" s="4">
        <v>57</v>
      </c>
      <c r="B889" s="4">
        <v>2</v>
      </c>
      <c r="C889" t="s">
        <v>8</v>
      </c>
      <c r="D889" s="4">
        <v>0</v>
      </c>
      <c r="E889" s="3">
        <v>0.93110943760257203</v>
      </c>
      <c r="F889" s="4">
        <v>1</v>
      </c>
      <c r="G889" s="2">
        <v>640.75</v>
      </c>
      <c r="H889" s="2">
        <v>640.75</v>
      </c>
      <c r="I889" s="2">
        <v>640.75</v>
      </c>
      <c r="J889" s="2" t="str">
        <f t="shared" si="26"/>
        <v>55-64</v>
      </c>
      <c r="K889" s="17" t="str">
        <f t="shared" si="27"/>
        <v>0-2</v>
      </c>
    </row>
    <row r="890" spans="1:11" x14ac:dyDescent="0.2">
      <c r="A890" s="4">
        <v>51</v>
      </c>
      <c r="B890" s="4">
        <v>15</v>
      </c>
      <c r="C890" t="s">
        <v>10</v>
      </c>
      <c r="D890" s="4">
        <v>1</v>
      </c>
      <c r="E890" s="3">
        <v>0.59343260549940202</v>
      </c>
      <c r="F890" s="4">
        <v>2</v>
      </c>
      <c r="G890" s="2">
        <v>2528.3000000000002</v>
      </c>
      <c r="H890" s="2">
        <v>1264.1500000000001</v>
      </c>
      <c r="I890" s="2">
        <v>2528.3000000000002</v>
      </c>
      <c r="J890" s="2" t="str">
        <f t="shared" si="26"/>
        <v>45-54</v>
      </c>
      <c r="K890" s="17" t="str">
        <f t="shared" si="27"/>
        <v>12-15</v>
      </c>
    </row>
    <row r="891" spans="1:11" x14ac:dyDescent="0.2">
      <c r="A891" s="4">
        <v>76</v>
      </c>
      <c r="B891" s="4">
        <v>11</v>
      </c>
      <c r="C891" t="s">
        <v>8</v>
      </c>
      <c r="D891" s="4">
        <v>0</v>
      </c>
      <c r="E891" s="3">
        <v>0.72694587579462699</v>
      </c>
      <c r="F891" s="4">
        <v>2</v>
      </c>
      <c r="G891" s="2">
        <v>3552.08</v>
      </c>
      <c r="H891" s="2">
        <v>1776.04</v>
      </c>
      <c r="I891" s="2">
        <v>3552.08</v>
      </c>
      <c r="J891" s="2" t="str">
        <f t="shared" si="26"/>
        <v>75-90</v>
      </c>
      <c r="K891" s="17" t="str">
        <f t="shared" si="27"/>
        <v>9-11</v>
      </c>
    </row>
    <row r="892" spans="1:11" x14ac:dyDescent="0.2">
      <c r="A892" s="4">
        <v>48</v>
      </c>
      <c r="B892" s="4">
        <v>10</v>
      </c>
      <c r="C892" t="s">
        <v>8</v>
      </c>
      <c r="D892" s="4">
        <v>1</v>
      </c>
      <c r="E892" s="3">
        <v>0.89459017431363497</v>
      </c>
      <c r="F892" s="4">
        <v>1</v>
      </c>
      <c r="G892" s="2">
        <v>572.71</v>
      </c>
      <c r="H892" s="2">
        <v>572.71</v>
      </c>
      <c r="I892" s="2">
        <v>572.71</v>
      </c>
      <c r="J892" s="2" t="str">
        <f t="shared" si="26"/>
        <v>45-54</v>
      </c>
      <c r="K892" s="17" t="str">
        <f t="shared" si="27"/>
        <v>9-11</v>
      </c>
    </row>
    <row r="893" spans="1:11" x14ac:dyDescent="0.2">
      <c r="A893" s="4">
        <v>43</v>
      </c>
      <c r="B893" s="4">
        <v>6</v>
      </c>
      <c r="C893" t="s">
        <v>8</v>
      </c>
      <c r="D893" s="4">
        <v>1</v>
      </c>
      <c r="E893" s="3">
        <v>0.89586857741232995</v>
      </c>
      <c r="F893" s="4">
        <v>1</v>
      </c>
      <c r="G893" s="2">
        <v>1042.43</v>
      </c>
      <c r="H893" s="2">
        <v>1042.43</v>
      </c>
      <c r="I893" s="2">
        <v>1042.43</v>
      </c>
      <c r="J893" s="2" t="str">
        <f t="shared" si="26"/>
        <v>35-44</v>
      </c>
      <c r="K893" s="17" t="str">
        <f t="shared" si="27"/>
        <v>6-8</v>
      </c>
    </row>
    <row r="894" spans="1:11" x14ac:dyDescent="0.2">
      <c r="A894" s="4">
        <v>71</v>
      </c>
      <c r="B894" s="4">
        <v>8</v>
      </c>
      <c r="C894" t="s">
        <v>16</v>
      </c>
      <c r="D894" s="4">
        <v>0</v>
      </c>
      <c r="E894" s="3">
        <v>0.56466349784750502</v>
      </c>
      <c r="F894" s="4">
        <v>2</v>
      </c>
      <c r="G894" s="2">
        <v>602.4</v>
      </c>
      <c r="H894" s="2">
        <v>301.2</v>
      </c>
      <c r="I894" s="2">
        <v>602.4</v>
      </c>
      <c r="J894" s="2" t="str">
        <f t="shared" si="26"/>
        <v>65-74</v>
      </c>
      <c r="K894" s="17" t="str">
        <f t="shared" si="27"/>
        <v>6-8</v>
      </c>
    </row>
    <row r="895" spans="1:11" x14ac:dyDescent="0.2">
      <c r="A895" s="4">
        <v>90</v>
      </c>
      <c r="B895" s="4">
        <v>13</v>
      </c>
      <c r="C895" t="s">
        <v>16</v>
      </c>
      <c r="D895" s="4">
        <v>0</v>
      </c>
      <c r="E895" s="3">
        <v>0.82554310350678906</v>
      </c>
      <c r="F895" s="4">
        <v>1</v>
      </c>
      <c r="G895" s="2">
        <v>2633.2</v>
      </c>
      <c r="H895" s="2">
        <v>2633.2</v>
      </c>
      <c r="I895" s="2">
        <v>2633.2</v>
      </c>
      <c r="J895" s="2" t="str">
        <f t="shared" si="26"/>
        <v>75-90</v>
      </c>
      <c r="K895" s="17" t="str">
        <f t="shared" si="27"/>
        <v>12-15</v>
      </c>
    </row>
    <row r="896" spans="1:11" x14ac:dyDescent="0.2">
      <c r="A896" s="4">
        <v>32</v>
      </c>
      <c r="B896" s="4">
        <v>15</v>
      </c>
      <c r="C896" t="s">
        <v>8</v>
      </c>
      <c r="D896" s="4">
        <v>1</v>
      </c>
      <c r="E896" s="3">
        <v>0.97405930468812596</v>
      </c>
      <c r="F896" s="4">
        <v>1</v>
      </c>
      <c r="G896" s="2">
        <v>673.58</v>
      </c>
      <c r="H896" s="2">
        <v>673.58</v>
      </c>
      <c r="I896" s="2">
        <v>673.58</v>
      </c>
      <c r="J896" s="2" t="str">
        <f t="shared" si="26"/>
        <v>25-34</v>
      </c>
      <c r="K896" s="17" t="str">
        <f t="shared" si="27"/>
        <v>12-15</v>
      </c>
    </row>
    <row r="897" spans="1:11" x14ac:dyDescent="0.2">
      <c r="A897" s="4">
        <v>77</v>
      </c>
      <c r="B897" s="4">
        <v>6</v>
      </c>
      <c r="C897" t="s">
        <v>10</v>
      </c>
      <c r="D897" s="4">
        <v>0</v>
      </c>
      <c r="E897" s="3">
        <v>0.64332013181410697</v>
      </c>
      <c r="F897" s="4">
        <v>1</v>
      </c>
      <c r="G897" s="2">
        <v>590.28</v>
      </c>
      <c r="H897" s="2">
        <v>590.28</v>
      </c>
      <c r="I897" s="2">
        <v>590.28</v>
      </c>
      <c r="J897" s="2" t="str">
        <f t="shared" si="26"/>
        <v>75-90</v>
      </c>
      <c r="K897" s="17" t="str">
        <f t="shared" si="27"/>
        <v>6-8</v>
      </c>
    </row>
    <row r="898" spans="1:11" x14ac:dyDescent="0.2">
      <c r="A898" s="4">
        <v>23</v>
      </c>
      <c r="B898" s="4">
        <v>11</v>
      </c>
      <c r="C898" t="s">
        <v>10</v>
      </c>
      <c r="D898" s="4">
        <v>0</v>
      </c>
      <c r="E898" s="3">
        <v>0.66126772563438896</v>
      </c>
      <c r="F898" s="4">
        <v>1</v>
      </c>
      <c r="G898" s="2">
        <v>261.06</v>
      </c>
      <c r="H898" s="2">
        <v>261.06</v>
      </c>
      <c r="I898" s="2">
        <v>261.06</v>
      </c>
      <c r="J898" s="2" t="str">
        <f t="shared" ref="J898:J961" si="28" xml:space="preserve"> IF(A898&lt;25,"18-24",
 IF(A898&lt;35,"25-34",
 IF(A898&lt;45,"35-44",
 IF(A898&lt;55,"45-54", IF(A898&lt;65, "55-64", IF(A898&lt;75, "65-74", "75-90"))))))</f>
        <v>18-24</v>
      </c>
      <c r="K898" s="17" t="str">
        <f t="shared" ref="K898:K961" si="29" xml:space="preserve"> IF(B898 &lt; 3, "0-2", IF(B898 &lt; 6, "3-5", IF(B898 &lt; 9, "6-8", IF(B898 &lt; 12, "9-11", "12-15"))))</f>
        <v>9-11</v>
      </c>
    </row>
    <row r="899" spans="1:11" x14ac:dyDescent="0.2">
      <c r="A899" s="4">
        <v>84</v>
      </c>
      <c r="B899" s="4">
        <v>7</v>
      </c>
      <c r="C899" t="s">
        <v>10</v>
      </c>
      <c r="D899" s="4">
        <v>1</v>
      </c>
      <c r="E899" s="3">
        <v>0.64225941291078903</v>
      </c>
      <c r="F899" s="4">
        <v>1</v>
      </c>
      <c r="G899" s="2">
        <v>2231.96</v>
      </c>
      <c r="H899" s="2">
        <v>2231.96</v>
      </c>
      <c r="I899" s="2">
        <v>2231.96</v>
      </c>
      <c r="J899" s="2" t="str">
        <f t="shared" si="28"/>
        <v>75-90</v>
      </c>
      <c r="K899" s="17" t="str">
        <f t="shared" si="29"/>
        <v>6-8</v>
      </c>
    </row>
    <row r="900" spans="1:11" x14ac:dyDescent="0.2">
      <c r="A900" s="4">
        <v>76</v>
      </c>
      <c r="B900" s="4">
        <v>14</v>
      </c>
      <c r="C900" t="s">
        <v>10</v>
      </c>
      <c r="D900" s="4">
        <v>0</v>
      </c>
      <c r="E900" s="3">
        <v>0.95369726675562605</v>
      </c>
      <c r="F900" s="4">
        <v>1</v>
      </c>
      <c r="G900" s="2">
        <v>2331.54</v>
      </c>
      <c r="H900" s="2">
        <v>2331.54</v>
      </c>
      <c r="I900" s="2">
        <v>2331.54</v>
      </c>
      <c r="J900" s="2" t="str">
        <f t="shared" si="28"/>
        <v>75-90</v>
      </c>
      <c r="K900" s="17" t="str">
        <f t="shared" si="29"/>
        <v>12-15</v>
      </c>
    </row>
    <row r="901" spans="1:11" x14ac:dyDescent="0.2">
      <c r="A901" s="4">
        <v>80</v>
      </c>
      <c r="B901" s="4">
        <v>4</v>
      </c>
      <c r="C901" t="s">
        <v>8</v>
      </c>
      <c r="D901" s="4">
        <v>1</v>
      </c>
      <c r="E901" s="3">
        <v>0.81160840624943398</v>
      </c>
      <c r="F901" s="4">
        <v>1</v>
      </c>
      <c r="G901" s="2">
        <v>1546.08</v>
      </c>
      <c r="H901" s="2">
        <v>1546.08</v>
      </c>
      <c r="I901" s="2">
        <v>1546.08</v>
      </c>
      <c r="J901" s="2" t="str">
        <f t="shared" si="28"/>
        <v>75-90</v>
      </c>
      <c r="K901" s="17" t="str">
        <f t="shared" si="29"/>
        <v>3-5</v>
      </c>
    </row>
    <row r="902" spans="1:11" x14ac:dyDescent="0.2">
      <c r="A902" s="4">
        <v>77</v>
      </c>
      <c r="B902" s="4">
        <v>8</v>
      </c>
      <c r="C902" t="s">
        <v>16</v>
      </c>
      <c r="D902" s="4">
        <v>0</v>
      </c>
      <c r="E902" s="3">
        <v>0.90244289464317295</v>
      </c>
      <c r="F902" s="4">
        <v>2</v>
      </c>
      <c r="G902" s="2">
        <v>1423.63</v>
      </c>
      <c r="H902" s="2">
        <v>711.81</v>
      </c>
      <c r="I902" s="2">
        <v>1423.63</v>
      </c>
      <c r="J902" s="2" t="str">
        <f t="shared" si="28"/>
        <v>75-90</v>
      </c>
      <c r="K902" s="17" t="str">
        <f t="shared" si="29"/>
        <v>6-8</v>
      </c>
    </row>
    <row r="903" spans="1:11" x14ac:dyDescent="0.2">
      <c r="A903" s="4">
        <v>54</v>
      </c>
      <c r="B903" s="4">
        <v>9</v>
      </c>
      <c r="C903" t="s">
        <v>16</v>
      </c>
      <c r="D903" s="4">
        <v>1</v>
      </c>
      <c r="E903" s="3">
        <v>0.72633698815479897</v>
      </c>
      <c r="F903" s="4">
        <v>1</v>
      </c>
      <c r="G903" s="2">
        <v>683.76</v>
      </c>
      <c r="H903" s="2">
        <v>683.76</v>
      </c>
      <c r="I903" s="2">
        <v>683.76</v>
      </c>
      <c r="J903" s="2" t="str">
        <f t="shared" si="28"/>
        <v>45-54</v>
      </c>
      <c r="K903" s="17" t="str">
        <f t="shared" si="29"/>
        <v>9-11</v>
      </c>
    </row>
    <row r="904" spans="1:11" x14ac:dyDescent="0.2">
      <c r="A904" s="4">
        <v>23</v>
      </c>
      <c r="B904" s="4">
        <v>8</v>
      </c>
      <c r="C904" t="s">
        <v>16</v>
      </c>
      <c r="D904" s="4">
        <v>0</v>
      </c>
      <c r="E904" s="3">
        <v>0.95537232689093798</v>
      </c>
      <c r="F904" s="4">
        <v>1</v>
      </c>
      <c r="G904" s="2">
        <v>300.05</v>
      </c>
      <c r="H904" s="2">
        <v>300.05</v>
      </c>
      <c r="I904" s="2">
        <v>300.05</v>
      </c>
      <c r="J904" s="2" t="str">
        <f t="shared" si="28"/>
        <v>18-24</v>
      </c>
      <c r="K904" s="17" t="str">
        <f t="shared" si="29"/>
        <v>6-8</v>
      </c>
    </row>
    <row r="905" spans="1:11" x14ac:dyDescent="0.2">
      <c r="A905" s="4">
        <v>34</v>
      </c>
      <c r="B905" s="4">
        <v>11</v>
      </c>
      <c r="C905" t="s">
        <v>16</v>
      </c>
      <c r="D905" s="4">
        <v>2</v>
      </c>
      <c r="E905" s="3">
        <v>0.86986043571960203</v>
      </c>
      <c r="F905" s="4">
        <v>1</v>
      </c>
      <c r="G905" s="2">
        <v>1426.07</v>
      </c>
      <c r="H905" s="2">
        <v>1426.07</v>
      </c>
      <c r="I905" s="2">
        <v>1426.07</v>
      </c>
      <c r="J905" s="2" t="str">
        <f t="shared" si="28"/>
        <v>25-34</v>
      </c>
      <c r="K905" s="17" t="str">
        <f t="shared" si="29"/>
        <v>9-11</v>
      </c>
    </row>
    <row r="906" spans="1:11" x14ac:dyDescent="0.2">
      <c r="A906" s="4">
        <v>88</v>
      </c>
      <c r="B906" s="4">
        <v>7</v>
      </c>
      <c r="C906" t="s">
        <v>16</v>
      </c>
      <c r="D906" s="4">
        <v>1</v>
      </c>
      <c r="E906" s="3">
        <v>0.89479774807114199</v>
      </c>
      <c r="F906" s="4">
        <v>2</v>
      </c>
      <c r="G906" s="2">
        <v>2817.62</v>
      </c>
      <c r="H906" s="2">
        <v>1408.81</v>
      </c>
      <c r="I906" s="2">
        <v>2817.62</v>
      </c>
      <c r="J906" s="2" t="str">
        <f t="shared" si="28"/>
        <v>75-90</v>
      </c>
      <c r="K906" s="17" t="str">
        <f t="shared" si="29"/>
        <v>6-8</v>
      </c>
    </row>
    <row r="907" spans="1:11" x14ac:dyDescent="0.2">
      <c r="A907" s="4">
        <v>26</v>
      </c>
      <c r="B907" s="4">
        <v>1</v>
      </c>
      <c r="C907" t="s">
        <v>8</v>
      </c>
      <c r="D907" s="4">
        <v>1</v>
      </c>
      <c r="E907" s="3">
        <v>0.679452449316159</v>
      </c>
      <c r="F907" s="4">
        <v>1</v>
      </c>
      <c r="G907" s="2">
        <v>384.24</v>
      </c>
      <c r="H907" s="2">
        <v>384.24</v>
      </c>
      <c r="I907" s="2">
        <v>384.24</v>
      </c>
      <c r="J907" s="2" t="str">
        <f t="shared" si="28"/>
        <v>25-34</v>
      </c>
      <c r="K907" s="17" t="str">
        <f t="shared" si="29"/>
        <v>0-2</v>
      </c>
    </row>
    <row r="908" spans="1:11" x14ac:dyDescent="0.2">
      <c r="A908" s="4">
        <v>74</v>
      </c>
      <c r="B908" s="4">
        <v>0</v>
      </c>
      <c r="C908" t="s">
        <v>8</v>
      </c>
      <c r="D908" s="4">
        <v>0</v>
      </c>
      <c r="E908" s="3">
        <v>0.76860484341159496</v>
      </c>
      <c r="F908" s="4">
        <v>1</v>
      </c>
      <c r="G908" s="2">
        <v>653.6</v>
      </c>
      <c r="H908" s="2">
        <v>653.6</v>
      </c>
      <c r="I908" s="2">
        <v>653.6</v>
      </c>
      <c r="J908" s="2" t="str">
        <f t="shared" si="28"/>
        <v>65-74</v>
      </c>
      <c r="K908" s="17" t="str">
        <f t="shared" si="29"/>
        <v>0-2</v>
      </c>
    </row>
    <row r="909" spans="1:11" x14ac:dyDescent="0.2">
      <c r="A909" s="4">
        <v>27</v>
      </c>
      <c r="B909" s="4">
        <v>13</v>
      </c>
      <c r="C909" t="s">
        <v>8</v>
      </c>
      <c r="D909" s="4">
        <v>0</v>
      </c>
      <c r="E909" s="3">
        <v>0.93176545109599795</v>
      </c>
      <c r="F909" s="4">
        <v>1</v>
      </c>
      <c r="G909" s="2">
        <v>1454.12</v>
      </c>
      <c r="H909" s="2">
        <v>1454.12</v>
      </c>
      <c r="I909" s="2">
        <v>1454.12</v>
      </c>
      <c r="J909" s="2" t="str">
        <f t="shared" si="28"/>
        <v>25-34</v>
      </c>
      <c r="K909" s="17" t="str">
        <f t="shared" si="29"/>
        <v>12-15</v>
      </c>
    </row>
    <row r="910" spans="1:11" x14ac:dyDescent="0.2">
      <c r="A910" s="4">
        <v>49</v>
      </c>
      <c r="B910" s="4">
        <v>1</v>
      </c>
      <c r="C910" t="s">
        <v>16</v>
      </c>
      <c r="D910" s="4">
        <v>3</v>
      </c>
      <c r="E910" s="3">
        <v>0.86703487031627402</v>
      </c>
      <c r="F910" s="4">
        <v>1</v>
      </c>
      <c r="G910" s="2">
        <v>1867.36</v>
      </c>
      <c r="H910" s="2">
        <v>1867.36</v>
      </c>
      <c r="I910" s="2">
        <v>1867.36</v>
      </c>
      <c r="J910" s="2" t="str">
        <f t="shared" si="28"/>
        <v>45-54</v>
      </c>
      <c r="K910" s="17" t="str">
        <f t="shared" si="29"/>
        <v>0-2</v>
      </c>
    </row>
    <row r="911" spans="1:11" x14ac:dyDescent="0.2">
      <c r="A911" s="4">
        <v>76</v>
      </c>
      <c r="B911" s="4">
        <v>5</v>
      </c>
      <c r="C911" t="s">
        <v>8</v>
      </c>
      <c r="D911" s="4">
        <v>1</v>
      </c>
      <c r="E911" s="3">
        <v>0.88129950291477099</v>
      </c>
      <c r="F911" s="4">
        <v>1</v>
      </c>
      <c r="G911" s="2">
        <v>1096.95</v>
      </c>
      <c r="H911" s="2">
        <v>1096.95</v>
      </c>
      <c r="I911" s="2">
        <v>1096.95</v>
      </c>
      <c r="J911" s="2" t="str">
        <f t="shared" si="28"/>
        <v>75-90</v>
      </c>
      <c r="K911" s="17" t="str">
        <f t="shared" si="29"/>
        <v>3-5</v>
      </c>
    </row>
    <row r="912" spans="1:11" x14ac:dyDescent="0.2">
      <c r="A912" s="4">
        <v>67</v>
      </c>
      <c r="B912" s="4">
        <v>13</v>
      </c>
      <c r="C912" t="s">
        <v>16</v>
      </c>
      <c r="D912" s="4">
        <v>0</v>
      </c>
      <c r="E912" s="3">
        <v>0.68444709200412002</v>
      </c>
      <c r="F912" s="4">
        <v>1</v>
      </c>
      <c r="G912" s="2">
        <v>1924.48</v>
      </c>
      <c r="H912" s="2">
        <v>1924.48</v>
      </c>
      <c r="I912" s="2">
        <v>1924.48</v>
      </c>
      <c r="J912" s="2" t="str">
        <f t="shared" si="28"/>
        <v>65-74</v>
      </c>
      <c r="K912" s="17" t="str">
        <f t="shared" si="29"/>
        <v>12-15</v>
      </c>
    </row>
    <row r="913" spans="1:11" x14ac:dyDescent="0.2">
      <c r="A913" s="4">
        <v>73</v>
      </c>
      <c r="B913" s="4">
        <v>6</v>
      </c>
      <c r="C913" t="s">
        <v>8</v>
      </c>
      <c r="D913" s="4">
        <v>1</v>
      </c>
      <c r="E913" s="3">
        <v>0.68718659435398899</v>
      </c>
      <c r="F913" s="4">
        <v>1</v>
      </c>
      <c r="G913" s="2">
        <v>995.28</v>
      </c>
      <c r="H913" s="2">
        <v>995.28</v>
      </c>
      <c r="I913" s="2">
        <v>995.28</v>
      </c>
      <c r="J913" s="2" t="str">
        <f t="shared" si="28"/>
        <v>65-74</v>
      </c>
      <c r="K913" s="17" t="str">
        <f t="shared" si="29"/>
        <v>6-8</v>
      </c>
    </row>
    <row r="914" spans="1:11" x14ac:dyDescent="0.2">
      <c r="A914" s="4">
        <v>67</v>
      </c>
      <c r="B914" s="4">
        <v>8</v>
      </c>
      <c r="C914" t="s">
        <v>8</v>
      </c>
      <c r="D914" s="4">
        <v>0</v>
      </c>
      <c r="E914" s="3">
        <v>0.86879900051280901</v>
      </c>
      <c r="F914" s="4">
        <v>2</v>
      </c>
      <c r="G914" s="2">
        <v>2073.65</v>
      </c>
      <c r="H914" s="2">
        <v>1036.83</v>
      </c>
      <c r="I914" s="2">
        <v>2073.65</v>
      </c>
      <c r="J914" s="2" t="str">
        <f t="shared" si="28"/>
        <v>65-74</v>
      </c>
      <c r="K914" s="17" t="str">
        <f t="shared" si="29"/>
        <v>6-8</v>
      </c>
    </row>
    <row r="915" spans="1:11" x14ac:dyDescent="0.2">
      <c r="A915" s="4">
        <v>31</v>
      </c>
      <c r="B915" s="4">
        <v>2</v>
      </c>
      <c r="C915" t="s">
        <v>16</v>
      </c>
      <c r="D915" s="4">
        <v>0</v>
      </c>
      <c r="E915" s="3">
        <v>0.71324977581389204</v>
      </c>
      <c r="F915" s="4">
        <v>1</v>
      </c>
      <c r="G915" s="2">
        <v>382.05</v>
      </c>
      <c r="H915" s="2">
        <v>382.05</v>
      </c>
      <c r="I915" s="2">
        <v>382.05</v>
      </c>
      <c r="J915" s="2" t="str">
        <f t="shared" si="28"/>
        <v>25-34</v>
      </c>
      <c r="K915" s="17" t="str">
        <f t="shared" si="29"/>
        <v>0-2</v>
      </c>
    </row>
    <row r="916" spans="1:11" x14ac:dyDescent="0.2">
      <c r="A916" s="4">
        <v>25</v>
      </c>
      <c r="B916" s="4">
        <v>6</v>
      </c>
      <c r="C916" t="s">
        <v>16</v>
      </c>
      <c r="D916" s="4">
        <v>1</v>
      </c>
      <c r="E916" s="3">
        <v>0.82716621807776403</v>
      </c>
      <c r="F916" s="4">
        <v>2</v>
      </c>
      <c r="G916" s="2">
        <v>387.08</v>
      </c>
      <c r="H916" s="2">
        <v>193.54</v>
      </c>
      <c r="I916" s="2">
        <v>387.08</v>
      </c>
      <c r="J916" s="2" t="str">
        <f t="shared" si="28"/>
        <v>25-34</v>
      </c>
      <c r="K916" s="17" t="str">
        <f t="shared" si="29"/>
        <v>6-8</v>
      </c>
    </row>
    <row r="917" spans="1:11" x14ac:dyDescent="0.2">
      <c r="A917" s="4">
        <v>19</v>
      </c>
      <c r="B917" s="4">
        <v>10</v>
      </c>
      <c r="C917" t="s">
        <v>8</v>
      </c>
      <c r="D917" s="4">
        <v>2</v>
      </c>
      <c r="E917" s="3">
        <v>0.61333056143484999</v>
      </c>
      <c r="F917" s="4">
        <v>1</v>
      </c>
      <c r="G917" s="2">
        <v>752.15</v>
      </c>
      <c r="H917" s="2">
        <v>752.15</v>
      </c>
      <c r="I917" s="2">
        <v>752.15</v>
      </c>
      <c r="J917" s="2" t="str">
        <f t="shared" si="28"/>
        <v>18-24</v>
      </c>
      <c r="K917" s="17" t="str">
        <f t="shared" si="29"/>
        <v>9-11</v>
      </c>
    </row>
    <row r="918" spans="1:11" x14ac:dyDescent="0.2">
      <c r="A918" s="4">
        <v>83</v>
      </c>
      <c r="B918" s="4">
        <v>14</v>
      </c>
      <c r="C918" t="s">
        <v>8</v>
      </c>
      <c r="D918" s="4">
        <v>1</v>
      </c>
      <c r="E918" s="3">
        <v>0.58738034009002105</v>
      </c>
      <c r="F918" s="4">
        <v>1</v>
      </c>
      <c r="G918" s="2">
        <v>4155.99</v>
      </c>
      <c r="H918" s="2">
        <v>4155.99</v>
      </c>
      <c r="I918" s="2">
        <v>4155.99</v>
      </c>
      <c r="J918" s="2" t="str">
        <f t="shared" si="28"/>
        <v>75-90</v>
      </c>
      <c r="K918" s="17" t="str">
        <f t="shared" si="29"/>
        <v>12-15</v>
      </c>
    </row>
    <row r="919" spans="1:11" x14ac:dyDescent="0.2">
      <c r="A919" s="4">
        <v>24</v>
      </c>
      <c r="B919" s="4">
        <v>10</v>
      </c>
      <c r="C919" t="s">
        <v>8</v>
      </c>
      <c r="D919" s="4">
        <v>0</v>
      </c>
      <c r="E919" s="3">
        <v>0.64801700611133095</v>
      </c>
      <c r="F919" s="4">
        <v>2</v>
      </c>
      <c r="G919" s="2">
        <v>554.65</v>
      </c>
      <c r="H919" s="2">
        <v>277.32</v>
      </c>
      <c r="I919" s="2">
        <v>554.65</v>
      </c>
      <c r="J919" s="2" t="str">
        <f t="shared" si="28"/>
        <v>18-24</v>
      </c>
      <c r="K919" s="17" t="str">
        <f t="shared" si="29"/>
        <v>9-11</v>
      </c>
    </row>
    <row r="920" spans="1:11" x14ac:dyDescent="0.2">
      <c r="A920" s="4">
        <v>58</v>
      </c>
      <c r="B920" s="4">
        <v>8</v>
      </c>
      <c r="C920" t="s">
        <v>8</v>
      </c>
      <c r="D920" s="4">
        <v>0</v>
      </c>
      <c r="E920" s="3">
        <v>0.98314303031656902</v>
      </c>
      <c r="F920" s="4">
        <v>1</v>
      </c>
      <c r="G920" s="2">
        <v>2340.54</v>
      </c>
      <c r="H920" s="2">
        <v>2340.54</v>
      </c>
      <c r="I920" s="2">
        <v>2340.54</v>
      </c>
      <c r="J920" s="2" t="str">
        <f t="shared" si="28"/>
        <v>55-64</v>
      </c>
      <c r="K920" s="17" t="str">
        <f t="shared" si="29"/>
        <v>6-8</v>
      </c>
    </row>
    <row r="921" spans="1:11" x14ac:dyDescent="0.2">
      <c r="A921" s="4">
        <v>50</v>
      </c>
      <c r="B921" s="4">
        <v>12</v>
      </c>
      <c r="C921" t="s">
        <v>8</v>
      </c>
      <c r="D921" s="4">
        <v>1</v>
      </c>
      <c r="E921" s="3">
        <v>0.99760546500328895</v>
      </c>
      <c r="F921" s="4">
        <v>1</v>
      </c>
      <c r="G921" s="2">
        <v>2075.54</v>
      </c>
      <c r="H921" s="2">
        <v>2075.54</v>
      </c>
      <c r="I921" s="2">
        <v>2075.54</v>
      </c>
      <c r="J921" s="2" t="str">
        <f t="shared" si="28"/>
        <v>45-54</v>
      </c>
      <c r="K921" s="17" t="str">
        <f t="shared" si="29"/>
        <v>12-15</v>
      </c>
    </row>
    <row r="922" spans="1:11" x14ac:dyDescent="0.2">
      <c r="A922" s="4">
        <v>71</v>
      </c>
      <c r="B922" s="4">
        <v>3</v>
      </c>
      <c r="C922" t="s">
        <v>8</v>
      </c>
      <c r="D922" s="4">
        <v>0</v>
      </c>
      <c r="E922" s="3">
        <v>0.81930246273986995</v>
      </c>
      <c r="F922" s="4">
        <v>1</v>
      </c>
      <c r="G922" s="2">
        <v>841.01</v>
      </c>
      <c r="H922" s="2">
        <v>841.01</v>
      </c>
      <c r="I922" s="2">
        <v>841.01</v>
      </c>
      <c r="J922" s="2" t="str">
        <f t="shared" si="28"/>
        <v>65-74</v>
      </c>
      <c r="K922" s="17" t="str">
        <f t="shared" si="29"/>
        <v>3-5</v>
      </c>
    </row>
    <row r="923" spans="1:11" x14ac:dyDescent="0.2">
      <c r="A923" s="4">
        <v>66</v>
      </c>
      <c r="B923" s="4">
        <v>4</v>
      </c>
      <c r="C923" t="s">
        <v>8</v>
      </c>
      <c r="D923" s="4">
        <v>0</v>
      </c>
      <c r="E923" s="3">
        <v>0.736238594632596</v>
      </c>
      <c r="F923" s="4">
        <v>2</v>
      </c>
      <c r="G923" s="2">
        <v>792.57</v>
      </c>
      <c r="H923" s="2">
        <v>396.28</v>
      </c>
      <c r="I923" s="2">
        <v>792.57</v>
      </c>
      <c r="J923" s="2" t="str">
        <f t="shared" si="28"/>
        <v>65-74</v>
      </c>
      <c r="K923" s="17" t="str">
        <f t="shared" si="29"/>
        <v>3-5</v>
      </c>
    </row>
    <row r="924" spans="1:11" x14ac:dyDescent="0.2">
      <c r="A924" s="4">
        <v>45</v>
      </c>
      <c r="B924" s="4">
        <v>4</v>
      </c>
      <c r="C924" t="s">
        <v>10</v>
      </c>
      <c r="D924" s="4">
        <v>1</v>
      </c>
      <c r="E924" s="3">
        <v>0.76464115153066803</v>
      </c>
      <c r="F924" s="4">
        <v>1</v>
      </c>
      <c r="G924" s="2">
        <v>416.42</v>
      </c>
      <c r="H924" s="2">
        <v>416.42</v>
      </c>
      <c r="I924" s="2">
        <v>416.42</v>
      </c>
      <c r="J924" s="2" t="str">
        <f t="shared" si="28"/>
        <v>45-54</v>
      </c>
      <c r="K924" s="17" t="str">
        <f t="shared" si="29"/>
        <v>3-5</v>
      </c>
    </row>
    <row r="925" spans="1:11" x14ac:dyDescent="0.2">
      <c r="A925" s="4">
        <v>38</v>
      </c>
      <c r="B925" s="4">
        <v>11</v>
      </c>
      <c r="C925" t="s">
        <v>16</v>
      </c>
      <c r="D925" s="4">
        <v>0</v>
      </c>
      <c r="E925" s="3">
        <v>0.680867501767352</v>
      </c>
      <c r="F925" s="4">
        <v>1</v>
      </c>
      <c r="G925" s="2">
        <v>748.64</v>
      </c>
      <c r="H925" s="2">
        <v>748.64</v>
      </c>
      <c r="I925" s="2">
        <v>748.64</v>
      </c>
      <c r="J925" s="2" t="str">
        <f t="shared" si="28"/>
        <v>35-44</v>
      </c>
      <c r="K925" s="17" t="str">
        <f t="shared" si="29"/>
        <v>9-11</v>
      </c>
    </row>
    <row r="926" spans="1:11" x14ac:dyDescent="0.2">
      <c r="A926" s="4">
        <v>59</v>
      </c>
      <c r="B926" s="4">
        <v>11</v>
      </c>
      <c r="C926" t="s">
        <v>10</v>
      </c>
      <c r="D926" s="4">
        <v>0</v>
      </c>
      <c r="E926" s="3">
        <v>0.63416714896448001</v>
      </c>
      <c r="F926" s="4">
        <v>1</v>
      </c>
      <c r="G926" s="2">
        <v>1223.76</v>
      </c>
      <c r="H926" s="2">
        <v>1223.76</v>
      </c>
      <c r="I926" s="2">
        <v>1223.76</v>
      </c>
      <c r="J926" s="2" t="str">
        <f t="shared" si="28"/>
        <v>55-64</v>
      </c>
      <c r="K926" s="17" t="str">
        <f t="shared" si="29"/>
        <v>9-11</v>
      </c>
    </row>
    <row r="927" spans="1:11" x14ac:dyDescent="0.2">
      <c r="A927" s="4">
        <v>57</v>
      </c>
      <c r="B927" s="4">
        <v>0</v>
      </c>
      <c r="C927" t="s">
        <v>16</v>
      </c>
      <c r="D927" s="4">
        <v>0</v>
      </c>
      <c r="E927" s="3">
        <v>0.87910018011461899</v>
      </c>
      <c r="F927" s="4">
        <v>2</v>
      </c>
      <c r="G927" s="2">
        <v>745.32</v>
      </c>
      <c r="H927" s="2">
        <v>372.66</v>
      </c>
      <c r="I927" s="2">
        <v>745.32</v>
      </c>
      <c r="J927" s="2" t="str">
        <f t="shared" si="28"/>
        <v>55-64</v>
      </c>
      <c r="K927" s="17" t="str">
        <f t="shared" si="29"/>
        <v>0-2</v>
      </c>
    </row>
    <row r="928" spans="1:11" x14ac:dyDescent="0.2">
      <c r="A928" s="4">
        <v>80</v>
      </c>
      <c r="B928" s="4">
        <v>5</v>
      </c>
      <c r="C928" t="s">
        <v>16</v>
      </c>
      <c r="D928" s="4">
        <v>1</v>
      </c>
      <c r="E928" s="3">
        <v>0.81249547179322701</v>
      </c>
      <c r="F928" s="4">
        <v>1</v>
      </c>
      <c r="G928" s="2">
        <v>1602.66</v>
      </c>
      <c r="H928" s="2">
        <v>1602.66</v>
      </c>
      <c r="I928" s="2">
        <v>1602.66</v>
      </c>
      <c r="J928" s="2" t="str">
        <f t="shared" si="28"/>
        <v>75-90</v>
      </c>
      <c r="K928" s="17" t="str">
        <f t="shared" si="29"/>
        <v>3-5</v>
      </c>
    </row>
    <row r="929" spans="1:11" x14ac:dyDescent="0.2">
      <c r="A929" s="4">
        <v>60</v>
      </c>
      <c r="B929" s="4">
        <v>5</v>
      </c>
      <c r="C929" t="s">
        <v>10</v>
      </c>
      <c r="D929" s="4">
        <v>0</v>
      </c>
      <c r="E929" s="3">
        <v>0.71969775808975101</v>
      </c>
      <c r="F929" s="4">
        <v>1</v>
      </c>
      <c r="G929" s="2">
        <v>678.98</v>
      </c>
      <c r="H929" s="2">
        <v>678.98</v>
      </c>
      <c r="I929" s="2">
        <v>678.98</v>
      </c>
      <c r="J929" s="2" t="str">
        <f t="shared" si="28"/>
        <v>55-64</v>
      </c>
      <c r="K929" s="17" t="str">
        <f t="shared" si="29"/>
        <v>3-5</v>
      </c>
    </row>
    <row r="930" spans="1:11" x14ac:dyDescent="0.2">
      <c r="A930" s="4">
        <v>74</v>
      </c>
      <c r="B930" s="4">
        <v>11</v>
      </c>
      <c r="C930" t="s">
        <v>8</v>
      </c>
      <c r="D930" s="4">
        <v>0</v>
      </c>
      <c r="E930" s="3">
        <v>0.68344675167463698</v>
      </c>
      <c r="F930" s="4">
        <v>1</v>
      </c>
      <c r="G930" s="2">
        <v>1178.19</v>
      </c>
      <c r="H930" s="2">
        <v>1178.19</v>
      </c>
      <c r="I930" s="2">
        <v>1178.19</v>
      </c>
      <c r="J930" s="2" t="str">
        <f t="shared" si="28"/>
        <v>65-74</v>
      </c>
      <c r="K930" s="17" t="str">
        <f t="shared" si="29"/>
        <v>9-11</v>
      </c>
    </row>
    <row r="931" spans="1:11" x14ac:dyDescent="0.2">
      <c r="A931" s="4">
        <v>83</v>
      </c>
      <c r="B931" s="4">
        <v>2</v>
      </c>
      <c r="C931" t="s">
        <v>16</v>
      </c>
      <c r="D931" s="4">
        <v>0</v>
      </c>
      <c r="E931" s="3">
        <v>0.92746134288608995</v>
      </c>
      <c r="F931" s="4">
        <v>1</v>
      </c>
      <c r="G931" s="2">
        <v>669.04</v>
      </c>
      <c r="H931" s="2">
        <v>669.04</v>
      </c>
      <c r="I931" s="2">
        <v>669.04</v>
      </c>
      <c r="J931" s="2" t="str">
        <f t="shared" si="28"/>
        <v>75-90</v>
      </c>
      <c r="K931" s="17" t="str">
        <f t="shared" si="29"/>
        <v>0-2</v>
      </c>
    </row>
    <row r="932" spans="1:11" x14ac:dyDescent="0.2">
      <c r="A932" s="4">
        <v>26</v>
      </c>
      <c r="B932" s="4">
        <v>10</v>
      </c>
      <c r="C932" t="s">
        <v>8</v>
      </c>
      <c r="D932" s="4">
        <v>1</v>
      </c>
      <c r="E932" s="3">
        <v>0.865896779694594</v>
      </c>
      <c r="F932" s="4">
        <v>1</v>
      </c>
      <c r="G932" s="2">
        <v>510.84</v>
      </c>
      <c r="H932" s="2">
        <v>510.84</v>
      </c>
      <c r="I932" s="2">
        <v>510.84</v>
      </c>
      <c r="J932" s="2" t="str">
        <f t="shared" si="28"/>
        <v>25-34</v>
      </c>
      <c r="K932" s="17" t="str">
        <f t="shared" si="29"/>
        <v>9-11</v>
      </c>
    </row>
    <row r="933" spans="1:11" x14ac:dyDescent="0.2">
      <c r="A933" s="4">
        <v>67</v>
      </c>
      <c r="B933" s="4">
        <v>9</v>
      </c>
      <c r="C933" t="s">
        <v>8</v>
      </c>
      <c r="D933" s="4">
        <v>0</v>
      </c>
      <c r="E933" s="3">
        <v>0.64247973461169705</v>
      </c>
      <c r="F933" s="4">
        <v>2</v>
      </c>
      <c r="G933" s="2">
        <v>877.01</v>
      </c>
      <c r="H933" s="2">
        <v>438.5</v>
      </c>
      <c r="I933" s="2">
        <v>877.01</v>
      </c>
      <c r="J933" s="2" t="str">
        <f t="shared" si="28"/>
        <v>65-74</v>
      </c>
      <c r="K933" s="17" t="str">
        <f t="shared" si="29"/>
        <v>9-11</v>
      </c>
    </row>
    <row r="934" spans="1:11" x14ac:dyDescent="0.2">
      <c r="A934" s="4">
        <v>81</v>
      </c>
      <c r="B934" s="4">
        <v>1</v>
      </c>
      <c r="C934" t="s">
        <v>16</v>
      </c>
      <c r="D934" s="4">
        <v>2</v>
      </c>
      <c r="E934" s="3">
        <v>0.65508583583868996</v>
      </c>
      <c r="F934" s="4">
        <v>1</v>
      </c>
      <c r="G934" s="2">
        <v>765.04</v>
      </c>
      <c r="H934" s="2">
        <v>765.04</v>
      </c>
      <c r="I934" s="2">
        <v>765.04</v>
      </c>
      <c r="J934" s="2" t="str">
        <f t="shared" si="28"/>
        <v>75-90</v>
      </c>
      <c r="K934" s="17" t="str">
        <f t="shared" si="29"/>
        <v>0-2</v>
      </c>
    </row>
    <row r="935" spans="1:11" x14ac:dyDescent="0.2">
      <c r="A935" s="4">
        <v>47</v>
      </c>
      <c r="B935" s="4">
        <v>11</v>
      </c>
      <c r="C935" t="s">
        <v>8</v>
      </c>
      <c r="D935" s="4">
        <v>1</v>
      </c>
      <c r="E935" s="3">
        <v>0.98080961382947895</v>
      </c>
      <c r="F935" s="4">
        <v>2</v>
      </c>
      <c r="G935" s="2">
        <v>731.5</v>
      </c>
      <c r="H935" s="2">
        <v>365.75</v>
      </c>
      <c r="I935" s="2">
        <v>731.5</v>
      </c>
      <c r="J935" s="2" t="str">
        <f t="shared" si="28"/>
        <v>45-54</v>
      </c>
      <c r="K935" s="17" t="str">
        <f t="shared" si="29"/>
        <v>9-11</v>
      </c>
    </row>
    <row r="936" spans="1:11" x14ac:dyDescent="0.2">
      <c r="A936" s="4">
        <v>59</v>
      </c>
      <c r="B936" s="4">
        <v>12</v>
      </c>
      <c r="C936" t="s">
        <v>10</v>
      </c>
      <c r="D936" s="4">
        <v>0</v>
      </c>
      <c r="E936" s="3">
        <v>0.515099690062925</v>
      </c>
      <c r="F936" s="4">
        <v>1</v>
      </c>
      <c r="G936" s="2">
        <v>833.76</v>
      </c>
      <c r="H936" s="2">
        <v>833.76</v>
      </c>
      <c r="I936" s="2">
        <v>833.76</v>
      </c>
      <c r="J936" s="2" t="str">
        <f t="shared" si="28"/>
        <v>55-64</v>
      </c>
      <c r="K936" s="17" t="str">
        <f t="shared" si="29"/>
        <v>12-15</v>
      </c>
    </row>
    <row r="937" spans="1:11" x14ac:dyDescent="0.2">
      <c r="A937" s="4">
        <v>39</v>
      </c>
      <c r="B937" s="4">
        <v>9</v>
      </c>
      <c r="C937" t="s">
        <v>8</v>
      </c>
      <c r="D937" s="4">
        <v>0</v>
      </c>
      <c r="E937" s="3">
        <v>0.68701285263523504</v>
      </c>
      <c r="F937" s="4">
        <v>1</v>
      </c>
      <c r="G937" s="2">
        <v>682.05</v>
      </c>
      <c r="H937" s="2">
        <v>682.05</v>
      </c>
      <c r="I937" s="2">
        <v>682.05</v>
      </c>
      <c r="J937" s="2" t="str">
        <f t="shared" si="28"/>
        <v>35-44</v>
      </c>
      <c r="K937" s="17" t="str">
        <f t="shared" si="29"/>
        <v>9-11</v>
      </c>
    </row>
    <row r="938" spans="1:11" x14ac:dyDescent="0.2">
      <c r="A938" s="4">
        <v>82</v>
      </c>
      <c r="B938" s="4">
        <v>7</v>
      </c>
      <c r="C938" t="s">
        <v>8</v>
      </c>
      <c r="D938" s="4">
        <v>0</v>
      </c>
      <c r="E938" s="3">
        <v>0.572347829234786</v>
      </c>
      <c r="F938" s="4">
        <v>1</v>
      </c>
      <c r="G938" s="2">
        <v>1885.89</v>
      </c>
      <c r="H938" s="2">
        <v>1885.89</v>
      </c>
      <c r="I938" s="2">
        <v>1885.89</v>
      </c>
      <c r="J938" s="2" t="str">
        <f t="shared" si="28"/>
        <v>75-90</v>
      </c>
      <c r="K938" s="17" t="str">
        <f t="shared" si="29"/>
        <v>6-8</v>
      </c>
    </row>
    <row r="939" spans="1:11" x14ac:dyDescent="0.2">
      <c r="A939" s="4">
        <v>23</v>
      </c>
      <c r="B939" s="4">
        <v>10</v>
      </c>
      <c r="C939" t="s">
        <v>8</v>
      </c>
      <c r="D939" s="4">
        <v>1</v>
      </c>
      <c r="E939" s="3">
        <v>0.788202683790587</v>
      </c>
      <c r="F939" s="4">
        <v>1</v>
      </c>
      <c r="G939" s="2">
        <v>347.44</v>
      </c>
      <c r="H939" s="2">
        <v>347.44</v>
      </c>
      <c r="I939" s="2">
        <v>347.44</v>
      </c>
      <c r="J939" s="2" t="str">
        <f t="shared" si="28"/>
        <v>18-24</v>
      </c>
      <c r="K939" s="17" t="str">
        <f t="shared" si="29"/>
        <v>9-11</v>
      </c>
    </row>
    <row r="940" spans="1:11" x14ac:dyDescent="0.2">
      <c r="A940" s="4">
        <v>62</v>
      </c>
      <c r="B940" s="4">
        <v>2</v>
      </c>
      <c r="C940" t="s">
        <v>16</v>
      </c>
      <c r="D940" s="4">
        <v>0</v>
      </c>
      <c r="E940" s="3">
        <v>0.93104005162604198</v>
      </c>
      <c r="F940" s="4">
        <v>1</v>
      </c>
      <c r="G940" s="2">
        <v>656.41</v>
      </c>
      <c r="H940" s="2">
        <v>656.41</v>
      </c>
      <c r="I940" s="2">
        <v>656.41</v>
      </c>
      <c r="J940" s="2" t="str">
        <f t="shared" si="28"/>
        <v>55-64</v>
      </c>
      <c r="K940" s="17" t="str">
        <f t="shared" si="29"/>
        <v>0-2</v>
      </c>
    </row>
    <row r="941" spans="1:11" x14ac:dyDescent="0.2">
      <c r="A941" s="4">
        <v>83</v>
      </c>
      <c r="B941" s="4">
        <v>6</v>
      </c>
      <c r="C941" t="s">
        <v>8</v>
      </c>
      <c r="D941" s="4">
        <v>0</v>
      </c>
      <c r="E941" s="3">
        <v>0.67430539941415202</v>
      </c>
      <c r="F941" s="4">
        <v>1</v>
      </c>
      <c r="G941" s="2">
        <v>356.49</v>
      </c>
      <c r="H941" s="2">
        <v>356.49</v>
      </c>
      <c r="I941" s="2">
        <v>356.49</v>
      </c>
      <c r="J941" s="2" t="str">
        <f t="shared" si="28"/>
        <v>75-90</v>
      </c>
      <c r="K941" s="17" t="str">
        <f t="shared" si="29"/>
        <v>6-8</v>
      </c>
    </row>
    <row r="942" spans="1:11" x14ac:dyDescent="0.2">
      <c r="A942" s="4">
        <v>60</v>
      </c>
      <c r="B942" s="4">
        <v>4</v>
      </c>
      <c r="C942" t="s">
        <v>8</v>
      </c>
      <c r="D942" s="4">
        <v>0</v>
      </c>
      <c r="E942" s="3">
        <v>0.97609423799440298</v>
      </c>
      <c r="F942" s="4">
        <v>1</v>
      </c>
      <c r="G942" s="2">
        <v>802.84</v>
      </c>
      <c r="H942" s="2">
        <v>802.84</v>
      </c>
      <c r="I942" s="2">
        <v>802.84</v>
      </c>
      <c r="J942" s="2" t="str">
        <f t="shared" si="28"/>
        <v>55-64</v>
      </c>
      <c r="K942" s="17" t="str">
        <f t="shared" si="29"/>
        <v>3-5</v>
      </c>
    </row>
    <row r="943" spans="1:11" x14ac:dyDescent="0.2">
      <c r="A943" s="4">
        <v>86</v>
      </c>
      <c r="B943" s="4">
        <v>6</v>
      </c>
      <c r="C943" t="s">
        <v>8</v>
      </c>
      <c r="D943" s="4">
        <v>0</v>
      </c>
      <c r="E943" s="3">
        <v>0.93923021375667304</v>
      </c>
      <c r="F943" s="4">
        <v>2</v>
      </c>
      <c r="G943" s="2">
        <v>1455.37</v>
      </c>
      <c r="H943" s="2">
        <v>727.68</v>
      </c>
      <c r="I943" s="2">
        <v>1455.37</v>
      </c>
      <c r="J943" s="2" t="str">
        <f t="shared" si="28"/>
        <v>75-90</v>
      </c>
      <c r="K943" s="17" t="str">
        <f t="shared" si="29"/>
        <v>6-8</v>
      </c>
    </row>
    <row r="944" spans="1:11" x14ac:dyDescent="0.2">
      <c r="A944" s="4">
        <v>83</v>
      </c>
      <c r="B944" s="4">
        <v>12</v>
      </c>
      <c r="C944" t="s">
        <v>8</v>
      </c>
      <c r="D944" s="4">
        <v>0</v>
      </c>
      <c r="E944" s="3">
        <v>0.50205538119189397</v>
      </c>
      <c r="F944" s="4">
        <v>1</v>
      </c>
      <c r="G944" s="2">
        <v>3421.64</v>
      </c>
      <c r="H944" s="2">
        <v>3421.64</v>
      </c>
      <c r="I944" s="2">
        <v>3421.64</v>
      </c>
      <c r="J944" s="2" t="str">
        <f t="shared" si="28"/>
        <v>75-90</v>
      </c>
      <c r="K944" s="17" t="str">
        <f t="shared" si="29"/>
        <v>12-15</v>
      </c>
    </row>
    <row r="945" spans="1:11" x14ac:dyDescent="0.2">
      <c r="A945" s="4">
        <v>78</v>
      </c>
      <c r="B945" s="4">
        <v>12</v>
      </c>
      <c r="C945" t="s">
        <v>16</v>
      </c>
      <c r="D945" s="4">
        <v>0</v>
      </c>
      <c r="E945" s="3">
        <v>0.78299323935061704</v>
      </c>
      <c r="F945" s="4">
        <v>2</v>
      </c>
      <c r="G945" s="2">
        <v>1404.7</v>
      </c>
      <c r="H945" s="2">
        <v>702.35</v>
      </c>
      <c r="I945" s="2">
        <v>1404.7</v>
      </c>
      <c r="J945" s="2" t="str">
        <f t="shared" si="28"/>
        <v>75-90</v>
      </c>
      <c r="K945" s="17" t="str">
        <f t="shared" si="29"/>
        <v>12-15</v>
      </c>
    </row>
    <row r="946" spans="1:11" x14ac:dyDescent="0.2">
      <c r="A946" s="4">
        <v>27</v>
      </c>
      <c r="B946" s="4">
        <v>3</v>
      </c>
      <c r="C946" t="s">
        <v>10</v>
      </c>
      <c r="D946" s="4">
        <v>0</v>
      </c>
      <c r="E946" s="3">
        <v>0.52103377913590498</v>
      </c>
      <c r="F946" s="4">
        <v>1</v>
      </c>
      <c r="G946" s="2">
        <v>335.33</v>
      </c>
      <c r="H946" s="2">
        <v>335.33</v>
      </c>
      <c r="I946" s="2">
        <v>335.33</v>
      </c>
      <c r="J946" s="2" t="str">
        <f t="shared" si="28"/>
        <v>25-34</v>
      </c>
      <c r="K946" s="17" t="str">
        <f t="shared" si="29"/>
        <v>3-5</v>
      </c>
    </row>
    <row r="947" spans="1:11" x14ac:dyDescent="0.2">
      <c r="A947" s="4">
        <v>21</v>
      </c>
      <c r="B947" s="4">
        <v>12</v>
      </c>
      <c r="C947" t="s">
        <v>8</v>
      </c>
      <c r="D947" s="4">
        <v>0</v>
      </c>
      <c r="E947" s="3">
        <v>0.89161447691731199</v>
      </c>
      <c r="F947" s="4">
        <v>1</v>
      </c>
      <c r="G947" s="2">
        <v>170.38</v>
      </c>
      <c r="H947" s="2">
        <v>170.38</v>
      </c>
      <c r="I947" s="2">
        <v>170.38</v>
      </c>
      <c r="J947" s="2" t="str">
        <f t="shared" si="28"/>
        <v>18-24</v>
      </c>
      <c r="K947" s="17" t="str">
        <f t="shared" si="29"/>
        <v>12-15</v>
      </c>
    </row>
    <row r="948" spans="1:11" x14ac:dyDescent="0.2">
      <c r="A948" s="4">
        <v>69</v>
      </c>
      <c r="B948" s="4">
        <v>3</v>
      </c>
      <c r="C948" t="s">
        <v>8</v>
      </c>
      <c r="D948" s="4">
        <v>0</v>
      </c>
      <c r="E948" s="3">
        <v>0.93497272278182197</v>
      </c>
      <c r="F948" s="4">
        <v>1</v>
      </c>
      <c r="G948" s="2">
        <v>471.48</v>
      </c>
      <c r="H948" s="2">
        <v>471.48</v>
      </c>
      <c r="I948" s="2">
        <v>471.48</v>
      </c>
      <c r="J948" s="2" t="str">
        <f t="shared" si="28"/>
        <v>65-74</v>
      </c>
      <c r="K948" s="17" t="str">
        <f t="shared" si="29"/>
        <v>3-5</v>
      </c>
    </row>
    <row r="949" spans="1:11" x14ac:dyDescent="0.2">
      <c r="A949" s="4">
        <v>70</v>
      </c>
      <c r="B949" s="4">
        <v>12</v>
      </c>
      <c r="C949" t="s">
        <v>10</v>
      </c>
      <c r="D949" s="4">
        <v>0</v>
      </c>
      <c r="E949" s="3">
        <v>0.63454422587528803</v>
      </c>
      <c r="F949" s="4">
        <v>1</v>
      </c>
      <c r="G949" s="2">
        <v>778.48</v>
      </c>
      <c r="H949" s="2">
        <v>778.48</v>
      </c>
      <c r="I949" s="2">
        <v>778.48</v>
      </c>
      <c r="J949" s="2" t="str">
        <f t="shared" si="28"/>
        <v>65-74</v>
      </c>
      <c r="K949" s="17" t="str">
        <f t="shared" si="29"/>
        <v>12-15</v>
      </c>
    </row>
    <row r="950" spans="1:11" x14ac:dyDescent="0.2">
      <c r="A950" s="4">
        <v>75</v>
      </c>
      <c r="B950" s="4">
        <v>3</v>
      </c>
      <c r="C950" t="s">
        <v>10</v>
      </c>
      <c r="D950" s="4">
        <v>0</v>
      </c>
      <c r="E950" s="3">
        <v>0.74496597785037</v>
      </c>
      <c r="F950" s="4">
        <v>1</v>
      </c>
      <c r="G950" s="2">
        <v>1316.85</v>
      </c>
      <c r="H950" s="2">
        <v>1316.85</v>
      </c>
      <c r="I950" s="2">
        <v>1316.85</v>
      </c>
      <c r="J950" s="2" t="str">
        <f t="shared" si="28"/>
        <v>75-90</v>
      </c>
      <c r="K950" s="17" t="str">
        <f t="shared" si="29"/>
        <v>3-5</v>
      </c>
    </row>
    <row r="951" spans="1:11" x14ac:dyDescent="0.2">
      <c r="A951" s="4">
        <v>34</v>
      </c>
      <c r="B951" s="4">
        <v>9</v>
      </c>
      <c r="C951" t="s">
        <v>16</v>
      </c>
      <c r="D951" s="4">
        <v>0</v>
      </c>
      <c r="E951" s="3">
        <v>0.81121733679901797</v>
      </c>
      <c r="F951" s="4">
        <v>2</v>
      </c>
      <c r="G951" s="2">
        <v>715.34</v>
      </c>
      <c r="H951" s="2">
        <v>357.67</v>
      </c>
      <c r="I951" s="2">
        <v>715.34</v>
      </c>
      <c r="J951" s="2" t="str">
        <f t="shared" si="28"/>
        <v>25-34</v>
      </c>
      <c r="K951" s="17" t="str">
        <f t="shared" si="29"/>
        <v>9-11</v>
      </c>
    </row>
    <row r="952" spans="1:11" x14ac:dyDescent="0.2">
      <c r="A952" s="4">
        <v>59</v>
      </c>
      <c r="B952" s="4">
        <v>4</v>
      </c>
      <c r="C952" t="s">
        <v>8</v>
      </c>
      <c r="D952" s="4">
        <v>0</v>
      </c>
      <c r="E952" s="3">
        <v>0.68882862664759203</v>
      </c>
      <c r="F952" s="4">
        <v>1</v>
      </c>
      <c r="G952" s="2">
        <v>1590.47</v>
      </c>
      <c r="H952" s="2">
        <v>1590.47</v>
      </c>
      <c r="I952" s="2">
        <v>1590.47</v>
      </c>
      <c r="J952" s="2" t="str">
        <f t="shared" si="28"/>
        <v>55-64</v>
      </c>
      <c r="K952" s="17" t="str">
        <f t="shared" si="29"/>
        <v>3-5</v>
      </c>
    </row>
    <row r="953" spans="1:11" x14ac:dyDescent="0.2">
      <c r="A953" s="4">
        <v>68</v>
      </c>
      <c r="B953" s="4">
        <v>3</v>
      </c>
      <c r="C953" t="s">
        <v>10</v>
      </c>
      <c r="D953" s="4">
        <v>0</v>
      </c>
      <c r="E953" s="3">
        <v>0.69210163154639304</v>
      </c>
      <c r="F953" s="4">
        <v>2</v>
      </c>
      <c r="G953" s="2">
        <v>847.51</v>
      </c>
      <c r="H953" s="2">
        <v>423.75</v>
      </c>
      <c r="I953" s="2">
        <v>847.51</v>
      </c>
      <c r="J953" s="2" t="str">
        <f t="shared" si="28"/>
        <v>65-74</v>
      </c>
      <c r="K953" s="17" t="str">
        <f t="shared" si="29"/>
        <v>3-5</v>
      </c>
    </row>
    <row r="954" spans="1:11" x14ac:dyDescent="0.2">
      <c r="A954" s="4">
        <v>45</v>
      </c>
      <c r="B954" s="4">
        <v>8</v>
      </c>
      <c r="C954" t="s">
        <v>8</v>
      </c>
      <c r="D954" s="4">
        <v>1</v>
      </c>
      <c r="E954" s="3">
        <v>0.65887785190716397</v>
      </c>
      <c r="F954" s="4">
        <v>1</v>
      </c>
      <c r="G954" s="2">
        <v>639.42999999999995</v>
      </c>
      <c r="H954" s="2">
        <v>639.42999999999995</v>
      </c>
      <c r="I954" s="2">
        <v>639.42999999999995</v>
      </c>
      <c r="J954" s="2" t="str">
        <f t="shared" si="28"/>
        <v>45-54</v>
      </c>
      <c r="K954" s="17" t="str">
        <f t="shared" si="29"/>
        <v>6-8</v>
      </c>
    </row>
    <row r="955" spans="1:11" x14ac:dyDescent="0.2">
      <c r="A955" s="4">
        <v>79</v>
      </c>
      <c r="B955" s="4">
        <v>14</v>
      </c>
      <c r="C955" t="s">
        <v>8</v>
      </c>
      <c r="D955" s="4">
        <v>1</v>
      </c>
      <c r="E955" s="3">
        <v>0.91504742146935303</v>
      </c>
      <c r="F955" s="4">
        <v>2</v>
      </c>
      <c r="G955" s="2">
        <v>1673.11</v>
      </c>
      <c r="H955" s="2">
        <v>836.55</v>
      </c>
      <c r="I955" s="2">
        <v>1673.11</v>
      </c>
      <c r="J955" s="2" t="str">
        <f t="shared" si="28"/>
        <v>75-90</v>
      </c>
      <c r="K955" s="17" t="str">
        <f t="shared" si="29"/>
        <v>12-15</v>
      </c>
    </row>
    <row r="956" spans="1:11" x14ac:dyDescent="0.2">
      <c r="A956" s="4">
        <v>79</v>
      </c>
      <c r="B956" s="4">
        <v>6</v>
      </c>
      <c r="C956" t="s">
        <v>8</v>
      </c>
      <c r="D956" s="4">
        <v>0</v>
      </c>
      <c r="E956" s="3">
        <v>0.95180643966887102</v>
      </c>
      <c r="F956" s="4">
        <v>1</v>
      </c>
      <c r="G956" s="2">
        <v>655.25</v>
      </c>
      <c r="H956" s="2">
        <v>655.25</v>
      </c>
      <c r="I956" s="2">
        <v>655.25</v>
      </c>
      <c r="J956" s="2" t="str">
        <f t="shared" si="28"/>
        <v>75-90</v>
      </c>
      <c r="K956" s="17" t="str">
        <f t="shared" si="29"/>
        <v>6-8</v>
      </c>
    </row>
    <row r="957" spans="1:11" x14ac:dyDescent="0.2">
      <c r="A957" s="4">
        <v>70</v>
      </c>
      <c r="B957" s="4">
        <v>3</v>
      </c>
      <c r="C957" t="s">
        <v>16</v>
      </c>
      <c r="D957" s="4">
        <v>0</v>
      </c>
      <c r="E957" s="3">
        <v>0.89635515271220401</v>
      </c>
      <c r="F957" s="4">
        <v>1</v>
      </c>
      <c r="G957" s="2">
        <v>1102.8499999999999</v>
      </c>
      <c r="H957" s="2">
        <v>1102.8499999999999</v>
      </c>
      <c r="I957" s="2">
        <v>1102.8499999999999</v>
      </c>
      <c r="J957" s="2" t="str">
        <f t="shared" si="28"/>
        <v>65-74</v>
      </c>
      <c r="K957" s="17" t="str">
        <f t="shared" si="29"/>
        <v>3-5</v>
      </c>
    </row>
    <row r="958" spans="1:11" x14ac:dyDescent="0.2">
      <c r="A958" s="4">
        <v>72</v>
      </c>
      <c r="B958" s="4">
        <v>8</v>
      </c>
      <c r="C958" t="s">
        <v>16</v>
      </c>
      <c r="D958" s="4">
        <v>0</v>
      </c>
      <c r="E958" s="3">
        <v>0.75997743068728596</v>
      </c>
      <c r="F958" s="4">
        <v>2</v>
      </c>
      <c r="G958" s="2">
        <v>720.32</v>
      </c>
      <c r="H958" s="2">
        <v>360.16</v>
      </c>
      <c r="I958" s="2">
        <v>720.32</v>
      </c>
      <c r="J958" s="2" t="str">
        <f t="shared" si="28"/>
        <v>65-74</v>
      </c>
      <c r="K958" s="17" t="str">
        <f t="shared" si="29"/>
        <v>6-8</v>
      </c>
    </row>
    <row r="959" spans="1:11" x14ac:dyDescent="0.2">
      <c r="A959" s="4">
        <v>37</v>
      </c>
      <c r="B959" s="4">
        <v>8</v>
      </c>
      <c r="C959" t="s">
        <v>16</v>
      </c>
      <c r="D959" s="4">
        <v>1</v>
      </c>
      <c r="E959" s="3">
        <v>0.80537032522261098</v>
      </c>
      <c r="F959" s="4">
        <v>1</v>
      </c>
      <c r="G959" s="2">
        <v>1247.8399999999999</v>
      </c>
      <c r="H959" s="2">
        <v>1247.8399999999999</v>
      </c>
      <c r="I959" s="2">
        <v>1247.8399999999999</v>
      </c>
      <c r="J959" s="2" t="str">
        <f t="shared" si="28"/>
        <v>35-44</v>
      </c>
      <c r="K959" s="17" t="str">
        <f t="shared" si="29"/>
        <v>6-8</v>
      </c>
    </row>
    <row r="960" spans="1:11" x14ac:dyDescent="0.2">
      <c r="A960" s="4">
        <v>86</v>
      </c>
      <c r="B960" s="4">
        <v>14</v>
      </c>
      <c r="C960" t="s">
        <v>10</v>
      </c>
      <c r="D960" s="4">
        <v>0</v>
      </c>
      <c r="E960" s="3">
        <v>0.81130074057728097</v>
      </c>
      <c r="F960" s="4">
        <v>1</v>
      </c>
      <c r="G960" s="2">
        <v>2539.64</v>
      </c>
      <c r="H960" s="2">
        <v>2539.64</v>
      </c>
      <c r="I960" s="2">
        <v>2539.64</v>
      </c>
      <c r="J960" s="2" t="str">
        <f t="shared" si="28"/>
        <v>75-90</v>
      </c>
      <c r="K960" s="17" t="str">
        <f t="shared" si="29"/>
        <v>12-15</v>
      </c>
    </row>
    <row r="961" spans="1:11" x14ac:dyDescent="0.2">
      <c r="A961" s="4">
        <v>76</v>
      </c>
      <c r="B961" s="4">
        <v>11</v>
      </c>
      <c r="C961" t="s">
        <v>16</v>
      </c>
      <c r="D961" s="4">
        <v>1</v>
      </c>
      <c r="E961" s="3">
        <v>0.84674836078193005</v>
      </c>
      <c r="F961" s="4">
        <v>2</v>
      </c>
      <c r="G961" s="2">
        <v>1180.6300000000001</v>
      </c>
      <c r="H961" s="2">
        <v>590.32000000000005</v>
      </c>
      <c r="I961" s="2">
        <v>1180.6300000000001</v>
      </c>
      <c r="J961" s="2" t="str">
        <f t="shared" si="28"/>
        <v>75-90</v>
      </c>
      <c r="K961" s="17" t="str">
        <f t="shared" si="29"/>
        <v>9-11</v>
      </c>
    </row>
    <row r="962" spans="1:11" x14ac:dyDescent="0.2">
      <c r="A962" s="4">
        <v>47</v>
      </c>
      <c r="B962" s="4">
        <v>10</v>
      </c>
      <c r="C962" t="s">
        <v>16</v>
      </c>
      <c r="D962" s="4">
        <v>2</v>
      </c>
      <c r="E962" s="3">
        <v>0.61239619727712102</v>
      </c>
      <c r="F962" s="4">
        <v>1</v>
      </c>
      <c r="G962" s="2">
        <v>1257.46</v>
      </c>
      <c r="H962" s="2">
        <v>1257.46</v>
      </c>
      <c r="I962" s="2">
        <v>1257.46</v>
      </c>
      <c r="J962" s="2" t="str">
        <f t="shared" ref="J962:J1025" si="30" xml:space="preserve"> IF(A962&lt;25,"18-24",
 IF(A962&lt;35,"25-34",
 IF(A962&lt;45,"35-44",
 IF(A962&lt;55,"45-54", IF(A962&lt;65, "55-64", IF(A962&lt;75, "65-74", "75-90"))))))</f>
        <v>45-54</v>
      </c>
      <c r="K962" s="17" t="str">
        <f t="shared" ref="K962:K1025" si="31" xml:space="preserve"> IF(B962 &lt; 3, "0-2", IF(B962 &lt; 6, "3-5", IF(B962 &lt; 9, "6-8", IF(B962 &lt; 12, "9-11", "12-15"))))</f>
        <v>9-11</v>
      </c>
    </row>
    <row r="963" spans="1:11" x14ac:dyDescent="0.2">
      <c r="A963" s="4">
        <v>85</v>
      </c>
      <c r="B963" s="4">
        <v>3</v>
      </c>
      <c r="C963" t="s">
        <v>8</v>
      </c>
      <c r="D963" s="4">
        <v>1</v>
      </c>
      <c r="E963" s="3">
        <v>0.52369672711938597</v>
      </c>
      <c r="F963" s="4">
        <v>1</v>
      </c>
      <c r="G963" s="2">
        <v>1554.9</v>
      </c>
      <c r="H963" s="2">
        <v>1554.9</v>
      </c>
      <c r="I963" s="2">
        <v>1554.9</v>
      </c>
      <c r="J963" s="2" t="str">
        <f t="shared" si="30"/>
        <v>75-90</v>
      </c>
      <c r="K963" s="17" t="str">
        <f t="shared" si="31"/>
        <v>3-5</v>
      </c>
    </row>
    <row r="964" spans="1:11" x14ac:dyDescent="0.2">
      <c r="A964" s="4">
        <v>74</v>
      </c>
      <c r="B964" s="4">
        <v>12</v>
      </c>
      <c r="C964" t="s">
        <v>10</v>
      </c>
      <c r="D964" s="4">
        <v>1</v>
      </c>
      <c r="E964" s="3">
        <v>0.98734171839896601</v>
      </c>
      <c r="F964" s="4">
        <v>3</v>
      </c>
      <c r="G964" s="2">
        <v>2537.5</v>
      </c>
      <c r="H964" s="2">
        <v>845.83</v>
      </c>
      <c r="I964" s="2">
        <v>2537.5</v>
      </c>
      <c r="J964" s="2" t="str">
        <f t="shared" si="30"/>
        <v>65-74</v>
      </c>
      <c r="K964" s="17" t="str">
        <f t="shared" si="31"/>
        <v>12-15</v>
      </c>
    </row>
    <row r="965" spans="1:11" x14ac:dyDescent="0.2">
      <c r="A965" s="4">
        <v>33</v>
      </c>
      <c r="B965" s="4">
        <v>13</v>
      </c>
      <c r="C965" t="s">
        <v>8</v>
      </c>
      <c r="D965" s="4">
        <v>0</v>
      </c>
      <c r="E965" s="3">
        <v>0.87280574324540805</v>
      </c>
      <c r="F965" s="4">
        <v>1</v>
      </c>
      <c r="G965" s="2">
        <v>421.5</v>
      </c>
      <c r="H965" s="2">
        <v>421.5</v>
      </c>
      <c r="I965" s="2">
        <v>421.5</v>
      </c>
      <c r="J965" s="2" t="str">
        <f t="shared" si="30"/>
        <v>25-34</v>
      </c>
      <c r="K965" s="17" t="str">
        <f t="shared" si="31"/>
        <v>12-15</v>
      </c>
    </row>
    <row r="966" spans="1:11" x14ac:dyDescent="0.2">
      <c r="A966" s="4">
        <v>22</v>
      </c>
      <c r="B966" s="4">
        <v>11</v>
      </c>
      <c r="C966" t="s">
        <v>16</v>
      </c>
      <c r="D966" s="4">
        <v>2</v>
      </c>
      <c r="E966" s="3">
        <v>0.73444822465535298</v>
      </c>
      <c r="F966" s="4">
        <v>1</v>
      </c>
      <c r="G966" s="2">
        <v>1098.99</v>
      </c>
      <c r="H966" s="2">
        <v>1098.99</v>
      </c>
      <c r="I966" s="2">
        <v>1098.99</v>
      </c>
      <c r="J966" s="2" t="str">
        <f t="shared" si="30"/>
        <v>18-24</v>
      </c>
      <c r="K966" s="17" t="str">
        <f t="shared" si="31"/>
        <v>9-11</v>
      </c>
    </row>
    <row r="967" spans="1:11" x14ac:dyDescent="0.2">
      <c r="A967" s="4">
        <v>42</v>
      </c>
      <c r="B967" s="4">
        <v>13</v>
      </c>
      <c r="C967" t="s">
        <v>16</v>
      </c>
      <c r="D967" s="4">
        <v>0</v>
      </c>
      <c r="E967" s="3">
        <v>0.90966336929705005</v>
      </c>
      <c r="F967" s="4">
        <v>1</v>
      </c>
      <c r="G967" s="2">
        <v>536.42999999999995</v>
      </c>
      <c r="H967" s="2">
        <v>536.42999999999995</v>
      </c>
      <c r="I967" s="2">
        <v>536.42999999999995</v>
      </c>
      <c r="J967" s="2" t="str">
        <f t="shared" si="30"/>
        <v>35-44</v>
      </c>
      <c r="K967" s="17" t="str">
        <f t="shared" si="31"/>
        <v>12-15</v>
      </c>
    </row>
    <row r="968" spans="1:11" x14ac:dyDescent="0.2">
      <c r="A968" s="4">
        <v>67</v>
      </c>
      <c r="B968" s="4">
        <v>10</v>
      </c>
      <c r="C968" t="s">
        <v>8</v>
      </c>
      <c r="D968" s="4">
        <v>0</v>
      </c>
      <c r="E968" s="3">
        <v>0.699034341610968</v>
      </c>
      <c r="F968" s="4">
        <v>1</v>
      </c>
      <c r="G968" s="2">
        <v>1118.04</v>
      </c>
      <c r="H968" s="2">
        <v>1118.04</v>
      </c>
      <c r="I968" s="2">
        <v>1118.04</v>
      </c>
      <c r="J968" s="2" t="str">
        <f t="shared" si="30"/>
        <v>65-74</v>
      </c>
      <c r="K968" s="17" t="str">
        <f t="shared" si="31"/>
        <v>9-11</v>
      </c>
    </row>
    <row r="969" spans="1:11" x14ac:dyDescent="0.2">
      <c r="A969" s="4">
        <v>73</v>
      </c>
      <c r="B969" s="4">
        <v>2</v>
      </c>
      <c r="C969" t="s">
        <v>8</v>
      </c>
      <c r="D969" s="4">
        <v>0</v>
      </c>
      <c r="E969" s="3">
        <v>0.72733613452874102</v>
      </c>
      <c r="F969" s="4">
        <v>1</v>
      </c>
      <c r="G969" s="2">
        <v>1004.15</v>
      </c>
      <c r="H969" s="2">
        <v>1004.15</v>
      </c>
      <c r="I969" s="2">
        <v>1004.15</v>
      </c>
      <c r="J969" s="2" t="str">
        <f t="shared" si="30"/>
        <v>65-74</v>
      </c>
      <c r="K969" s="17" t="str">
        <f t="shared" si="31"/>
        <v>0-2</v>
      </c>
    </row>
    <row r="970" spans="1:11" x14ac:dyDescent="0.2">
      <c r="A970" s="4">
        <v>85</v>
      </c>
      <c r="B970" s="4">
        <v>4</v>
      </c>
      <c r="C970" t="s">
        <v>10</v>
      </c>
      <c r="D970" s="4">
        <v>1</v>
      </c>
      <c r="E970" s="3">
        <v>0.92139464092906598</v>
      </c>
      <c r="F970" s="4">
        <v>2</v>
      </c>
      <c r="G970" s="2">
        <v>1347.25</v>
      </c>
      <c r="H970" s="2">
        <v>673.63</v>
      </c>
      <c r="I970" s="2">
        <v>1347.25</v>
      </c>
      <c r="J970" s="2" t="str">
        <f t="shared" si="30"/>
        <v>75-90</v>
      </c>
      <c r="K970" s="17" t="str">
        <f t="shared" si="31"/>
        <v>3-5</v>
      </c>
    </row>
    <row r="971" spans="1:11" x14ac:dyDescent="0.2">
      <c r="A971" s="4">
        <v>72</v>
      </c>
      <c r="B971" s="4">
        <v>4</v>
      </c>
      <c r="C971" t="s">
        <v>8</v>
      </c>
      <c r="D971" s="4">
        <v>0</v>
      </c>
      <c r="E971" s="3">
        <v>0.88138949067797501</v>
      </c>
      <c r="F971" s="4">
        <v>1</v>
      </c>
      <c r="G971" s="2">
        <v>442.46</v>
      </c>
      <c r="H971" s="2">
        <v>442.46</v>
      </c>
      <c r="I971" s="2">
        <v>442.46</v>
      </c>
      <c r="J971" s="2" t="str">
        <f t="shared" si="30"/>
        <v>65-74</v>
      </c>
      <c r="K971" s="17" t="str">
        <f t="shared" si="31"/>
        <v>3-5</v>
      </c>
    </row>
    <row r="972" spans="1:11" x14ac:dyDescent="0.2">
      <c r="A972" s="4">
        <v>36</v>
      </c>
      <c r="B972" s="4">
        <v>15</v>
      </c>
      <c r="C972" t="s">
        <v>10</v>
      </c>
      <c r="D972" s="4">
        <v>0</v>
      </c>
      <c r="E972" s="3">
        <v>0.96988116065040197</v>
      </c>
      <c r="F972" s="4">
        <v>1</v>
      </c>
      <c r="G972" s="2">
        <v>777.56</v>
      </c>
      <c r="H972" s="2">
        <v>777.56</v>
      </c>
      <c r="I972" s="2">
        <v>777.56</v>
      </c>
      <c r="J972" s="2" t="str">
        <f t="shared" si="30"/>
        <v>35-44</v>
      </c>
      <c r="K972" s="17" t="str">
        <f t="shared" si="31"/>
        <v>12-15</v>
      </c>
    </row>
    <row r="973" spans="1:11" x14ac:dyDescent="0.2">
      <c r="A973" s="4">
        <v>54</v>
      </c>
      <c r="B973" s="4">
        <v>4</v>
      </c>
      <c r="C973" t="s">
        <v>8</v>
      </c>
      <c r="D973" s="4">
        <v>0</v>
      </c>
      <c r="E973" s="3">
        <v>0.65998734417371496</v>
      </c>
      <c r="F973" s="4">
        <v>1</v>
      </c>
      <c r="G973" s="2">
        <v>618.44000000000005</v>
      </c>
      <c r="H973" s="2">
        <v>618.44000000000005</v>
      </c>
      <c r="I973" s="2">
        <v>618.44000000000005</v>
      </c>
      <c r="J973" s="2" t="str">
        <f t="shared" si="30"/>
        <v>45-54</v>
      </c>
      <c r="K973" s="17" t="str">
        <f t="shared" si="31"/>
        <v>3-5</v>
      </c>
    </row>
    <row r="974" spans="1:11" x14ac:dyDescent="0.2">
      <c r="A974" s="4">
        <v>84</v>
      </c>
      <c r="B974" s="4">
        <v>13</v>
      </c>
      <c r="C974" t="s">
        <v>10</v>
      </c>
      <c r="D974" s="4">
        <v>0</v>
      </c>
      <c r="E974" s="3">
        <v>0.74099240917712506</v>
      </c>
      <c r="F974" s="4">
        <v>2</v>
      </c>
      <c r="G974" s="2">
        <v>2850.06</v>
      </c>
      <c r="H974" s="2">
        <v>1425.03</v>
      </c>
      <c r="I974" s="2">
        <v>2850.06</v>
      </c>
      <c r="J974" s="2" t="str">
        <f t="shared" si="30"/>
        <v>75-90</v>
      </c>
      <c r="K974" s="17" t="str">
        <f t="shared" si="31"/>
        <v>12-15</v>
      </c>
    </row>
    <row r="975" spans="1:11" x14ac:dyDescent="0.2">
      <c r="A975" s="4">
        <v>62</v>
      </c>
      <c r="B975" s="4">
        <v>3</v>
      </c>
      <c r="C975" t="s">
        <v>16</v>
      </c>
      <c r="D975" s="4">
        <v>2</v>
      </c>
      <c r="E975" s="3">
        <v>0.52823797182645604</v>
      </c>
      <c r="F975" s="4">
        <v>1</v>
      </c>
      <c r="G975" s="2">
        <v>887.25</v>
      </c>
      <c r="H975" s="2">
        <v>887.25</v>
      </c>
      <c r="I975" s="2">
        <v>887.25</v>
      </c>
      <c r="J975" s="2" t="str">
        <f t="shared" si="30"/>
        <v>55-64</v>
      </c>
      <c r="K975" s="17" t="str">
        <f t="shared" si="31"/>
        <v>3-5</v>
      </c>
    </row>
    <row r="976" spans="1:11" x14ac:dyDescent="0.2">
      <c r="A976" s="4">
        <v>27</v>
      </c>
      <c r="B976" s="4">
        <v>6</v>
      </c>
      <c r="C976" t="s">
        <v>10</v>
      </c>
      <c r="D976" s="4">
        <v>0</v>
      </c>
      <c r="E976" s="3">
        <v>0.81290500191971704</v>
      </c>
      <c r="F976" s="4">
        <v>1</v>
      </c>
      <c r="G976" s="2">
        <v>1112.72</v>
      </c>
      <c r="H976" s="2">
        <v>1112.72</v>
      </c>
      <c r="I976" s="2">
        <v>1112.72</v>
      </c>
      <c r="J976" s="2" t="str">
        <f t="shared" si="30"/>
        <v>25-34</v>
      </c>
      <c r="K976" s="17" t="str">
        <f t="shared" si="31"/>
        <v>6-8</v>
      </c>
    </row>
    <row r="977" spans="1:11" x14ac:dyDescent="0.2">
      <c r="A977" s="4">
        <v>30</v>
      </c>
      <c r="B977" s="4">
        <v>9</v>
      </c>
      <c r="C977" t="s">
        <v>10</v>
      </c>
      <c r="D977" s="4">
        <v>1</v>
      </c>
      <c r="E977" s="3">
        <v>0.85097532428335398</v>
      </c>
      <c r="F977" s="4">
        <v>1</v>
      </c>
      <c r="G977" s="2">
        <v>2111.31</v>
      </c>
      <c r="H977" s="2">
        <v>2111.31</v>
      </c>
      <c r="I977" s="2">
        <v>2111.31</v>
      </c>
      <c r="J977" s="2" t="str">
        <f t="shared" si="30"/>
        <v>25-34</v>
      </c>
      <c r="K977" s="17" t="str">
        <f t="shared" si="31"/>
        <v>9-11</v>
      </c>
    </row>
    <row r="978" spans="1:11" x14ac:dyDescent="0.2">
      <c r="A978" s="4">
        <v>65</v>
      </c>
      <c r="B978" s="4">
        <v>14</v>
      </c>
      <c r="C978" t="s">
        <v>10</v>
      </c>
      <c r="D978" s="4">
        <v>0</v>
      </c>
      <c r="E978" s="3">
        <v>0.67560485261492398</v>
      </c>
      <c r="F978" s="4">
        <v>1</v>
      </c>
      <c r="G978" s="2">
        <v>1584.26</v>
      </c>
      <c r="H978" s="2">
        <v>1584.26</v>
      </c>
      <c r="I978" s="2">
        <v>1584.26</v>
      </c>
      <c r="J978" s="2" t="str">
        <f t="shared" si="30"/>
        <v>65-74</v>
      </c>
      <c r="K978" s="17" t="str">
        <f t="shared" si="31"/>
        <v>12-15</v>
      </c>
    </row>
    <row r="979" spans="1:11" x14ac:dyDescent="0.2">
      <c r="A979" s="4">
        <v>88</v>
      </c>
      <c r="B979" s="4">
        <v>12</v>
      </c>
      <c r="C979" t="s">
        <v>10</v>
      </c>
      <c r="D979" s="4">
        <v>1</v>
      </c>
      <c r="E979" s="3">
        <v>0.92671613069251202</v>
      </c>
      <c r="F979" s="4">
        <v>2</v>
      </c>
      <c r="G979" s="2">
        <v>1831.63</v>
      </c>
      <c r="H979" s="2">
        <v>915.82</v>
      </c>
      <c r="I979" s="2">
        <v>1831.63</v>
      </c>
      <c r="J979" s="2" t="str">
        <f t="shared" si="30"/>
        <v>75-90</v>
      </c>
      <c r="K979" s="17" t="str">
        <f t="shared" si="31"/>
        <v>12-15</v>
      </c>
    </row>
    <row r="980" spans="1:11" x14ac:dyDescent="0.2">
      <c r="A980" s="4">
        <v>58</v>
      </c>
      <c r="B980" s="4">
        <v>0</v>
      </c>
      <c r="C980" t="s">
        <v>8</v>
      </c>
      <c r="D980" s="4">
        <v>2</v>
      </c>
      <c r="E980" s="3">
        <v>0.734749037306756</v>
      </c>
      <c r="F980" s="4">
        <v>1</v>
      </c>
      <c r="G980" s="2">
        <v>1188.29</v>
      </c>
      <c r="H980" s="2">
        <v>1188.29</v>
      </c>
      <c r="I980" s="2">
        <v>1188.29</v>
      </c>
      <c r="J980" s="2" t="str">
        <f t="shared" si="30"/>
        <v>55-64</v>
      </c>
      <c r="K980" s="17" t="str">
        <f t="shared" si="31"/>
        <v>0-2</v>
      </c>
    </row>
    <row r="981" spans="1:11" x14ac:dyDescent="0.2">
      <c r="A981" s="4">
        <v>40</v>
      </c>
      <c r="B981" s="4">
        <v>6</v>
      </c>
      <c r="C981" t="s">
        <v>8</v>
      </c>
      <c r="D981" s="4">
        <v>0</v>
      </c>
      <c r="E981" s="3">
        <v>0.631405298714526</v>
      </c>
      <c r="F981" s="4">
        <v>1</v>
      </c>
      <c r="G981" s="2">
        <v>502.73</v>
      </c>
      <c r="H981" s="2">
        <v>502.73</v>
      </c>
      <c r="I981" s="2">
        <v>502.73</v>
      </c>
      <c r="J981" s="2" t="str">
        <f t="shared" si="30"/>
        <v>35-44</v>
      </c>
      <c r="K981" s="17" t="str">
        <f t="shared" si="31"/>
        <v>6-8</v>
      </c>
    </row>
    <row r="982" spans="1:11" x14ac:dyDescent="0.2">
      <c r="A982" s="4">
        <v>71</v>
      </c>
      <c r="B982" s="4">
        <v>7</v>
      </c>
      <c r="C982" t="s">
        <v>8</v>
      </c>
      <c r="D982" s="4">
        <v>0</v>
      </c>
      <c r="E982" s="3">
        <v>0.91143117600586299</v>
      </c>
      <c r="F982" s="4">
        <v>2</v>
      </c>
      <c r="G982" s="2">
        <v>615.54</v>
      </c>
      <c r="H982" s="2">
        <v>307.77</v>
      </c>
      <c r="I982" s="2">
        <v>615.54</v>
      </c>
      <c r="J982" s="2" t="str">
        <f t="shared" si="30"/>
        <v>65-74</v>
      </c>
      <c r="K982" s="17" t="str">
        <f t="shared" si="31"/>
        <v>6-8</v>
      </c>
    </row>
    <row r="983" spans="1:11" x14ac:dyDescent="0.2">
      <c r="A983" s="4">
        <v>63</v>
      </c>
      <c r="B983" s="4">
        <v>2</v>
      </c>
      <c r="C983" t="s">
        <v>16</v>
      </c>
      <c r="D983" s="4">
        <v>1</v>
      </c>
      <c r="E983" s="3">
        <v>0.90701587824150898</v>
      </c>
      <c r="F983" s="4">
        <v>2</v>
      </c>
      <c r="G983" s="2">
        <v>1324.27</v>
      </c>
      <c r="H983" s="2">
        <v>662.14</v>
      </c>
      <c r="I983" s="2">
        <v>1324.27</v>
      </c>
      <c r="J983" s="2" t="str">
        <f t="shared" si="30"/>
        <v>55-64</v>
      </c>
      <c r="K983" s="17" t="str">
        <f t="shared" si="31"/>
        <v>0-2</v>
      </c>
    </row>
    <row r="984" spans="1:11" x14ac:dyDescent="0.2">
      <c r="A984" s="4">
        <v>73</v>
      </c>
      <c r="B984" s="4">
        <v>4</v>
      </c>
      <c r="C984" t="s">
        <v>10</v>
      </c>
      <c r="D984" s="4">
        <v>0</v>
      </c>
      <c r="E984" s="3">
        <v>0.905082333600149</v>
      </c>
      <c r="F984" s="4">
        <v>1</v>
      </c>
      <c r="G984" s="2">
        <v>1811.7</v>
      </c>
      <c r="H984" s="2">
        <v>1811.7</v>
      </c>
      <c r="I984" s="2">
        <v>1811.7</v>
      </c>
      <c r="J984" s="2" t="str">
        <f t="shared" si="30"/>
        <v>65-74</v>
      </c>
      <c r="K984" s="17" t="str">
        <f t="shared" si="31"/>
        <v>3-5</v>
      </c>
    </row>
    <row r="985" spans="1:11" x14ac:dyDescent="0.2">
      <c r="A985" s="4">
        <v>68</v>
      </c>
      <c r="B985" s="4">
        <v>10</v>
      </c>
      <c r="C985" t="s">
        <v>8</v>
      </c>
      <c r="D985" s="4">
        <v>2</v>
      </c>
      <c r="E985" s="3">
        <v>0.72251398733351402</v>
      </c>
      <c r="F985" s="4">
        <v>2</v>
      </c>
      <c r="G985" s="2">
        <v>2403.04</v>
      </c>
      <c r="H985" s="2">
        <v>1201.52</v>
      </c>
      <c r="I985" s="2">
        <v>2403.04</v>
      </c>
      <c r="J985" s="2" t="str">
        <f t="shared" si="30"/>
        <v>65-74</v>
      </c>
      <c r="K985" s="17" t="str">
        <f t="shared" si="31"/>
        <v>9-11</v>
      </c>
    </row>
    <row r="986" spans="1:11" x14ac:dyDescent="0.2">
      <c r="A986" s="4">
        <v>66</v>
      </c>
      <c r="B986" s="4">
        <v>9</v>
      </c>
      <c r="C986" t="s">
        <v>16</v>
      </c>
      <c r="D986" s="4">
        <v>2</v>
      </c>
      <c r="E986" s="3">
        <v>0.93260834575630702</v>
      </c>
      <c r="F986" s="4">
        <v>2</v>
      </c>
      <c r="G986" s="2">
        <v>3264.89</v>
      </c>
      <c r="H986" s="2">
        <v>1632.44</v>
      </c>
      <c r="I986" s="2">
        <v>3264.89</v>
      </c>
      <c r="J986" s="2" t="str">
        <f t="shared" si="30"/>
        <v>65-74</v>
      </c>
      <c r="K986" s="17" t="str">
        <f t="shared" si="31"/>
        <v>9-11</v>
      </c>
    </row>
    <row r="987" spans="1:11" x14ac:dyDescent="0.2">
      <c r="A987" s="4">
        <v>25</v>
      </c>
      <c r="B987" s="4">
        <v>14</v>
      </c>
      <c r="C987" t="s">
        <v>8</v>
      </c>
      <c r="D987" s="4">
        <v>0</v>
      </c>
      <c r="E987" s="3">
        <v>0.98042614106088899</v>
      </c>
      <c r="F987" s="4">
        <v>1</v>
      </c>
      <c r="G987" s="2">
        <v>517.47</v>
      </c>
      <c r="H987" s="2">
        <v>517.47</v>
      </c>
      <c r="I987" s="2">
        <v>517.47</v>
      </c>
      <c r="J987" s="2" t="str">
        <f t="shared" si="30"/>
        <v>25-34</v>
      </c>
      <c r="K987" s="17" t="str">
        <f t="shared" si="31"/>
        <v>12-15</v>
      </c>
    </row>
    <row r="988" spans="1:11" x14ac:dyDescent="0.2">
      <c r="A988" s="4">
        <v>57</v>
      </c>
      <c r="B988" s="4">
        <v>11</v>
      </c>
      <c r="C988" t="s">
        <v>8</v>
      </c>
      <c r="D988" s="4">
        <v>0</v>
      </c>
      <c r="E988" s="3">
        <v>0.64307507104240402</v>
      </c>
      <c r="F988" s="4">
        <v>1</v>
      </c>
      <c r="G988" s="2">
        <v>392.05</v>
      </c>
      <c r="H988" s="2">
        <v>392.05</v>
      </c>
      <c r="I988" s="2">
        <v>392.05</v>
      </c>
      <c r="J988" s="2" t="str">
        <f t="shared" si="30"/>
        <v>55-64</v>
      </c>
      <c r="K988" s="17" t="str">
        <f t="shared" si="31"/>
        <v>9-11</v>
      </c>
    </row>
    <row r="989" spans="1:11" x14ac:dyDescent="0.2">
      <c r="A989" s="4">
        <v>46</v>
      </c>
      <c r="B989" s="4">
        <v>8</v>
      </c>
      <c r="C989" t="s">
        <v>8</v>
      </c>
      <c r="D989" s="4">
        <v>0</v>
      </c>
      <c r="E989" s="3">
        <v>0.58210455684456996</v>
      </c>
      <c r="F989" s="4">
        <v>1</v>
      </c>
      <c r="G989" s="2">
        <v>426.86</v>
      </c>
      <c r="H989" s="2">
        <v>426.86</v>
      </c>
      <c r="I989" s="2">
        <v>426.86</v>
      </c>
      <c r="J989" s="2" t="str">
        <f t="shared" si="30"/>
        <v>45-54</v>
      </c>
      <c r="K989" s="17" t="str">
        <f t="shared" si="31"/>
        <v>6-8</v>
      </c>
    </row>
    <row r="990" spans="1:11" x14ac:dyDescent="0.2">
      <c r="A990" s="4">
        <v>80</v>
      </c>
      <c r="B990" s="4">
        <v>15</v>
      </c>
      <c r="C990" t="s">
        <v>16</v>
      </c>
      <c r="D990" s="4">
        <v>0</v>
      </c>
      <c r="E990" s="3">
        <v>0.753862212179229</v>
      </c>
      <c r="F990" s="4">
        <v>2</v>
      </c>
      <c r="G990" s="2">
        <v>2195.25</v>
      </c>
      <c r="H990" s="2">
        <v>1097.6199999999999</v>
      </c>
      <c r="I990" s="2">
        <v>2195.25</v>
      </c>
      <c r="J990" s="2" t="str">
        <f t="shared" si="30"/>
        <v>75-90</v>
      </c>
      <c r="K990" s="17" t="str">
        <f t="shared" si="31"/>
        <v>12-15</v>
      </c>
    </row>
    <row r="991" spans="1:11" x14ac:dyDescent="0.2">
      <c r="A991" s="4">
        <v>85</v>
      </c>
      <c r="B991" s="4">
        <v>10</v>
      </c>
      <c r="C991" t="s">
        <v>16</v>
      </c>
      <c r="D991" s="4">
        <v>0</v>
      </c>
      <c r="E991" s="3">
        <v>0.83889652171637896</v>
      </c>
      <c r="F991" s="4">
        <v>1</v>
      </c>
      <c r="G991" s="2">
        <v>1768.96</v>
      </c>
      <c r="H991" s="2">
        <v>1768.96</v>
      </c>
      <c r="I991" s="2">
        <v>1768.96</v>
      </c>
      <c r="J991" s="2" t="str">
        <f t="shared" si="30"/>
        <v>75-90</v>
      </c>
      <c r="K991" s="17" t="str">
        <f t="shared" si="31"/>
        <v>9-11</v>
      </c>
    </row>
    <row r="992" spans="1:11" x14ac:dyDescent="0.2">
      <c r="A992" s="4">
        <v>50</v>
      </c>
      <c r="B992" s="4">
        <v>6</v>
      </c>
      <c r="C992" t="s">
        <v>8</v>
      </c>
      <c r="D992" s="4">
        <v>0</v>
      </c>
      <c r="E992" s="3">
        <v>0.61109112517442599</v>
      </c>
      <c r="F992" s="4">
        <v>1</v>
      </c>
      <c r="G992" s="2">
        <v>802.37</v>
      </c>
      <c r="H992" s="2">
        <v>802.37</v>
      </c>
      <c r="I992" s="2">
        <v>802.37</v>
      </c>
      <c r="J992" s="2" t="str">
        <f t="shared" si="30"/>
        <v>45-54</v>
      </c>
      <c r="K992" s="17" t="str">
        <f t="shared" si="31"/>
        <v>6-8</v>
      </c>
    </row>
    <row r="993" spans="1:11" x14ac:dyDescent="0.2">
      <c r="A993" s="4">
        <v>67</v>
      </c>
      <c r="B993" s="4">
        <v>5</v>
      </c>
      <c r="C993" t="s">
        <v>10</v>
      </c>
      <c r="D993" s="4">
        <v>0</v>
      </c>
      <c r="E993" s="3">
        <v>0.62161002913489904</v>
      </c>
      <c r="F993" s="4">
        <v>1</v>
      </c>
      <c r="G993" s="2">
        <v>947.76</v>
      </c>
      <c r="H993" s="2">
        <v>947.76</v>
      </c>
      <c r="I993" s="2">
        <v>947.76</v>
      </c>
      <c r="J993" s="2" t="str">
        <f t="shared" si="30"/>
        <v>65-74</v>
      </c>
      <c r="K993" s="17" t="str">
        <f t="shared" si="31"/>
        <v>3-5</v>
      </c>
    </row>
    <row r="994" spans="1:11" x14ac:dyDescent="0.2">
      <c r="A994" s="4">
        <v>80</v>
      </c>
      <c r="B994" s="4">
        <v>1</v>
      </c>
      <c r="C994" t="s">
        <v>8</v>
      </c>
      <c r="D994" s="4">
        <v>0</v>
      </c>
      <c r="E994" s="3">
        <v>0.90333917655516405</v>
      </c>
      <c r="F994" s="4">
        <v>1</v>
      </c>
      <c r="G994" s="2">
        <v>664.91</v>
      </c>
      <c r="H994" s="2">
        <v>664.91</v>
      </c>
      <c r="I994" s="2">
        <v>664.91</v>
      </c>
      <c r="J994" s="2" t="str">
        <f t="shared" si="30"/>
        <v>75-90</v>
      </c>
      <c r="K994" s="17" t="str">
        <f t="shared" si="31"/>
        <v>0-2</v>
      </c>
    </row>
    <row r="995" spans="1:11" x14ac:dyDescent="0.2">
      <c r="A995" s="4">
        <v>24</v>
      </c>
      <c r="B995" s="4">
        <v>7</v>
      </c>
      <c r="C995" t="s">
        <v>16</v>
      </c>
      <c r="D995" s="4">
        <v>1</v>
      </c>
      <c r="E995" s="3">
        <v>0.568467786768451</v>
      </c>
      <c r="F995" s="4">
        <v>1</v>
      </c>
      <c r="G995" s="2">
        <v>429.14</v>
      </c>
      <c r="H995" s="2">
        <v>429.14</v>
      </c>
      <c r="I995" s="2">
        <v>429.14</v>
      </c>
      <c r="J995" s="2" t="str">
        <f t="shared" si="30"/>
        <v>18-24</v>
      </c>
      <c r="K995" s="17" t="str">
        <f t="shared" si="31"/>
        <v>6-8</v>
      </c>
    </row>
    <row r="996" spans="1:11" x14ac:dyDescent="0.2">
      <c r="A996" s="4">
        <v>72</v>
      </c>
      <c r="B996" s="4">
        <v>8</v>
      </c>
      <c r="C996" t="s">
        <v>8</v>
      </c>
      <c r="D996" s="4">
        <v>1</v>
      </c>
      <c r="E996" s="3">
        <v>0.94081077713053696</v>
      </c>
      <c r="F996" s="4">
        <v>1</v>
      </c>
      <c r="G996" s="2">
        <v>723.11</v>
      </c>
      <c r="H996" s="2">
        <v>723.11</v>
      </c>
      <c r="I996" s="2">
        <v>723.11</v>
      </c>
      <c r="J996" s="2" t="str">
        <f t="shared" si="30"/>
        <v>65-74</v>
      </c>
      <c r="K996" s="17" t="str">
        <f t="shared" si="31"/>
        <v>6-8</v>
      </c>
    </row>
    <row r="997" spans="1:11" x14ac:dyDescent="0.2">
      <c r="A997" s="4">
        <v>66</v>
      </c>
      <c r="B997" s="4">
        <v>14</v>
      </c>
      <c r="C997" t="s">
        <v>16</v>
      </c>
      <c r="D997" s="4">
        <v>2</v>
      </c>
      <c r="E997" s="3">
        <v>0.69447466125711799</v>
      </c>
      <c r="F997" s="4">
        <v>1</v>
      </c>
      <c r="G997" s="2">
        <v>1496.78</v>
      </c>
      <c r="H997" s="2">
        <v>1496.78</v>
      </c>
      <c r="I997" s="2">
        <v>1496.78</v>
      </c>
      <c r="J997" s="2" t="str">
        <f t="shared" si="30"/>
        <v>65-74</v>
      </c>
      <c r="K997" s="17" t="str">
        <f t="shared" si="31"/>
        <v>12-15</v>
      </c>
    </row>
    <row r="998" spans="1:11" x14ac:dyDescent="0.2">
      <c r="A998" s="4">
        <v>81</v>
      </c>
      <c r="B998" s="4">
        <v>5</v>
      </c>
      <c r="C998" t="s">
        <v>16</v>
      </c>
      <c r="D998" s="4">
        <v>0</v>
      </c>
      <c r="E998" s="3">
        <v>0.81142291275318701</v>
      </c>
      <c r="F998" s="4">
        <v>1</v>
      </c>
      <c r="G998" s="2">
        <v>580.73</v>
      </c>
      <c r="H998" s="2">
        <v>580.73</v>
      </c>
      <c r="I998" s="2">
        <v>580.73</v>
      </c>
      <c r="J998" s="2" t="str">
        <f t="shared" si="30"/>
        <v>75-90</v>
      </c>
      <c r="K998" s="17" t="str">
        <f t="shared" si="31"/>
        <v>3-5</v>
      </c>
    </row>
    <row r="999" spans="1:11" x14ac:dyDescent="0.2">
      <c r="A999" s="4">
        <v>73</v>
      </c>
      <c r="B999" s="4">
        <v>8</v>
      </c>
      <c r="C999" t="s">
        <v>10</v>
      </c>
      <c r="D999" s="4">
        <v>0</v>
      </c>
      <c r="E999" s="3">
        <v>0.88744877057615701</v>
      </c>
      <c r="F999" s="4">
        <v>3</v>
      </c>
      <c r="G999" s="2">
        <v>1213.78</v>
      </c>
      <c r="H999" s="2">
        <v>404.59</v>
      </c>
      <c r="I999" s="2">
        <v>1213.78</v>
      </c>
      <c r="J999" s="2" t="str">
        <f t="shared" si="30"/>
        <v>65-74</v>
      </c>
      <c r="K999" s="17" t="str">
        <f t="shared" si="31"/>
        <v>6-8</v>
      </c>
    </row>
    <row r="1000" spans="1:11" x14ac:dyDescent="0.2">
      <c r="A1000" s="4">
        <v>38</v>
      </c>
      <c r="B1000" s="4">
        <v>0</v>
      </c>
      <c r="C1000" t="s">
        <v>8</v>
      </c>
      <c r="D1000" s="4">
        <v>3</v>
      </c>
      <c r="E1000" s="3">
        <v>0.53557309380266804</v>
      </c>
      <c r="F1000" s="4">
        <v>1</v>
      </c>
      <c r="G1000" s="2">
        <v>1314.08</v>
      </c>
      <c r="H1000" s="2">
        <v>1314.08</v>
      </c>
      <c r="I1000" s="2">
        <v>1314.08</v>
      </c>
      <c r="J1000" s="2" t="str">
        <f t="shared" si="30"/>
        <v>35-44</v>
      </c>
      <c r="K1000" s="17" t="str">
        <f t="shared" si="31"/>
        <v>0-2</v>
      </c>
    </row>
    <row r="1001" spans="1:11" x14ac:dyDescent="0.2">
      <c r="A1001" s="4">
        <v>28</v>
      </c>
      <c r="B1001" s="4">
        <v>4</v>
      </c>
      <c r="C1001" t="s">
        <v>16</v>
      </c>
      <c r="D1001" s="4">
        <v>0</v>
      </c>
      <c r="E1001" s="3">
        <v>0.83709076838567897</v>
      </c>
      <c r="F1001" s="4">
        <v>1</v>
      </c>
      <c r="G1001" s="2">
        <v>165.49</v>
      </c>
      <c r="H1001" s="2">
        <v>165.49</v>
      </c>
      <c r="I1001" s="2">
        <v>165.49</v>
      </c>
      <c r="J1001" s="2" t="str">
        <f t="shared" si="30"/>
        <v>25-34</v>
      </c>
      <c r="K1001" s="17" t="str">
        <f t="shared" si="31"/>
        <v>3-5</v>
      </c>
    </row>
    <row r="1002" spans="1:11" x14ac:dyDescent="0.2">
      <c r="A1002" s="4">
        <v>74</v>
      </c>
      <c r="B1002" s="4">
        <v>0</v>
      </c>
      <c r="C1002" t="s">
        <v>16</v>
      </c>
      <c r="D1002" s="4">
        <v>0</v>
      </c>
      <c r="E1002" s="3">
        <v>0.51956753863487404</v>
      </c>
      <c r="F1002" s="4">
        <v>2</v>
      </c>
      <c r="G1002" s="2">
        <v>1404.05</v>
      </c>
      <c r="H1002" s="2">
        <v>702.02</v>
      </c>
      <c r="I1002" s="2">
        <v>1404.05</v>
      </c>
      <c r="J1002" s="2" t="str">
        <f t="shared" si="30"/>
        <v>65-74</v>
      </c>
      <c r="K1002" s="17" t="str">
        <f t="shared" si="31"/>
        <v>0-2</v>
      </c>
    </row>
    <row r="1003" spans="1:11" x14ac:dyDescent="0.2">
      <c r="A1003" s="4">
        <v>85</v>
      </c>
      <c r="B1003" s="4">
        <v>1</v>
      </c>
      <c r="C1003" t="s">
        <v>10</v>
      </c>
      <c r="D1003" s="4">
        <v>1</v>
      </c>
      <c r="E1003" s="3">
        <v>0.77200287149753399</v>
      </c>
      <c r="F1003" s="4">
        <v>1</v>
      </c>
      <c r="G1003" s="2">
        <v>4375.9399999999996</v>
      </c>
      <c r="H1003" s="2">
        <v>4375.9399999999996</v>
      </c>
      <c r="I1003" s="2">
        <v>4375.9399999999996</v>
      </c>
      <c r="J1003" s="2" t="str">
        <f t="shared" si="30"/>
        <v>75-90</v>
      </c>
      <c r="K1003" s="17" t="str">
        <f t="shared" si="31"/>
        <v>0-2</v>
      </c>
    </row>
    <row r="1004" spans="1:11" x14ac:dyDescent="0.2">
      <c r="A1004" s="4">
        <v>77</v>
      </c>
      <c r="B1004" s="4">
        <v>13</v>
      </c>
      <c r="C1004" t="s">
        <v>16</v>
      </c>
      <c r="D1004" s="4">
        <v>0</v>
      </c>
      <c r="E1004" s="3">
        <v>0.92416396376211196</v>
      </c>
      <c r="F1004" s="4">
        <v>2</v>
      </c>
      <c r="G1004" s="2">
        <v>1160.25</v>
      </c>
      <c r="H1004" s="2">
        <v>580.12</v>
      </c>
      <c r="I1004" s="2">
        <v>1160.25</v>
      </c>
      <c r="J1004" s="2" t="str">
        <f t="shared" si="30"/>
        <v>75-90</v>
      </c>
      <c r="K1004" s="17" t="str">
        <f t="shared" si="31"/>
        <v>12-15</v>
      </c>
    </row>
    <row r="1005" spans="1:11" x14ac:dyDescent="0.2">
      <c r="A1005" s="4">
        <v>86</v>
      </c>
      <c r="B1005" s="4">
        <v>7</v>
      </c>
      <c r="C1005" t="s">
        <v>8</v>
      </c>
      <c r="D1005" s="4">
        <v>0</v>
      </c>
      <c r="E1005" s="3">
        <v>0.70539556641597301</v>
      </c>
      <c r="F1005" s="4">
        <v>1</v>
      </c>
      <c r="G1005" s="2">
        <v>571.84</v>
      </c>
      <c r="H1005" s="2">
        <v>571.84</v>
      </c>
      <c r="I1005" s="2">
        <v>571.84</v>
      </c>
      <c r="J1005" s="2" t="str">
        <f t="shared" si="30"/>
        <v>75-90</v>
      </c>
      <c r="K1005" s="17" t="str">
        <f t="shared" si="31"/>
        <v>6-8</v>
      </c>
    </row>
    <row r="1006" spans="1:11" x14ac:dyDescent="0.2">
      <c r="A1006" s="4">
        <v>65</v>
      </c>
      <c r="B1006" s="4">
        <v>12</v>
      </c>
      <c r="C1006" t="s">
        <v>16</v>
      </c>
      <c r="D1006" s="4">
        <v>0</v>
      </c>
      <c r="E1006" s="3">
        <v>0.63816080417018395</v>
      </c>
      <c r="F1006" s="4">
        <v>1</v>
      </c>
      <c r="G1006" s="2">
        <v>1199.31</v>
      </c>
      <c r="H1006" s="2">
        <v>1199.31</v>
      </c>
      <c r="I1006" s="2">
        <v>1199.31</v>
      </c>
      <c r="J1006" s="2" t="str">
        <f t="shared" si="30"/>
        <v>65-74</v>
      </c>
      <c r="K1006" s="17" t="str">
        <f t="shared" si="31"/>
        <v>12-15</v>
      </c>
    </row>
    <row r="1007" spans="1:11" x14ac:dyDescent="0.2">
      <c r="A1007" s="4">
        <v>54</v>
      </c>
      <c r="B1007" s="4">
        <v>4</v>
      </c>
      <c r="C1007" t="s">
        <v>8</v>
      </c>
      <c r="D1007" s="4">
        <v>1</v>
      </c>
      <c r="E1007" s="3">
        <v>0.51263780239969503</v>
      </c>
      <c r="F1007" s="4">
        <v>1</v>
      </c>
      <c r="G1007" s="2">
        <v>918.05</v>
      </c>
      <c r="H1007" s="2">
        <v>918.05</v>
      </c>
      <c r="I1007" s="2">
        <v>918.05</v>
      </c>
      <c r="J1007" s="2" t="str">
        <f t="shared" si="30"/>
        <v>45-54</v>
      </c>
      <c r="K1007" s="17" t="str">
        <f t="shared" si="31"/>
        <v>3-5</v>
      </c>
    </row>
    <row r="1008" spans="1:11" x14ac:dyDescent="0.2">
      <c r="A1008" s="4">
        <v>81</v>
      </c>
      <c r="B1008" s="4">
        <v>0</v>
      </c>
      <c r="C1008" t="s">
        <v>8</v>
      </c>
      <c r="D1008" s="4">
        <v>3</v>
      </c>
      <c r="E1008" s="3">
        <v>0.61734835221432105</v>
      </c>
      <c r="F1008" s="4">
        <v>1</v>
      </c>
      <c r="G1008" s="2">
        <v>7352.02</v>
      </c>
      <c r="H1008" s="2">
        <v>7352.02</v>
      </c>
      <c r="I1008" s="2">
        <v>7352.02</v>
      </c>
      <c r="J1008" s="2" t="str">
        <f t="shared" si="30"/>
        <v>75-90</v>
      </c>
      <c r="K1008" s="17" t="str">
        <f t="shared" si="31"/>
        <v>0-2</v>
      </c>
    </row>
    <row r="1009" spans="1:11" x14ac:dyDescent="0.2">
      <c r="A1009" s="4">
        <v>78</v>
      </c>
      <c r="B1009" s="4">
        <v>9</v>
      </c>
      <c r="C1009" t="s">
        <v>8</v>
      </c>
      <c r="D1009" s="4">
        <v>0</v>
      </c>
      <c r="E1009" s="3">
        <v>0.67913794599007804</v>
      </c>
      <c r="F1009" s="4">
        <v>1</v>
      </c>
      <c r="G1009" s="2">
        <v>1995.51</v>
      </c>
      <c r="H1009" s="2">
        <v>1995.51</v>
      </c>
      <c r="I1009" s="2">
        <v>1995.51</v>
      </c>
      <c r="J1009" s="2" t="str">
        <f t="shared" si="30"/>
        <v>75-90</v>
      </c>
      <c r="K1009" s="17" t="str">
        <f t="shared" si="31"/>
        <v>9-11</v>
      </c>
    </row>
    <row r="1010" spans="1:11" x14ac:dyDescent="0.2">
      <c r="A1010" s="4">
        <v>89</v>
      </c>
      <c r="B1010" s="4">
        <v>15</v>
      </c>
      <c r="C1010" t="s">
        <v>10</v>
      </c>
      <c r="D1010" s="4">
        <v>0</v>
      </c>
      <c r="E1010" s="3">
        <v>0.85968229314312306</v>
      </c>
      <c r="F1010" s="4">
        <v>1</v>
      </c>
      <c r="G1010" s="2">
        <v>1576.55</v>
      </c>
      <c r="H1010" s="2">
        <v>1576.55</v>
      </c>
      <c r="I1010" s="2">
        <v>1576.55</v>
      </c>
      <c r="J1010" s="2" t="str">
        <f t="shared" si="30"/>
        <v>75-90</v>
      </c>
      <c r="K1010" s="17" t="str">
        <f t="shared" si="31"/>
        <v>12-15</v>
      </c>
    </row>
    <row r="1011" spans="1:11" x14ac:dyDescent="0.2">
      <c r="A1011" s="4">
        <v>66</v>
      </c>
      <c r="B1011" s="4">
        <v>13</v>
      </c>
      <c r="C1011" t="s">
        <v>8</v>
      </c>
      <c r="D1011" s="4">
        <v>0</v>
      </c>
      <c r="E1011" s="3">
        <v>0.63353673601522997</v>
      </c>
      <c r="F1011" s="4">
        <v>1</v>
      </c>
      <c r="G1011" s="2">
        <v>1699.32</v>
      </c>
      <c r="H1011" s="2">
        <v>1699.32</v>
      </c>
      <c r="I1011" s="2">
        <v>1699.32</v>
      </c>
      <c r="J1011" s="2" t="str">
        <f t="shared" si="30"/>
        <v>65-74</v>
      </c>
      <c r="K1011" s="17" t="str">
        <f t="shared" si="31"/>
        <v>12-15</v>
      </c>
    </row>
    <row r="1012" spans="1:11" x14ac:dyDescent="0.2">
      <c r="A1012" s="4">
        <v>64</v>
      </c>
      <c r="B1012" s="4">
        <v>9</v>
      </c>
      <c r="C1012" t="s">
        <v>10</v>
      </c>
      <c r="D1012" s="4">
        <v>1</v>
      </c>
      <c r="E1012" s="3">
        <v>0.60452628543134801</v>
      </c>
      <c r="F1012" s="4">
        <v>2</v>
      </c>
      <c r="G1012" s="2">
        <v>1617.62</v>
      </c>
      <c r="H1012" s="2">
        <v>808.81</v>
      </c>
      <c r="I1012" s="2">
        <v>1617.62</v>
      </c>
      <c r="J1012" s="2" t="str">
        <f t="shared" si="30"/>
        <v>55-64</v>
      </c>
      <c r="K1012" s="17" t="str">
        <f t="shared" si="31"/>
        <v>9-11</v>
      </c>
    </row>
    <row r="1013" spans="1:11" x14ac:dyDescent="0.2">
      <c r="A1013" s="4">
        <v>21</v>
      </c>
      <c r="B1013" s="4">
        <v>5</v>
      </c>
      <c r="C1013" t="s">
        <v>8</v>
      </c>
      <c r="D1013" s="4">
        <v>0</v>
      </c>
      <c r="E1013" s="3">
        <v>0.90581891743931897</v>
      </c>
      <c r="F1013" s="4">
        <v>1</v>
      </c>
      <c r="G1013" s="2">
        <v>280.64999999999998</v>
      </c>
      <c r="H1013" s="2">
        <v>280.64999999999998</v>
      </c>
      <c r="I1013" s="2">
        <v>280.64999999999998</v>
      </c>
      <c r="J1013" s="2" t="str">
        <f t="shared" si="30"/>
        <v>18-24</v>
      </c>
      <c r="K1013" s="17" t="str">
        <f t="shared" si="31"/>
        <v>3-5</v>
      </c>
    </row>
    <row r="1014" spans="1:11" x14ac:dyDescent="0.2">
      <c r="A1014" s="4">
        <v>79</v>
      </c>
      <c r="B1014" s="4">
        <v>2</v>
      </c>
      <c r="C1014" t="s">
        <v>10</v>
      </c>
      <c r="D1014" s="4">
        <v>1</v>
      </c>
      <c r="E1014" s="3">
        <v>0.89923410676419702</v>
      </c>
      <c r="F1014" s="4">
        <v>1</v>
      </c>
      <c r="G1014" s="2">
        <v>1347.42</v>
      </c>
      <c r="H1014" s="2">
        <v>1347.42</v>
      </c>
      <c r="I1014" s="2">
        <v>1347.42</v>
      </c>
      <c r="J1014" s="2" t="str">
        <f t="shared" si="30"/>
        <v>75-90</v>
      </c>
      <c r="K1014" s="17" t="str">
        <f t="shared" si="31"/>
        <v>0-2</v>
      </c>
    </row>
    <row r="1015" spans="1:11" x14ac:dyDescent="0.2">
      <c r="A1015" s="4">
        <v>47</v>
      </c>
      <c r="B1015" s="4">
        <v>15</v>
      </c>
      <c r="C1015" t="s">
        <v>16</v>
      </c>
      <c r="D1015" s="4">
        <v>0</v>
      </c>
      <c r="E1015" s="3">
        <v>0.96083094982896</v>
      </c>
      <c r="F1015" s="4">
        <v>1</v>
      </c>
      <c r="G1015" s="2">
        <v>1315.87</v>
      </c>
      <c r="H1015" s="2">
        <v>1315.87</v>
      </c>
      <c r="I1015" s="2">
        <v>1315.87</v>
      </c>
      <c r="J1015" s="2" t="str">
        <f t="shared" si="30"/>
        <v>45-54</v>
      </c>
      <c r="K1015" s="17" t="str">
        <f t="shared" si="31"/>
        <v>12-15</v>
      </c>
    </row>
    <row r="1016" spans="1:11" x14ac:dyDescent="0.2">
      <c r="A1016" s="4">
        <v>81</v>
      </c>
      <c r="B1016" s="4">
        <v>2</v>
      </c>
      <c r="C1016" t="s">
        <v>10</v>
      </c>
      <c r="D1016" s="4">
        <v>1</v>
      </c>
      <c r="E1016" s="3">
        <v>0.88581765536218904</v>
      </c>
      <c r="F1016" s="4">
        <v>3</v>
      </c>
      <c r="G1016" s="2">
        <v>3210.23</v>
      </c>
      <c r="H1016" s="2">
        <v>1070.08</v>
      </c>
      <c r="I1016" s="2">
        <v>3210.23</v>
      </c>
      <c r="J1016" s="2" t="str">
        <f t="shared" si="30"/>
        <v>75-90</v>
      </c>
      <c r="K1016" s="17" t="str">
        <f t="shared" si="31"/>
        <v>0-2</v>
      </c>
    </row>
    <row r="1017" spans="1:11" x14ac:dyDescent="0.2">
      <c r="A1017" s="4">
        <v>87</v>
      </c>
      <c r="B1017" s="4">
        <v>6</v>
      </c>
      <c r="C1017" t="s">
        <v>8</v>
      </c>
      <c r="D1017" s="4">
        <v>1</v>
      </c>
      <c r="E1017" s="3">
        <v>0.536241582827643</v>
      </c>
      <c r="F1017" s="4">
        <v>3</v>
      </c>
      <c r="G1017" s="2">
        <v>817.35</v>
      </c>
      <c r="H1017" s="2">
        <v>272.45</v>
      </c>
      <c r="I1017" s="2">
        <v>817.35</v>
      </c>
      <c r="J1017" s="2" t="str">
        <f t="shared" si="30"/>
        <v>75-90</v>
      </c>
      <c r="K1017" s="17" t="str">
        <f t="shared" si="31"/>
        <v>6-8</v>
      </c>
    </row>
    <row r="1018" spans="1:11" x14ac:dyDescent="0.2">
      <c r="A1018" s="4">
        <v>48</v>
      </c>
      <c r="B1018" s="4">
        <v>14</v>
      </c>
      <c r="C1018" t="s">
        <v>16</v>
      </c>
      <c r="D1018" s="4">
        <v>0</v>
      </c>
      <c r="E1018" s="3">
        <v>0.91836533253081098</v>
      </c>
      <c r="F1018" s="4">
        <v>1</v>
      </c>
      <c r="G1018" s="2">
        <v>712.74</v>
      </c>
      <c r="H1018" s="2">
        <v>712.74</v>
      </c>
      <c r="I1018" s="2">
        <v>712.74</v>
      </c>
      <c r="J1018" s="2" t="str">
        <f t="shared" si="30"/>
        <v>45-54</v>
      </c>
      <c r="K1018" s="17" t="str">
        <f t="shared" si="31"/>
        <v>12-15</v>
      </c>
    </row>
    <row r="1019" spans="1:11" x14ac:dyDescent="0.2">
      <c r="A1019" s="4">
        <v>72</v>
      </c>
      <c r="B1019" s="4">
        <v>3</v>
      </c>
      <c r="C1019" t="s">
        <v>16</v>
      </c>
      <c r="D1019" s="4">
        <v>0</v>
      </c>
      <c r="E1019" s="3">
        <v>0.54255704896058898</v>
      </c>
      <c r="F1019" s="4">
        <v>2</v>
      </c>
      <c r="G1019" s="2">
        <v>868.37</v>
      </c>
      <c r="H1019" s="2">
        <v>434.18</v>
      </c>
      <c r="I1019" s="2">
        <v>868.37</v>
      </c>
      <c r="J1019" s="2" t="str">
        <f t="shared" si="30"/>
        <v>65-74</v>
      </c>
      <c r="K1019" s="17" t="str">
        <f t="shared" si="31"/>
        <v>3-5</v>
      </c>
    </row>
    <row r="1020" spans="1:11" x14ac:dyDescent="0.2">
      <c r="A1020" s="4">
        <v>24</v>
      </c>
      <c r="B1020" s="4">
        <v>8</v>
      </c>
      <c r="C1020" t="s">
        <v>10</v>
      </c>
      <c r="D1020" s="4">
        <v>1</v>
      </c>
      <c r="E1020" s="3">
        <v>0.59582372673321504</v>
      </c>
      <c r="F1020" s="4">
        <v>1</v>
      </c>
      <c r="G1020" s="2">
        <v>728.65</v>
      </c>
      <c r="H1020" s="2">
        <v>728.65</v>
      </c>
      <c r="I1020" s="2">
        <v>728.65</v>
      </c>
      <c r="J1020" s="2" t="str">
        <f t="shared" si="30"/>
        <v>18-24</v>
      </c>
      <c r="K1020" s="17" t="str">
        <f t="shared" si="31"/>
        <v>6-8</v>
      </c>
    </row>
    <row r="1021" spans="1:11" x14ac:dyDescent="0.2">
      <c r="A1021" s="4">
        <v>44</v>
      </c>
      <c r="B1021" s="4">
        <v>3</v>
      </c>
      <c r="C1021" t="s">
        <v>8</v>
      </c>
      <c r="D1021" s="4">
        <v>1</v>
      </c>
      <c r="E1021" s="3">
        <v>0.96659031603485301</v>
      </c>
      <c r="F1021" s="4">
        <v>1</v>
      </c>
      <c r="G1021" s="2">
        <v>560.66</v>
      </c>
      <c r="H1021" s="2">
        <v>560.66</v>
      </c>
      <c r="I1021" s="2">
        <v>560.66</v>
      </c>
      <c r="J1021" s="2" t="str">
        <f t="shared" si="30"/>
        <v>35-44</v>
      </c>
      <c r="K1021" s="17" t="str">
        <f t="shared" si="31"/>
        <v>3-5</v>
      </c>
    </row>
    <row r="1022" spans="1:11" x14ac:dyDescent="0.2">
      <c r="A1022" s="4">
        <v>82</v>
      </c>
      <c r="B1022" s="4">
        <v>14</v>
      </c>
      <c r="C1022" t="s">
        <v>8</v>
      </c>
      <c r="D1022" s="4">
        <v>0</v>
      </c>
      <c r="E1022" s="3">
        <v>0.56267244135960903</v>
      </c>
      <c r="F1022" s="4">
        <v>1</v>
      </c>
      <c r="G1022" s="2">
        <v>1601.4</v>
      </c>
      <c r="H1022" s="2">
        <v>1601.4</v>
      </c>
      <c r="I1022" s="2">
        <v>1601.4</v>
      </c>
      <c r="J1022" s="2" t="str">
        <f t="shared" si="30"/>
        <v>75-90</v>
      </c>
      <c r="K1022" s="17" t="str">
        <f t="shared" si="31"/>
        <v>12-15</v>
      </c>
    </row>
    <row r="1023" spans="1:11" x14ac:dyDescent="0.2">
      <c r="A1023" s="4">
        <v>57</v>
      </c>
      <c r="B1023" s="4">
        <v>15</v>
      </c>
      <c r="C1023" t="s">
        <v>8</v>
      </c>
      <c r="D1023" s="4">
        <v>0</v>
      </c>
      <c r="E1023" s="3">
        <v>0.87833793018944595</v>
      </c>
      <c r="F1023" s="4">
        <v>1</v>
      </c>
      <c r="G1023" s="2">
        <v>1017.48</v>
      </c>
      <c r="H1023" s="2">
        <v>1017.48</v>
      </c>
      <c r="I1023" s="2">
        <v>1017.48</v>
      </c>
      <c r="J1023" s="2" t="str">
        <f t="shared" si="30"/>
        <v>55-64</v>
      </c>
      <c r="K1023" s="17" t="str">
        <f t="shared" si="31"/>
        <v>12-15</v>
      </c>
    </row>
    <row r="1024" spans="1:11" x14ac:dyDescent="0.2">
      <c r="A1024" s="4">
        <v>70</v>
      </c>
      <c r="B1024" s="4">
        <v>2</v>
      </c>
      <c r="C1024" t="s">
        <v>10</v>
      </c>
      <c r="D1024" s="4">
        <v>2</v>
      </c>
      <c r="E1024" s="3">
        <v>0.86712707043625403</v>
      </c>
      <c r="F1024" s="4">
        <v>1</v>
      </c>
      <c r="G1024" s="2">
        <v>1904.37</v>
      </c>
      <c r="H1024" s="2">
        <v>1904.37</v>
      </c>
      <c r="I1024" s="2">
        <v>1904.37</v>
      </c>
      <c r="J1024" s="2" t="str">
        <f t="shared" si="30"/>
        <v>65-74</v>
      </c>
      <c r="K1024" s="17" t="str">
        <f t="shared" si="31"/>
        <v>0-2</v>
      </c>
    </row>
    <row r="1025" spans="1:11" x14ac:dyDescent="0.2">
      <c r="A1025" s="4">
        <v>54</v>
      </c>
      <c r="B1025" s="4">
        <v>5</v>
      </c>
      <c r="C1025" t="s">
        <v>8</v>
      </c>
      <c r="D1025" s="4">
        <v>2</v>
      </c>
      <c r="E1025" s="3">
        <v>0.50293717265594795</v>
      </c>
      <c r="F1025" s="4">
        <v>1</v>
      </c>
      <c r="G1025" s="2">
        <v>1469.41</v>
      </c>
      <c r="H1025" s="2">
        <v>1469.41</v>
      </c>
      <c r="I1025" s="2">
        <v>1469.41</v>
      </c>
      <c r="J1025" s="2" t="str">
        <f t="shared" si="30"/>
        <v>45-54</v>
      </c>
      <c r="K1025" s="17" t="str">
        <f t="shared" si="31"/>
        <v>3-5</v>
      </c>
    </row>
    <row r="1026" spans="1:11" x14ac:dyDescent="0.2">
      <c r="A1026" s="4">
        <v>76</v>
      </c>
      <c r="B1026" s="4">
        <v>9</v>
      </c>
      <c r="C1026" t="s">
        <v>8</v>
      </c>
      <c r="D1026" s="4">
        <v>0</v>
      </c>
      <c r="E1026" s="3">
        <v>0.55416512116789796</v>
      </c>
      <c r="F1026" s="4">
        <v>3</v>
      </c>
      <c r="G1026" s="2">
        <v>803.1</v>
      </c>
      <c r="H1026" s="2">
        <v>267.7</v>
      </c>
      <c r="I1026" s="2">
        <v>803.1</v>
      </c>
      <c r="J1026" s="2" t="str">
        <f t="shared" ref="J1026:J1089" si="32" xml:space="preserve"> IF(A1026&lt;25,"18-24",
 IF(A1026&lt;35,"25-34",
 IF(A1026&lt;45,"35-44",
 IF(A1026&lt;55,"45-54", IF(A1026&lt;65, "55-64", IF(A1026&lt;75, "65-74", "75-90"))))))</f>
        <v>75-90</v>
      </c>
      <c r="K1026" s="17" t="str">
        <f t="shared" ref="K1026:K1089" si="33" xml:space="preserve"> IF(B1026 &lt; 3, "0-2", IF(B1026 &lt; 6, "3-5", IF(B1026 &lt; 9, "6-8", IF(B1026 &lt; 12, "9-11", "12-15"))))</f>
        <v>9-11</v>
      </c>
    </row>
    <row r="1027" spans="1:11" x14ac:dyDescent="0.2">
      <c r="A1027" s="4">
        <v>85</v>
      </c>
      <c r="B1027" s="4">
        <v>13</v>
      </c>
      <c r="C1027" t="s">
        <v>10</v>
      </c>
      <c r="D1027" s="4">
        <v>0</v>
      </c>
      <c r="E1027" s="3">
        <v>0.80468935321550805</v>
      </c>
      <c r="F1027" s="4">
        <v>2</v>
      </c>
      <c r="G1027" s="2">
        <v>4177.8100000000004</v>
      </c>
      <c r="H1027" s="2">
        <v>2088.9</v>
      </c>
      <c r="I1027" s="2">
        <v>4177.8100000000004</v>
      </c>
      <c r="J1027" s="2" t="str">
        <f t="shared" si="32"/>
        <v>75-90</v>
      </c>
      <c r="K1027" s="17" t="str">
        <f t="shared" si="33"/>
        <v>12-15</v>
      </c>
    </row>
    <row r="1028" spans="1:11" x14ac:dyDescent="0.2">
      <c r="A1028" s="4">
        <v>22</v>
      </c>
      <c r="B1028" s="4">
        <v>13</v>
      </c>
      <c r="C1028" t="s">
        <v>8</v>
      </c>
      <c r="D1028" s="4">
        <v>1</v>
      </c>
      <c r="E1028" s="3">
        <v>0.84115615801420096</v>
      </c>
      <c r="F1028" s="4">
        <v>1</v>
      </c>
      <c r="G1028" s="2">
        <v>601.79</v>
      </c>
      <c r="H1028" s="2">
        <v>601.79</v>
      </c>
      <c r="I1028" s="2">
        <v>601.79</v>
      </c>
      <c r="J1028" s="2" t="str">
        <f t="shared" si="32"/>
        <v>18-24</v>
      </c>
      <c r="K1028" s="17" t="str">
        <f t="shared" si="33"/>
        <v>12-15</v>
      </c>
    </row>
    <row r="1029" spans="1:11" x14ac:dyDescent="0.2">
      <c r="A1029" s="4">
        <v>79</v>
      </c>
      <c r="B1029" s="4">
        <v>0</v>
      </c>
      <c r="C1029" t="s">
        <v>8</v>
      </c>
      <c r="D1029" s="4">
        <v>1</v>
      </c>
      <c r="E1029" s="3">
        <v>0.68104883434716601</v>
      </c>
      <c r="F1029" s="4">
        <v>1</v>
      </c>
      <c r="G1029" s="2">
        <v>533.67999999999995</v>
      </c>
      <c r="H1029" s="2">
        <v>533.67999999999995</v>
      </c>
      <c r="I1029" s="2">
        <v>533.67999999999995</v>
      </c>
      <c r="J1029" s="2" t="str">
        <f t="shared" si="32"/>
        <v>75-90</v>
      </c>
      <c r="K1029" s="17" t="str">
        <f t="shared" si="33"/>
        <v>0-2</v>
      </c>
    </row>
    <row r="1030" spans="1:11" x14ac:dyDescent="0.2">
      <c r="A1030" s="4">
        <v>71</v>
      </c>
      <c r="B1030" s="4">
        <v>8</v>
      </c>
      <c r="C1030" t="s">
        <v>16</v>
      </c>
      <c r="D1030" s="4">
        <v>0</v>
      </c>
      <c r="E1030" s="3">
        <v>0.63315416395198598</v>
      </c>
      <c r="F1030" s="4">
        <v>1</v>
      </c>
      <c r="G1030" s="2">
        <v>1374.98</v>
      </c>
      <c r="H1030" s="2">
        <v>1374.98</v>
      </c>
      <c r="I1030" s="2">
        <v>1374.98</v>
      </c>
      <c r="J1030" s="2" t="str">
        <f t="shared" si="32"/>
        <v>65-74</v>
      </c>
      <c r="K1030" s="17" t="str">
        <f t="shared" si="33"/>
        <v>6-8</v>
      </c>
    </row>
    <row r="1031" spans="1:11" x14ac:dyDescent="0.2">
      <c r="A1031" s="4">
        <v>87</v>
      </c>
      <c r="B1031" s="4">
        <v>3</v>
      </c>
      <c r="C1031" t="s">
        <v>8</v>
      </c>
      <c r="D1031" s="4">
        <v>0</v>
      </c>
      <c r="E1031" s="3">
        <v>0.83833493350539401</v>
      </c>
      <c r="F1031" s="4">
        <v>1</v>
      </c>
      <c r="G1031" s="2">
        <v>430.83</v>
      </c>
      <c r="H1031" s="2">
        <v>430.83</v>
      </c>
      <c r="I1031" s="2">
        <v>430.83</v>
      </c>
      <c r="J1031" s="2" t="str">
        <f t="shared" si="32"/>
        <v>75-90</v>
      </c>
      <c r="K1031" s="17" t="str">
        <f t="shared" si="33"/>
        <v>3-5</v>
      </c>
    </row>
    <row r="1032" spans="1:11" x14ac:dyDescent="0.2">
      <c r="A1032" s="4">
        <v>66</v>
      </c>
      <c r="B1032" s="4">
        <v>10</v>
      </c>
      <c r="C1032" t="s">
        <v>8</v>
      </c>
      <c r="D1032" s="4">
        <v>0</v>
      </c>
      <c r="E1032" s="3">
        <v>0.75557772698812198</v>
      </c>
      <c r="F1032" s="4">
        <v>1</v>
      </c>
      <c r="G1032" s="2">
        <v>1803.37</v>
      </c>
      <c r="H1032" s="2">
        <v>1803.37</v>
      </c>
      <c r="I1032" s="2">
        <v>1803.37</v>
      </c>
      <c r="J1032" s="2" t="str">
        <f t="shared" si="32"/>
        <v>65-74</v>
      </c>
      <c r="K1032" s="17" t="str">
        <f t="shared" si="33"/>
        <v>9-11</v>
      </c>
    </row>
    <row r="1033" spans="1:11" x14ac:dyDescent="0.2">
      <c r="A1033" s="4">
        <v>75</v>
      </c>
      <c r="B1033" s="4">
        <v>9</v>
      </c>
      <c r="C1033" t="s">
        <v>8</v>
      </c>
      <c r="D1033" s="4">
        <v>0</v>
      </c>
      <c r="E1033" s="3">
        <v>0.93561259924899798</v>
      </c>
      <c r="F1033" s="4">
        <v>2</v>
      </c>
      <c r="G1033" s="2">
        <v>1669.65</v>
      </c>
      <c r="H1033" s="2">
        <v>834.82</v>
      </c>
      <c r="I1033" s="2">
        <v>1669.65</v>
      </c>
      <c r="J1033" s="2" t="str">
        <f t="shared" si="32"/>
        <v>75-90</v>
      </c>
      <c r="K1033" s="17" t="str">
        <f t="shared" si="33"/>
        <v>9-11</v>
      </c>
    </row>
    <row r="1034" spans="1:11" x14ac:dyDescent="0.2">
      <c r="A1034" s="4">
        <v>45</v>
      </c>
      <c r="B1034" s="4">
        <v>1</v>
      </c>
      <c r="C1034" t="s">
        <v>8</v>
      </c>
      <c r="D1034" s="4">
        <v>0</v>
      </c>
      <c r="E1034" s="3">
        <v>0.62736692465841803</v>
      </c>
      <c r="F1034" s="4">
        <v>1</v>
      </c>
      <c r="G1034" s="2">
        <v>308.83</v>
      </c>
      <c r="H1034" s="2">
        <v>308.83</v>
      </c>
      <c r="I1034" s="2">
        <v>308.83</v>
      </c>
      <c r="J1034" s="2" t="str">
        <f t="shared" si="32"/>
        <v>45-54</v>
      </c>
      <c r="K1034" s="17" t="str">
        <f t="shared" si="33"/>
        <v>0-2</v>
      </c>
    </row>
    <row r="1035" spans="1:11" x14ac:dyDescent="0.2">
      <c r="A1035" s="4">
        <v>78</v>
      </c>
      <c r="B1035" s="4">
        <v>2</v>
      </c>
      <c r="C1035" t="s">
        <v>8</v>
      </c>
      <c r="D1035" s="4">
        <v>1</v>
      </c>
      <c r="E1035" s="3">
        <v>0.55239322292618498</v>
      </c>
      <c r="F1035" s="4">
        <v>1</v>
      </c>
      <c r="G1035" s="2">
        <v>912.07</v>
      </c>
      <c r="H1035" s="2">
        <v>912.07</v>
      </c>
      <c r="I1035" s="2">
        <v>912.07</v>
      </c>
      <c r="J1035" s="2" t="str">
        <f t="shared" si="32"/>
        <v>75-90</v>
      </c>
      <c r="K1035" s="17" t="str">
        <f t="shared" si="33"/>
        <v>0-2</v>
      </c>
    </row>
    <row r="1036" spans="1:11" x14ac:dyDescent="0.2">
      <c r="A1036" s="4">
        <v>76</v>
      </c>
      <c r="B1036" s="4">
        <v>4</v>
      </c>
      <c r="C1036" t="s">
        <v>10</v>
      </c>
      <c r="D1036" s="4">
        <v>0</v>
      </c>
      <c r="E1036" s="3">
        <v>0.72805207956116602</v>
      </c>
      <c r="F1036" s="4">
        <v>1</v>
      </c>
      <c r="G1036" s="2">
        <v>1228.17</v>
      </c>
      <c r="H1036" s="2">
        <v>1228.17</v>
      </c>
      <c r="I1036" s="2">
        <v>1228.17</v>
      </c>
      <c r="J1036" s="2" t="str">
        <f t="shared" si="32"/>
        <v>75-90</v>
      </c>
      <c r="K1036" s="17" t="str">
        <f t="shared" si="33"/>
        <v>3-5</v>
      </c>
    </row>
    <row r="1037" spans="1:11" x14ac:dyDescent="0.2">
      <c r="A1037" s="4">
        <v>49</v>
      </c>
      <c r="B1037" s="4">
        <v>13</v>
      </c>
      <c r="C1037" t="s">
        <v>10</v>
      </c>
      <c r="D1037" s="4">
        <v>0</v>
      </c>
      <c r="E1037" s="3">
        <v>0.86896196438465301</v>
      </c>
      <c r="F1037" s="4">
        <v>1</v>
      </c>
      <c r="G1037" s="2">
        <v>872.52</v>
      </c>
      <c r="H1037" s="2">
        <v>872.52</v>
      </c>
      <c r="I1037" s="2">
        <v>872.52</v>
      </c>
      <c r="J1037" s="2" t="str">
        <f t="shared" si="32"/>
        <v>45-54</v>
      </c>
      <c r="K1037" s="17" t="str">
        <f t="shared" si="33"/>
        <v>12-15</v>
      </c>
    </row>
    <row r="1038" spans="1:11" x14ac:dyDescent="0.2">
      <c r="A1038" s="4">
        <v>64</v>
      </c>
      <c r="B1038" s="4">
        <v>3</v>
      </c>
      <c r="C1038" t="s">
        <v>16</v>
      </c>
      <c r="D1038" s="4">
        <v>0</v>
      </c>
      <c r="E1038" s="3">
        <v>0.84166619996540204</v>
      </c>
      <c r="F1038" s="4">
        <v>1</v>
      </c>
      <c r="G1038" s="2">
        <v>650.07000000000005</v>
      </c>
      <c r="H1038" s="2">
        <v>650.07000000000005</v>
      </c>
      <c r="I1038" s="2">
        <v>650.07000000000005</v>
      </c>
      <c r="J1038" s="2" t="str">
        <f t="shared" si="32"/>
        <v>55-64</v>
      </c>
      <c r="K1038" s="17" t="str">
        <f t="shared" si="33"/>
        <v>3-5</v>
      </c>
    </row>
    <row r="1039" spans="1:11" x14ac:dyDescent="0.2">
      <c r="A1039" s="4">
        <v>73</v>
      </c>
      <c r="B1039" s="4">
        <v>14</v>
      </c>
      <c r="C1039" t="s">
        <v>16</v>
      </c>
      <c r="D1039" s="4">
        <v>0</v>
      </c>
      <c r="E1039" s="3">
        <v>0.99808621418196697</v>
      </c>
      <c r="F1039" s="4">
        <v>1</v>
      </c>
      <c r="G1039" s="2">
        <v>740.52</v>
      </c>
      <c r="H1039" s="2">
        <v>740.52</v>
      </c>
      <c r="I1039" s="2">
        <v>740.52</v>
      </c>
      <c r="J1039" s="2" t="str">
        <f t="shared" si="32"/>
        <v>65-74</v>
      </c>
      <c r="K1039" s="17" t="str">
        <f t="shared" si="33"/>
        <v>12-15</v>
      </c>
    </row>
    <row r="1040" spans="1:11" x14ac:dyDescent="0.2">
      <c r="A1040" s="4">
        <v>62</v>
      </c>
      <c r="B1040" s="4">
        <v>7</v>
      </c>
      <c r="C1040" t="s">
        <v>8</v>
      </c>
      <c r="D1040" s="4">
        <v>0</v>
      </c>
      <c r="E1040" s="3">
        <v>0.85936766455415603</v>
      </c>
      <c r="F1040" s="4">
        <v>1</v>
      </c>
      <c r="G1040" s="2">
        <v>1037.92</v>
      </c>
      <c r="H1040" s="2">
        <v>1037.92</v>
      </c>
      <c r="I1040" s="2">
        <v>1037.92</v>
      </c>
      <c r="J1040" s="2" t="str">
        <f t="shared" si="32"/>
        <v>55-64</v>
      </c>
      <c r="K1040" s="17" t="str">
        <f t="shared" si="33"/>
        <v>6-8</v>
      </c>
    </row>
    <row r="1041" spans="1:11" x14ac:dyDescent="0.2">
      <c r="A1041" s="4">
        <v>52</v>
      </c>
      <c r="B1041" s="4">
        <v>9</v>
      </c>
      <c r="C1041" t="s">
        <v>16</v>
      </c>
      <c r="D1041" s="4">
        <v>0</v>
      </c>
      <c r="E1041" s="3">
        <v>0.94209037465043399</v>
      </c>
      <c r="F1041" s="4">
        <v>1</v>
      </c>
      <c r="G1041" s="2">
        <v>506.93</v>
      </c>
      <c r="H1041" s="2">
        <v>506.93</v>
      </c>
      <c r="I1041" s="2">
        <v>506.93</v>
      </c>
      <c r="J1041" s="2" t="str">
        <f t="shared" si="32"/>
        <v>45-54</v>
      </c>
      <c r="K1041" s="17" t="str">
        <f t="shared" si="33"/>
        <v>9-11</v>
      </c>
    </row>
    <row r="1042" spans="1:11" x14ac:dyDescent="0.2">
      <c r="A1042" s="4">
        <v>38</v>
      </c>
      <c r="B1042" s="4">
        <v>14</v>
      </c>
      <c r="C1042" t="s">
        <v>16</v>
      </c>
      <c r="D1042" s="4">
        <v>2</v>
      </c>
      <c r="E1042" s="3">
        <v>0.540276138926856</v>
      </c>
      <c r="F1042" s="4">
        <v>1</v>
      </c>
      <c r="G1042" s="2">
        <v>1461.07</v>
      </c>
      <c r="H1042" s="2">
        <v>1461.07</v>
      </c>
      <c r="I1042" s="2">
        <v>1461.07</v>
      </c>
      <c r="J1042" s="2" t="str">
        <f t="shared" si="32"/>
        <v>35-44</v>
      </c>
      <c r="K1042" s="17" t="str">
        <f t="shared" si="33"/>
        <v>12-15</v>
      </c>
    </row>
    <row r="1043" spans="1:11" x14ac:dyDescent="0.2">
      <c r="A1043" s="4">
        <v>84</v>
      </c>
      <c r="B1043" s="4">
        <v>14</v>
      </c>
      <c r="C1043" t="s">
        <v>8</v>
      </c>
      <c r="D1043" s="4">
        <v>1</v>
      </c>
      <c r="E1043" s="3">
        <v>0.84483332023955904</v>
      </c>
      <c r="F1043" s="4">
        <v>1</v>
      </c>
      <c r="G1043" s="2">
        <v>7103.03</v>
      </c>
      <c r="H1043" s="2">
        <v>7103.03</v>
      </c>
      <c r="I1043" s="2">
        <v>7103.03</v>
      </c>
      <c r="J1043" s="2" t="str">
        <f t="shared" si="32"/>
        <v>75-90</v>
      </c>
      <c r="K1043" s="17" t="str">
        <f t="shared" si="33"/>
        <v>12-15</v>
      </c>
    </row>
    <row r="1044" spans="1:11" x14ac:dyDescent="0.2">
      <c r="A1044" s="4">
        <v>47</v>
      </c>
      <c r="B1044" s="4">
        <v>8</v>
      </c>
      <c r="C1044" t="s">
        <v>8</v>
      </c>
      <c r="D1044" s="4">
        <v>1</v>
      </c>
      <c r="E1044" s="3">
        <v>0.85190975561272397</v>
      </c>
      <c r="F1044" s="4">
        <v>1</v>
      </c>
      <c r="G1044" s="2">
        <v>677.98</v>
      </c>
      <c r="H1044" s="2">
        <v>677.98</v>
      </c>
      <c r="I1044" s="2">
        <v>677.98</v>
      </c>
      <c r="J1044" s="2" t="str">
        <f t="shared" si="32"/>
        <v>45-54</v>
      </c>
      <c r="K1044" s="17" t="str">
        <f t="shared" si="33"/>
        <v>6-8</v>
      </c>
    </row>
    <row r="1045" spans="1:11" x14ac:dyDescent="0.2">
      <c r="A1045" s="4">
        <v>59</v>
      </c>
      <c r="B1045" s="4">
        <v>6</v>
      </c>
      <c r="C1045" t="s">
        <v>8</v>
      </c>
      <c r="D1045" s="4">
        <v>1</v>
      </c>
      <c r="E1045" s="3">
        <v>0.95166764047462504</v>
      </c>
      <c r="F1045" s="4">
        <v>1</v>
      </c>
      <c r="G1045" s="2">
        <v>816.09</v>
      </c>
      <c r="H1045" s="2">
        <v>816.09</v>
      </c>
      <c r="I1045" s="2">
        <v>816.09</v>
      </c>
      <c r="J1045" s="2" t="str">
        <f t="shared" si="32"/>
        <v>55-64</v>
      </c>
      <c r="K1045" s="17" t="str">
        <f t="shared" si="33"/>
        <v>6-8</v>
      </c>
    </row>
    <row r="1046" spans="1:11" x14ac:dyDescent="0.2">
      <c r="A1046" s="4">
        <v>31</v>
      </c>
      <c r="B1046" s="4">
        <v>14</v>
      </c>
      <c r="C1046" t="s">
        <v>10</v>
      </c>
      <c r="D1046" s="4">
        <v>0</v>
      </c>
      <c r="E1046" s="3">
        <v>0.75716377119533695</v>
      </c>
      <c r="F1046" s="4">
        <v>1</v>
      </c>
      <c r="G1046" s="2">
        <v>750.78</v>
      </c>
      <c r="H1046" s="2">
        <v>750.78</v>
      </c>
      <c r="I1046" s="2">
        <v>750.78</v>
      </c>
      <c r="J1046" s="2" t="str">
        <f t="shared" si="32"/>
        <v>25-34</v>
      </c>
      <c r="K1046" s="17" t="str">
        <f t="shared" si="33"/>
        <v>12-15</v>
      </c>
    </row>
    <row r="1047" spans="1:11" x14ac:dyDescent="0.2">
      <c r="A1047" s="4">
        <v>53</v>
      </c>
      <c r="B1047" s="4">
        <v>5</v>
      </c>
      <c r="C1047" t="s">
        <v>8</v>
      </c>
      <c r="D1047" s="4">
        <v>0</v>
      </c>
      <c r="E1047" s="3">
        <v>0.78570665582083199</v>
      </c>
      <c r="F1047" s="4">
        <v>1</v>
      </c>
      <c r="G1047" s="2">
        <v>228.98</v>
      </c>
      <c r="H1047" s="2">
        <v>228.98</v>
      </c>
      <c r="I1047" s="2">
        <v>228.98</v>
      </c>
      <c r="J1047" s="2" t="str">
        <f t="shared" si="32"/>
        <v>45-54</v>
      </c>
      <c r="K1047" s="17" t="str">
        <f t="shared" si="33"/>
        <v>3-5</v>
      </c>
    </row>
    <row r="1048" spans="1:11" x14ac:dyDescent="0.2">
      <c r="A1048" s="4">
        <v>78</v>
      </c>
      <c r="B1048" s="4">
        <v>13</v>
      </c>
      <c r="C1048" t="s">
        <v>8</v>
      </c>
      <c r="D1048" s="4">
        <v>1</v>
      </c>
      <c r="E1048" s="3">
        <v>0.93189432402141403</v>
      </c>
      <c r="F1048" s="4">
        <v>1</v>
      </c>
      <c r="G1048" s="2">
        <v>2215.0300000000002</v>
      </c>
      <c r="H1048" s="2">
        <v>2215.0300000000002</v>
      </c>
      <c r="I1048" s="2">
        <v>2215.0300000000002</v>
      </c>
      <c r="J1048" s="2" t="str">
        <f t="shared" si="32"/>
        <v>75-90</v>
      </c>
      <c r="K1048" s="17" t="str">
        <f t="shared" si="33"/>
        <v>12-15</v>
      </c>
    </row>
    <row r="1049" spans="1:11" x14ac:dyDescent="0.2">
      <c r="A1049" s="4">
        <v>77</v>
      </c>
      <c r="B1049" s="4">
        <v>5</v>
      </c>
      <c r="C1049" t="s">
        <v>10</v>
      </c>
      <c r="D1049" s="4">
        <v>0</v>
      </c>
      <c r="E1049" s="3">
        <v>0.93640584859531395</v>
      </c>
      <c r="F1049" s="4">
        <v>1</v>
      </c>
      <c r="G1049" s="2">
        <v>1977</v>
      </c>
      <c r="H1049" s="2">
        <v>1977</v>
      </c>
      <c r="I1049" s="2">
        <v>1977</v>
      </c>
      <c r="J1049" s="2" t="str">
        <f t="shared" si="32"/>
        <v>75-90</v>
      </c>
      <c r="K1049" s="17" t="str">
        <f t="shared" si="33"/>
        <v>3-5</v>
      </c>
    </row>
    <row r="1050" spans="1:11" x14ac:dyDescent="0.2">
      <c r="A1050" s="4">
        <v>36</v>
      </c>
      <c r="B1050" s="4">
        <v>14</v>
      </c>
      <c r="C1050" t="s">
        <v>8</v>
      </c>
      <c r="D1050" s="4">
        <v>1</v>
      </c>
      <c r="E1050" s="3">
        <v>0.94004401308484398</v>
      </c>
      <c r="F1050" s="4">
        <v>1</v>
      </c>
      <c r="G1050" s="2">
        <v>836.13</v>
      </c>
      <c r="H1050" s="2">
        <v>836.13</v>
      </c>
      <c r="I1050" s="2">
        <v>836.13</v>
      </c>
      <c r="J1050" s="2" t="str">
        <f t="shared" si="32"/>
        <v>35-44</v>
      </c>
      <c r="K1050" s="17" t="str">
        <f t="shared" si="33"/>
        <v>12-15</v>
      </c>
    </row>
    <row r="1051" spans="1:11" x14ac:dyDescent="0.2">
      <c r="A1051" s="4">
        <v>25</v>
      </c>
      <c r="B1051" s="4">
        <v>4</v>
      </c>
      <c r="C1051" t="s">
        <v>10</v>
      </c>
      <c r="D1051" s="4">
        <v>0</v>
      </c>
      <c r="E1051" s="3">
        <v>0.70915698574390296</v>
      </c>
      <c r="F1051" s="4">
        <v>1</v>
      </c>
      <c r="G1051" s="2">
        <v>497.4</v>
      </c>
      <c r="H1051" s="2">
        <v>497.4</v>
      </c>
      <c r="I1051" s="2">
        <v>497.4</v>
      </c>
      <c r="J1051" s="2" t="str">
        <f t="shared" si="32"/>
        <v>25-34</v>
      </c>
      <c r="K1051" s="17" t="str">
        <f t="shared" si="33"/>
        <v>3-5</v>
      </c>
    </row>
    <row r="1052" spans="1:11" x14ac:dyDescent="0.2">
      <c r="A1052" s="4">
        <v>89</v>
      </c>
      <c r="B1052" s="4">
        <v>0</v>
      </c>
      <c r="C1052" t="s">
        <v>8</v>
      </c>
      <c r="D1052" s="4">
        <v>2</v>
      </c>
      <c r="E1052" s="3">
        <v>0.87283783324528497</v>
      </c>
      <c r="F1052" s="4">
        <v>3</v>
      </c>
      <c r="G1052" s="2">
        <v>903.35</v>
      </c>
      <c r="H1052" s="2">
        <v>301.12</v>
      </c>
      <c r="I1052" s="2">
        <v>903.35</v>
      </c>
      <c r="J1052" s="2" t="str">
        <f t="shared" si="32"/>
        <v>75-90</v>
      </c>
      <c r="K1052" s="17" t="str">
        <f t="shared" si="33"/>
        <v>0-2</v>
      </c>
    </row>
    <row r="1053" spans="1:11" x14ac:dyDescent="0.2">
      <c r="A1053" s="4">
        <v>86</v>
      </c>
      <c r="B1053" s="4">
        <v>9</v>
      </c>
      <c r="C1053" t="s">
        <v>8</v>
      </c>
      <c r="D1053" s="4">
        <v>1</v>
      </c>
      <c r="E1053" s="3">
        <v>0.87251022213604301</v>
      </c>
      <c r="F1053" s="4">
        <v>3</v>
      </c>
      <c r="G1053" s="2">
        <v>1696.24</v>
      </c>
      <c r="H1053" s="2">
        <v>565.41</v>
      </c>
      <c r="I1053" s="2">
        <v>1696.24</v>
      </c>
      <c r="J1053" s="2" t="str">
        <f t="shared" si="32"/>
        <v>75-90</v>
      </c>
      <c r="K1053" s="17" t="str">
        <f t="shared" si="33"/>
        <v>9-11</v>
      </c>
    </row>
    <row r="1054" spans="1:11" x14ac:dyDescent="0.2">
      <c r="A1054" s="4">
        <v>36</v>
      </c>
      <c r="B1054" s="4">
        <v>14</v>
      </c>
      <c r="C1054" t="s">
        <v>16</v>
      </c>
      <c r="D1054" s="4">
        <v>2</v>
      </c>
      <c r="E1054" s="3">
        <v>0.93637312622740898</v>
      </c>
      <c r="F1054" s="4">
        <v>1</v>
      </c>
      <c r="G1054" s="2">
        <v>1825.94</v>
      </c>
      <c r="H1054" s="2">
        <v>1825.94</v>
      </c>
      <c r="I1054" s="2">
        <v>1825.94</v>
      </c>
      <c r="J1054" s="2" t="str">
        <f t="shared" si="32"/>
        <v>35-44</v>
      </c>
      <c r="K1054" s="17" t="str">
        <f t="shared" si="33"/>
        <v>12-15</v>
      </c>
    </row>
    <row r="1055" spans="1:11" x14ac:dyDescent="0.2">
      <c r="A1055" s="4">
        <v>87</v>
      </c>
      <c r="B1055" s="4">
        <v>8</v>
      </c>
      <c r="C1055" t="s">
        <v>10</v>
      </c>
      <c r="D1055" s="4">
        <v>0</v>
      </c>
      <c r="E1055" s="3">
        <v>0.82825949089601603</v>
      </c>
      <c r="F1055" s="4">
        <v>1</v>
      </c>
      <c r="G1055" s="2">
        <v>2929.64</v>
      </c>
      <c r="H1055" s="2">
        <v>2929.64</v>
      </c>
      <c r="I1055" s="2">
        <v>2929.64</v>
      </c>
      <c r="J1055" s="2" t="str">
        <f t="shared" si="32"/>
        <v>75-90</v>
      </c>
      <c r="K1055" s="17" t="str">
        <f t="shared" si="33"/>
        <v>6-8</v>
      </c>
    </row>
    <row r="1056" spans="1:11" x14ac:dyDescent="0.2">
      <c r="A1056" s="4">
        <v>77</v>
      </c>
      <c r="B1056" s="4">
        <v>8</v>
      </c>
      <c r="C1056" t="s">
        <v>8</v>
      </c>
      <c r="D1056" s="4">
        <v>0</v>
      </c>
      <c r="E1056" s="3">
        <v>0.54081531893461898</v>
      </c>
      <c r="F1056" s="4">
        <v>1</v>
      </c>
      <c r="G1056" s="2">
        <v>838.1</v>
      </c>
      <c r="H1056" s="2">
        <v>838.1</v>
      </c>
      <c r="I1056" s="2">
        <v>838.1</v>
      </c>
      <c r="J1056" s="2" t="str">
        <f t="shared" si="32"/>
        <v>75-90</v>
      </c>
      <c r="K1056" s="17" t="str">
        <f t="shared" si="33"/>
        <v>6-8</v>
      </c>
    </row>
    <row r="1057" spans="1:11" x14ac:dyDescent="0.2">
      <c r="A1057" s="4">
        <v>35</v>
      </c>
      <c r="B1057" s="4">
        <v>3</v>
      </c>
      <c r="C1057" t="s">
        <v>10</v>
      </c>
      <c r="D1057" s="4">
        <v>0</v>
      </c>
      <c r="E1057" s="3">
        <v>0.99273176002316199</v>
      </c>
      <c r="F1057" s="4">
        <v>1</v>
      </c>
      <c r="G1057" s="2">
        <v>448.44</v>
      </c>
      <c r="H1057" s="2">
        <v>448.44</v>
      </c>
      <c r="I1057" s="2">
        <v>448.44</v>
      </c>
      <c r="J1057" s="2" t="str">
        <f t="shared" si="32"/>
        <v>35-44</v>
      </c>
      <c r="K1057" s="17" t="str">
        <f t="shared" si="33"/>
        <v>3-5</v>
      </c>
    </row>
    <row r="1058" spans="1:11" x14ac:dyDescent="0.2">
      <c r="A1058" s="4">
        <v>66</v>
      </c>
      <c r="B1058" s="4">
        <v>1</v>
      </c>
      <c r="C1058" t="s">
        <v>16</v>
      </c>
      <c r="D1058" s="4">
        <v>0</v>
      </c>
      <c r="E1058" s="3">
        <v>0.94690343469847005</v>
      </c>
      <c r="F1058" s="4">
        <v>1</v>
      </c>
      <c r="G1058" s="2">
        <v>940.98</v>
      </c>
      <c r="H1058" s="2">
        <v>940.98</v>
      </c>
      <c r="I1058" s="2">
        <v>940.98</v>
      </c>
      <c r="J1058" s="2" t="str">
        <f t="shared" si="32"/>
        <v>65-74</v>
      </c>
      <c r="K1058" s="17" t="str">
        <f t="shared" si="33"/>
        <v>0-2</v>
      </c>
    </row>
    <row r="1059" spans="1:11" x14ac:dyDescent="0.2">
      <c r="A1059" s="4">
        <v>83</v>
      </c>
      <c r="B1059" s="4">
        <v>8</v>
      </c>
      <c r="C1059" t="s">
        <v>8</v>
      </c>
      <c r="D1059" s="4">
        <v>1</v>
      </c>
      <c r="E1059" s="3">
        <v>0.69131437502801396</v>
      </c>
      <c r="F1059" s="4">
        <v>3</v>
      </c>
      <c r="G1059" s="2">
        <v>1819.11</v>
      </c>
      <c r="H1059" s="2">
        <v>606.37</v>
      </c>
      <c r="I1059" s="2">
        <v>1819.11</v>
      </c>
      <c r="J1059" s="2" t="str">
        <f t="shared" si="32"/>
        <v>75-90</v>
      </c>
      <c r="K1059" s="17" t="str">
        <f t="shared" si="33"/>
        <v>6-8</v>
      </c>
    </row>
    <row r="1060" spans="1:11" x14ac:dyDescent="0.2">
      <c r="A1060" s="4">
        <v>75</v>
      </c>
      <c r="B1060" s="4">
        <v>13</v>
      </c>
      <c r="C1060" t="s">
        <v>10</v>
      </c>
      <c r="D1060" s="4">
        <v>1</v>
      </c>
      <c r="E1060" s="3">
        <v>0.63725204160436999</v>
      </c>
      <c r="F1060" s="4">
        <v>1</v>
      </c>
      <c r="G1060" s="2">
        <v>2219.59</v>
      </c>
      <c r="H1060" s="2">
        <v>2219.59</v>
      </c>
      <c r="I1060" s="2">
        <v>2219.59</v>
      </c>
      <c r="J1060" s="2" t="str">
        <f t="shared" si="32"/>
        <v>75-90</v>
      </c>
      <c r="K1060" s="17" t="str">
        <f t="shared" si="33"/>
        <v>12-15</v>
      </c>
    </row>
    <row r="1061" spans="1:11" x14ac:dyDescent="0.2">
      <c r="A1061" s="4">
        <v>78</v>
      </c>
      <c r="B1061" s="4">
        <v>11</v>
      </c>
      <c r="C1061" t="s">
        <v>10</v>
      </c>
      <c r="D1061" s="4">
        <v>0</v>
      </c>
      <c r="E1061" s="3">
        <v>0.70572628709487595</v>
      </c>
      <c r="F1061" s="4">
        <v>1</v>
      </c>
      <c r="G1061" s="2">
        <v>2277.19</v>
      </c>
      <c r="H1061" s="2">
        <v>2277.19</v>
      </c>
      <c r="I1061" s="2">
        <v>2277.19</v>
      </c>
      <c r="J1061" s="2" t="str">
        <f t="shared" si="32"/>
        <v>75-90</v>
      </c>
      <c r="K1061" s="17" t="str">
        <f t="shared" si="33"/>
        <v>9-11</v>
      </c>
    </row>
    <row r="1062" spans="1:11" x14ac:dyDescent="0.2">
      <c r="A1062" s="4">
        <v>60</v>
      </c>
      <c r="B1062" s="4">
        <v>6</v>
      </c>
      <c r="C1062" t="s">
        <v>16</v>
      </c>
      <c r="D1062" s="4">
        <v>0</v>
      </c>
      <c r="E1062" s="3">
        <v>0.96703707240521897</v>
      </c>
      <c r="F1062" s="4">
        <v>1</v>
      </c>
      <c r="G1062" s="2">
        <v>979.05</v>
      </c>
      <c r="H1062" s="2">
        <v>979.05</v>
      </c>
      <c r="I1062" s="2">
        <v>979.05</v>
      </c>
      <c r="J1062" s="2" t="str">
        <f t="shared" si="32"/>
        <v>55-64</v>
      </c>
      <c r="K1062" s="17" t="str">
        <f t="shared" si="33"/>
        <v>6-8</v>
      </c>
    </row>
    <row r="1063" spans="1:11" x14ac:dyDescent="0.2">
      <c r="A1063" s="4">
        <v>67</v>
      </c>
      <c r="B1063" s="4">
        <v>10</v>
      </c>
      <c r="C1063" t="s">
        <v>8</v>
      </c>
      <c r="D1063" s="4">
        <v>1</v>
      </c>
      <c r="E1063" s="3">
        <v>0.905383233097382</v>
      </c>
      <c r="F1063" s="4">
        <v>3</v>
      </c>
      <c r="G1063" s="2">
        <v>1715.49</v>
      </c>
      <c r="H1063" s="2">
        <v>571.83000000000004</v>
      </c>
      <c r="I1063" s="2">
        <v>1715.49</v>
      </c>
      <c r="J1063" s="2" t="str">
        <f t="shared" si="32"/>
        <v>65-74</v>
      </c>
      <c r="K1063" s="17" t="str">
        <f t="shared" si="33"/>
        <v>9-11</v>
      </c>
    </row>
    <row r="1064" spans="1:11" x14ac:dyDescent="0.2">
      <c r="A1064" s="4">
        <v>74</v>
      </c>
      <c r="B1064" s="4">
        <v>4</v>
      </c>
      <c r="C1064" t="s">
        <v>16</v>
      </c>
      <c r="D1064" s="4">
        <v>1</v>
      </c>
      <c r="E1064" s="3">
        <v>0.92647195956669703</v>
      </c>
      <c r="F1064" s="4">
        <v>2</v>
      </c>
      <c r="G1064" s="2">
        <v>1089.28</v>
      </c>
      <c r="H1064" s="2">
        <v>544.64</v>
      </c>
      <c r="I1064" s="2">
        <v>1089.28</v>
      </c>
      <c r="J1064" s="2" t="str">
        <f t="shared" si="32"/>
        <v>65-74</v>
      </c>
      <c r="K1064" s="17" t="str">
        <f t="shared" si="33"/>
        <v>3-5</v>
      </c>
    </row>
    <row r="1065" spans="1:11" x14ac:dyDescent="0.2">
      <c r="A1065" s="4">
        <v>33</v>
      </c>
      <c r="B1065" s="4">
        <v>1</v>
      </c>
      <c r="C1065" t="s">
        <v>10</v>
      </c>
      <c r="D1065" s="4">
        <v>2</v>
      </c>
      <c r="E1065" s="3">
        <v>0.78859587013721499</v>
      </c>
      <c r="F1065" s="4">
        <v>2</v>
      </c>
      <c r="G1065" s="2">
        <v>864.03</v>
      </c>
      <c r="H1065" s="2">
        <v>432.02</v>
      </c>
      <c r="I1065" s="2">
        <v>864.03</v>
      </c>
      <c r="J1065" s="2" t="str">
        <f t="shared" si="32"/>
        <v>25-34</v>
      </c>
      <c r="K1065" s="17" t="str">
        <f t="shared" si="33"/>
        <v>0-2</v>
      </c>
    </row>
    <row r="1066" spans="1:11" x14ac:dyDescent="0.2">
      <c r="A1066" s="4">
        <v>35</v>
      </c>
      <c r="B1066" s="4">
        <v>2</v>
      </c>
      <c r="C1066" t="s">
        <v>10</v>
      </c>
      <c r="D1066" s="4">
        <v>1</v>
      </c>
      <c r="E1066" s="3">
        <v>0.83792318508494601</v>
      </c>
      <c r="F1066" s="4">
        <v>2</v>
      </c>
      <c r="G1066" s="2">
        <v>785.36</v>
      </c>
      <c r="H1066" s="2">
        <v>392.68</v>
      </c>
      <c r="I1066" s="2">
        <v>785.36</v>
      </c>
      <c r="J1066" s="2" t="str">
        <f t="shared" si="32"/>
        <v>35-44</v>
      </c>
      <c r="K1066" s="17" t="str">
        <f t="shared" si="33"/>
        <v>0-2</v>
      </c>
    </row>
    <row r="1067" spans="1:11" x14ac:dyDescent="0.2">
      <c r="A1067" s="4">
        <v>19</v>
      </c>
      <c r="B1067" s="4">
        <v>11</v>
      </c>
      <c r="C1067" t="s">
        <v>10</v>
      </c>
      <c r="D1067" s="4">
        <v>1</v>
      </c>
      <c r="E1067" s="3">
        <v>0.79101375315804001</v>
      </c>
      <c r="F1067" s="4">
        <v>1</v>
      </c>
      <c r="G1067" s="2">
        <v>748.57</v>
      </c>
      <c r="H1067" s="2">
        <v>748.57</v>
      </c>
      <c r="I1067" s="2">
        <v>748.57</v>
      </c>
      <c r="J1067" s="2" t="str">
        <f t="shared" si="32"/>
        <v>18-24</v>
      </c>
      <c r="K1067" s="17" t="str">
        <f t="shared" si="33"/>
        <v>9-11</v>
      </c>
    </row>
    <row r="1068" spans="1:11" x14ac:dyDescent="0.2">
      <c r="A1068" s="4">
        <v>72</v>
      </c>
      <c r="B1068" s="4">
        <v>13</v>
      </c>
      <c r="C1068" t="s">
        <v>16</v>
      </c>
      <c r="D1068" s="4">
        <v>2</v>
      </c>
      <c r="E1068" s="3">
        <v>0.79745735053438704</v>
      </c>
      <c r="F1068" s="4">
        <v>2</v>
      </c>
      <c r="G1068" s="2">
        <v>2464.21</v>
      </c>
      <c r="H1068" s="2">
        <v>1232.0999999999999</v>
      </c>
      <c r="I1068" s="2">
        <v>2464.21</v>
      </c>
      <c r="J1068" s="2" t="str">
        <f t="shared" si="32"/>
        <v>65-74</v>
      </c>
      <c r="K1068" s="17" t="str">
        <f t="shared" si="33"/>
        <v>12-15</v>
      </c>
    </row>
    <row r="1069" spans="1:11" x14ac:dyDescent="0.2">
      <c r="A1069" s="4">
        <v>78</v>
      </c>
      <c r="B1069" s="4">
        <v>14</v>
      </c>
      <c r="C1069" t="s">
        <v>10</v>
      </c>
      <c r="D1069" s="4">
        <v>0</v>
      </c>
      <c r="E1069" s="3">
        <v>0.93750226811971504</v>
      </c>
      <c r="F1069" s="4">
        <v>1</v>
      </c>
      <c r="G1069" s="2">
        <v>2998.08</v>
      </c>
      <c r="H1069" s="2">
        <v>2998.08</v>
      </c>
      <c r="I1069" s="2">
        <v>2998.08</v>
      </c>
      <c r="J1069" s="2" t="str">
        <f t="shared" si="32"/>
        <v>75-90</v>
      </c>
      <c r="K1069" s="17" t="str">
        <f t="shared" si="33"/>
        <v>12-15</v>
      </c>
    </row>
    <row r="1070" spans="1:11" x14ac:dyDescent="0.2">
      <c r="A1070" s="4">
        <v>41</v>
      </c>
      <c r="B1070" s="4">
        <v>10</v>
      </c>
      <c r="C1070" t="s">
        <v>8</v>
      </c>
      <c r="D1070" s="4">
        <v>0</v>
      </c>
      <c r="E1070" s="3">
        <v>0.51304346241522603</v>
      </c>
      <c r="F1070" s="4">
        <v>1</v>
      </c>
      <c r="G1070" s="2">
        <v>1015.09</v>
      </c>
      <c r="H1070" s="2">
        <v>1015.09</v>
      </c>
      <c r="I1070" s="2">
        <v>1015.09</v>
      </c>
      <c r="J1070" s="2" t="str">
        <f t="shared" si="32"/>
        <v>35-44</v>
      </c>
      <c r="K1070" s="17" t="str">
        <f t="shared" si="33"/>
        <v>9-11</v>
      </c>
    </row>
    <row r="1071" spans="1:11" x14ac:dyDescent="0.2">
      <c r="A1071" s="4">
        <v>64</v>
      </c>
      <c r="B1071" s="4">
        <v>12</v>
      </c>
      <c r="C1071" t="s">
        <v>8</v>
      </c>
      <c r="D1071" s="4">
        <v>0</v>
      </c>
      <c r="E1071" s="3">
        <v>0.97145200590603098</v>
      </c>
      <c r="F1071" s="4">
        <v>1</v>
      </c>
      <c r="G1071" s="2">
        <v>875.28</v>
      </c>
      <c r="H1071" s="2">
        <v>875.28</v>
      </c>
      <c r="I1071" s="2">
        <v>875.28</v>
      </c>
      <c r="J1071" s="2" t="str">
        <f t="shared" si="32"/>
        <v>55-64</v>
      </c>
      <c r="K1071" s="17" t="str">
        <f t="shared" si="33"/>
        <v>12-15</v>
      </c>
    </row>
    <row r="1072" spans="1:11" x14ac:dyDescent="0.2">
      <c r="A1072" s="4">
        <v>40</v>
      </c>
      <c r="B1072" s="4">
        <v>7</v>
      </c>
      <c r="C1072" t="s">
        <v>8</v>
      </c>
      <c r="D1072" s="4">
        <v>1</v>
      </c>
      <c r="E1072" s="3">
        <v>0.73544713784940496</v>
      </c>
      <c r="F1072" s="4">
        <v>1</v>
      </c>
      <c r="G1072" s="2">
        <v>454.89</v>
      </c>
      <c r="H1072" s="2">
        <v>454.89</v>
      </c>
      <c r="I1072" s="2">
        <v>454.89</v>
      </c>
      <c r="J1072" s="2" t="str">
        <f t="shared" si="32"/>
        <v>35-44</v>
      </c>
      <c r="K1072" s="17" t="str">
        <f t="shared" si="33"/>
        <v>6-8</v>
      </c>
    </row>
    <row r="1073" spans="1:11" x14ac:dyDescent="0.2">
      <c r="A1073" s="4">
        <v>60</v>
      </c>
      <c r="B1073" s="4">
        <v>12</v>
      </c>
      <c r="C1073" t="s">
        <v>8</v>
      </c>
      <c r="D1073" s="4">
        <v>0</v>
      </c>
      <c r="E1073" s="3">
        <v>0.94291808060370397</v>
      </c>
      <c r="F1073" s="4">
        <v>2</v>
      </c>
      <c r="G1073" s="2">
        <v>1036</v>
      </c>
      <c r="H1073" s="2">
        <v>518</v>
      </c>
      <c r="I1073" s="2">
        <v>1036</v>
      </c>
      <c r="J1073" s="2" t="str">
        <f t="shared" si="32"/>
        <v>55-64</v>
      </c>
      <c r="K1073" s="17" t="str">
        <f t="shared" si="33"/>
        <v>12-15</v>
      </c>
    </row>
    <row r="1074" spans="1:11" x14ac:dyDescent="0.2">
      <c r="A1074" s="4">
        <v>73</v>
      </c>
      <c r="B1074" s="4">
        <v>7</v>
      </c>
      <c r="C1074" t="s">
        <v>16</v>
      </c>
      <c r="D1074" s="4">
        <v>0</v>
      </c>
      <c r="E1074" s="3">
        <v>0.96764550532680005</v>
      </c>
      <c r="F1074" s="4">
        <v>1</v>
      </c>
      <c r="G1074" s="2">
        <v>912.37</v>
      </c>
      <c r="H1074" s="2">
        <v>912.37</v>
      </c>
      <c r="I1074" s="2">
        <v>912.37</v>
      </c>
      <c r="J1074" s="2" t="str">
        <f t="shared" si="32"/>
        <v>65-74</v>
      </c>
      <c r="K1074" s="17" t="str">
        <f t="shared" si="33"/>
        <v>6-8</v>
      </c>
    </row>
    <row r="1075" spans="1:11" x14ac:dyDescent="0.2">
      <c r="A1075" s="4">
        <v>58</v>
      </c>
      <c r="B1075" s="4">
        <v>11</v>
      </c>
      <c r="C1075" t="s">
        <v>8</v>
      </c>
      <c r="D1075" s="4">
        <v>0</v>
      </c>
      <c r="E1075" s="3">
        <v>0.98935474141035196</v>
      </c>
      <c r="F1075" s="4">
        <v>2</v>
      </c>
      <c r="G1075" s="2">
        <v>522.14</v>
      </c>
      <c r="H1075" s="2">
        <v>261.07</v>
      </c>
      <c r="I1075" s="2">
        <v>522.14</v>
      </c>
      <c r="J1075" s="2" t="str">
        <f t="shared" si="32"/>
        <v>55-64</v>
      </c>
      <c r="K1075" s="17" t="str">
        <f t="shared" si="33"/>
        <v>9-11</v>
      </c>
    </row>
    <row r="1076" spans="1:11" x14ac:dyDescent="0.2">
      <c r="A1076" s="4">
        <v>45</v>
      </c>
      <c r="B1076" s="4">
        <v>1</v>
      </c>
      <c r="C1076" t="s">
        <v>8</v>
      </c>
      <c r="D1076" s="4">
        <v>0</v>
      </c>
      <c r="E1076" s="3">
        <v>0.83763763750903297</v>
      </c>
      <c r="F1076" s="4">
        <v>1</v>
      </c>
      <c r="G1076" s="2">
        <v>281.02</v>
      </c>
      <c r="H1076" s="2">
        <v>281.02</v>
      </c>
      <c r="I1076" s="2">
        <v>281.02</v>
      </c>
      <c r="J1076" s="2" t="str">
        <f t="shared" si="32"/>
        <v>45-54</v>
      </c>
      <c r="K1076" s="17" t="str">
        <f t="shared" si="33"/>
        <v>0-2</v>
      </c>
    </row>
    <row r="1077" spans="1:11" x14ac:dyDescent="0.2">
      <c r="A1077" s="4">
        <v>83</v>
      </c>
      <c r="B1077" s="4">
        <v>5</v>
      </c>
      <c r="C1077" t="s">
        <v>8</v>
      </c>
      <c r="D1077" s="4">
        <v>0</v>
      </c>
      <c r="E1077" s="3">
        <v>0.58663146418985002</v>
      </c>
      <c r="F1077" s="4">
        <v>1</v>
      </c>
      <c r="G1077" s="2">
        <v>548.77</v>
      </c>
      <c r="H1077" s="2">
        <v>548.77</v>
      </c>
      <c r="I1077" s="2">
        <v>548.77</v>
      </c>
      <c r="J1077" s="2" t="str">
        <f t="shared" si="32"/>
        <v>75-90</v>
      </c>
      <c r="K1077" s="17" t="str">
        <f t="shared" si="33"/>
        <v>3-5</v>
      </c>
    </row>
    <row r="1078" spans="1:11" x14ac:dyDescent="0.2">
      <c r="A1078" s="4">
        <v>88</v>
      </c>
      <c r="B1078" s="4">
        <v>4</v>
      </c>
      <c r="C1078" t="s">
        <v>8</v>
      </c>
      <c r="D1078" s="4">
        <v>1</v>
      </c>
      <c r="E1078" s="3">
        <v>0.53187736112158701</v>
      </c>
      <c r="F1078" s="4">
        <v>1</v>
      </c>
      <c r="G1078" s="2">
        <v>1110.56</v>
      </c>
      <c r="H1078" s="2">
        <v>1110.56</v>
      </c>
      <c r="I1078" s="2">
        <v>1110.56</v>
      </c>
      <c r="J1078" s="2" t="str">
        <f t="shared" si="32"/>
        <v>75-90</v>
      </c>
      <c r="K1078" s="17" t="str">
        <f t="shared" si="33"/>
        <v>3-5</v>
      </c>
    </row>
    <row r="1079" spans="1:11" x14ac:dyDescent="0.2">
      <c r="A1079" s="4">
        <v>73</v>
      </c>
      <c r="B1079" s="4">
        <v>5</v>
      </c>
      <c r="C1079" t="s">
        <v>10</v>
      </c>
      <c r="D1079" s="4">
        <v>1</v>
      </c>
      <c r="E1079" s="3">
        <v>0.96172474906779803</v>
      </c>
      <c r="F1079" s="4">
        <v>3</v>
      </c>
      <c r="G1079" s="2">
        <v>1170.29</v>
      </c>
      <c r="H1079" s="2">
        <v>390.1</v>
      </c>
      <c r="I1079" s="2">
        <v>1170.29</v>
      </c>
      <c r="J1079" s="2" t="str">
        <f t="shared" si="32"/>
        <v>65-74</v>
      </c>
      <c r="K1079" s="17" t="str">
        <f t="shared" si="33"/>
        <v>3-5</v>
      </c>
    </row>
    <row r="1080" spans="1:11" x14ac:dyDescent="0.2">
      <c r="A1080" s="4">
        <v>19</v>
      </c>
      <c r="B1080" s="4">
        <v>5</v>
      </c>
      <c r="C1080" t="s">
        <v>8</v>
      </c>
      <c r="D1080" s="4">
        <v>0</v>
      </c>
      <c r="E1080" s="3">
        <v>0.56832000566646501</v>
      </c>
      <c r="F1080" s="4">
        <v>2</v>
      </c>
      <c r="G1080" s="2">
        <v>511.2</v>
      </c>
      <c r="H1080" s="2">
        <v>255.6</v>
      </c>
      <c r="I1080" s="2">
        <v>511.2</v>
      </c>
      <c r="J1080" s="2" t="str">
        <f t="shared" si="32"/>
        <v>18-24</v>
      </c>
      <c r="K1080" s="17" t="str">
        <f t="shared" si="33"/>
        <v>3-5</v>
      </c>
    </row>
    <row r="1081" spans="1:11" x14ac:dyDescent="0.2">
      <c r="A1081" s="4">
        <v>56</v>
      </c>
      <c r="B1081" s="4">
        <v>12</v>
      </c>
      <c r="C1081" t="s">
        <v>16</v>
      </c>
      <c r="D1081" s="4">
        <v>0</v>
      </c>
      <c r="E1081" s="3">
        <v>0.74811806005891401</v>
      </c>
      <c r="F1081" s="4">
        <v>1</v>
      </c>
      <c r="G1081" s="2">
        <v>1132.06</v>
      </c>
      <c r="H1081" s="2">
        <v>1132.06</v>
      </c>
      <c r="I1081" s="2">
        <v>1132.06</v>
      </c>
      <c r="J1081" s="2" t="str">
        <f t="shared" si="32"/>
        <v>55-64</v>
      </c>
      <c r="K1081" s="17" t="str">
        <f t="shared" si="33"/>
        <v>12-15</v>
      </c>
    </row>
    <row r="1082" spans="1:11" x14ac:dyDescent="0.2">
      <c r="A1082" s="4">
        <v>46</v>
      </c>
      <c r="B1082" s="4">
        <v>13</v>
      </c>
      <c r="C1082" t="s">
        <v>8</v>
      </c>
      <c r="D1082" s="4">
        <v>0</v>
      </c>
      <c r="E1082" s="3">
        <v>0.89641289389692203</v>
      </c>
      <c r="F1082" s="4">
        <v>2</v>
      </c>
      <c r="G1082" s="2">
        <v>553.41</v>
      </c>
      <c r="H1082" s="2">
        <v>276.7</v>
      </c>
      <c r="I1082" s="2">
        <v>553.41</v>
      </c>
      <c r="J1082" s="2" t="str">
        <f t="shared" si="32"/>
        <v>45-54</v>
      </c>
      <c r="K1082" s="17" t="str">
        <f t="shared" si="33"/>
        <v>12-15</v>
      </c>
    </row>
    <row r="1083" spans="1:11" x14ac:dyDescent="0.2">
      <c r="A1083" s="4">
        <v>72</v>
      </c>
      <c r="B1083" s="4">
        <v>14</v>
      </c>
      <c r="C1083" t="s">
        <v>10</v>
      </c>
      <c r="D1083" s="4">
        <v>1</v>
      </c>
      <c r="E1083" s="3">
        <v>0.81308572774287302</v>
      </c>
      <c r="F1083" s="4">
        <v>1</v>
      </c>
      <c r="G1083" s="2">
        <v>5560</v>
      </c>
      <c r="H1083" s="2">
        <v>5560</v>
      </c>
      <c r="I1083" s="2">
        <v>5560</v>
      </c>
      <c r="J1083" s="2" t="str">
        <f t="shared" si="32"/>
        <v>65-74</v>
      </c>
      <c r="K1083" s="17" t="str">
        <f t="shared" si="33"/>
        <v>12-15</v>
      </c>
    </row>
    <row r="1084" spans="1:11" x14ac:dyDescent="0.2">
      <c r="A1084" s="4">
        <v>49</v>
      </c>
      <c r="B1084" s="4">
        <v>1</v>
      </c>
      <c r="C1084" t="s">
        <v>10</v>
      </c>
      <c r="D1084" s="4">
        <v>1</v>
      </c>
      <c r="E1084" s="3">
        <v>0.71431251382455196</v>
      </c>
      <c r="F1084" s="4">
        <v>1</v>
      </c>
      <c r="G1084" s="2">
        <v>732.7</v>
      </c>
      <c r="H1084" s="2">
        <v>732.7</v>
      </c>
      <c r="I1084" s="2">
        <v>732.7</v>
      </c>
      <c r="J1084" s="2" t="str">
        <f t="shared" si="32"/>
        <v>45-54</v>
      </c>
      <c r="K1084" s="17" t="str">
        <f t="shared" si="33"/>
        <v>0-2</v>
      </c>
    </row>
    <row r="1085" spans="1:11" x14ac:dyDescent="0.2">
      <c r="A1085" s="4">
        <v>62</v>
      </c>
      <c r="B1085" s="4">
        <v>7</v>
      </c>
      <c r="C1085" t="s">
        <v>8</v>
      </c>
      <c r="D1085" s="4">
        <v>0</v>
      </c>
      <c r="E1085" s="3">
        <v>0.83706753863953098</v>
      </c>
      <c r="F1085" s="4">
        <v>1</v>
      </c>
      <c r="G1085" s="2">
        <v>843.56</v>
      </c>
      <c r="H1085" s="2">
        <v>843.56</v>
      </c>
      <c r="I1085" s="2">
        <v>843.56</v>
      </c>
      <c r="J1085" s="2" t="str">
        <f t="shared" si="32"/>
        <v>55-64</v>
      </c>
      <c r="K1085" s="17" t="str">
        <f t="shared" si="33"/>
        <v>6-8</v>
      </c>
    </row>
    <row r="1086" spans="1:11" x14ac:dyDescent="0.2">
      <c r="A1086" s="4">
        <v>48</v>
      </c>
      <c r="B1086" s="4">
        <v>4</v>
      </c>
      <c r="C1086" t="s">
        <v>16</v>
      </c>
      <c r="D1086" s="4">
        <v>0</v>
      </c>
      <c r="E1086" s="3">
        <v>0.90564397792331897</v>
      </c>
      <c r="F1086" s="4">
        <v>1</v>
      </c>
      <c r="G1086" s="2">
        <v>650.9</v>
      </c>
      <c r="H1086" s="2">
        <v>650.9</v>
      </c>
      <c r="I1086" s="2">
        <v>650.9</v>
      </c>
      <c r="J1086" s="2" t="str">
        <f t="shared" si="32"/>
        <v>45-54</v>
      </c>
      <c r="K1086" s="17" t="str">
        <f t="shared" si="33"/>
        <v>3-5</v>
      </c>
    </row>
    <row r="1087" spans="1:11" x14ac:dyDescent="0.2">
      <c r="A1087" s="4">
        <v>90</v>
      </c>
      <c r="B1087" s="4">
        <v>9</v>
      </c>
      <c r="C1087" t="s">
        <v>8</v>
      </c>
      <c r="D1087" s="4">
        <v>0</v>
      </c>
      <c r="E1087" s="3">
        <v>0.91811574238818106</v>
      </c>
      <c r="F1087" s="4">
        <v>2</v>
      </c>
      <c r="G1087" s="2">
        <v>1130.7</v>
      </c>
      <c r="H1087" s="2">
        <v>565.35</v>
      </c>
      <c r="I1087" s="2">
        <v>1130.7</v>
      </c>
      <c r="J1087" s="2" t="str">
        <f t="shared" si="32"/>
        <v>75-90</v>
      </c>
      <c r="K1087" s="17" t="str">
        <f t="shared" si="33"/>
        <v>9-11</v>
      </c>
    </row>
    <row r="1088" spans="1:11" x14ac:dyDescent="0.2">
      <c r="A1088" s="4">
        <v>78</v>
      </c>
      <c r="B1088" s="4">
        <v>6</v>
      </c>
      <c r="C1088" t="s">
        <v>16</v>
      </c>
      <c r="D1088" s="4">
        <v>0</v>
      </c>
      <c r="E1088" s="3">
        <v>0.544346934533678</v>
      </c>
      <c r="F1088" s="4">
        <v>1</v>
      </c>
      <c r="G1088" s="2">
        <v>810.87</v>
      </c>
      <c r="H1088" s="2">
        <v>810.87</v>
      </c>
      <c r="I1088" s="2">
        <v>810.87</v>
      </c>
      <c r="J1088" s="2" t="str">
        <f t="shared" si="32"/>
        <v>75-90</v>
      </c>
      <c r="K1088" s="17" t="str">
        <f t="shared" si="33"/>
        <v>6-8</v>
      </c>
    </row>
    <row r="1089" spans="1:11" x14ac:dyDescent="0.2">
      <c r="A1089" s="4">
        <v>87</v>
      </c>
      <c r="B1089" s="4">
        <v>4</v>
      </c>
      <c r="C1089" t="s">
        <v>8</v>
      </c>
      <c r="D1089" s="4">
        <v>0</v>
      </c>
      <c r="E1089" s="3">
        <v>0.90572862036060497</v>
      </c>
      <c r="F1089" s="4">
        <v>2</v>
      </c>
      <c r="G1089" s="2">
        <v>1274.83</v>
      </c>
      <c r="H1089" s="2">
        <v>637.41</v>
      </c>
      <c r="I1089" s="2">
        <v>1274.83</v>
      </c>
      <c r="J1089" s="2" t="str">
        <f t="shared" si="32"/>
        <v>75-90</v>
      </c>
      <c r="K1089" s="17" t="str">
        <f t="shared" si="33"/>
        <v>3-5</v>
      </c>
    </row>
    <row r="1090" spans="1:11" x14ac:dyDescent="0.2">
      <c r="A1090" s="4">
        <v>81</v>
      </c>
      <c r="B1090" s="4">
        <v>6</v>
      </c>
      <c r="C1090" t="s">
        <v>8</v>
      </c>
      <c r="D1090" s="4">
        <v>1</v>
      </c>
      <c r="E1090" s="3">
        <v>0.83150116819888398</v>
      </c>
      <c r="F1090" s="4">
        <v>1</v>
      </c>
      <c r="G1090" s="2">
        <v>4383.8100000000004</v>
      </c>
      <c r="H1090" s="2">
        <v>4383.8100000000004</v>
      </c>
      <c r="I1090" s="2">
        <v>4383.8100000000004</v>
      </c>
      <c r="J1090" s="2" t="str">
        <f t="shared" ref="J1090:J1153" si="34" xml:space="preserve"> IF(A1090&lt;25,"18-24",
 IF(A1090&lt;35,"25-34",
 IF(A1090&lt;45,"35-44",
 IF(A1090&lt;55,"45-54", IF(A1090&lt;65, "55-64", IF(A1090&lt;75, "65-74", "75-90"))))))</f>
        <v>75-90</v>
      </c>
      <c r="K1090" s="17" t="str">
        <f t="shared" ref="K1090:K1153" si="35" xml:space="preserve"> IF(B1090 &lt; 3, "0-2", IF(B1090 &lt; 6, "3-5", IF(B1090 &lt; 9, "6-8", IF(B1090 &lt; 12, "9-11", "12-15"))))</f>
        <v>6-8</v>
      </c>
    </row>
    <row r="1091" spans="1:11" x14ac:dyDescent="0.2">
      <c r="A1091" s="4">
        <v>77</v>
      </c>
      <c r="B1091" s="4">
        <v>8</v>
      </c>
      <c r="C1091" t="s">
        <v>8</v>
      </c>
      <c r="D1091" s="4">
        <v>1</v>
      </c>
      <c r="E1091" s="3">
        <v>0.93989961722399995</v>
      </c>
      <c r="F1091" s="4">
        <v>1</v>
      </c>
      <c r="G1091" s="2">
        <v>1306.3699999999999</v>
      </c>
      <c r="H1091" s="2">
        <v>1306.3699999999999</v>
      </c>
      <c r="I1091" s="2">
        <v>1306.3699999999999</v>
      </c>
      <c r="J1091" s="2" t="str">
        <f t="shared" si="34"/>
        <v>75-90</v>
      </c>
      <c r="K1091" s="17" t="str">
        <f t="shared" si="35"/>
        <v>6-8</v>
      </c>
    </row>
    <row r="1092" spans="1:11" x14ac:dyDescent="0.2">
      <c r="A1092" s="4">
        <v>59</v>
      </c>
      <c r="B1092" s="4">
        <v>6</v>
      </c>
      <c r="C1092" t="s">
        <v>10</v>
      </c>
      <c r="D1092" s="4">
        <v>0</v>
      </c>
      <c r="E1092" s="3">
        <v>0.80133201053831704</v>
      </c>
      <c r="F1092" s="4">
        <v>1</v>
      </c>
      <c r="G1092" s="2">
        <v>1134.94</v>
      </c>
      <c r="H1092" s="2">
        <v>1134.94</v>
      </c>
      <c r="I1092" s="2">
        <v>1134.94</v>
      </c>
      <c r="J1092" s="2" t="str">
        <f t="shared" si="34"/>
        <v>55-64</v>
      </c>
      <c r="K1092" s="17" t="str">
        <f t="shared" si="35"/>
        <v>6-8</v>
      </c>
    </row>
    <row r="1093" spans="1:11" x14ac:dyDescent="0.2">
      <c r="A1093" s="4">
        <v>43</v>
      </c>
      <c r="B1093" s="4">
        <v>3</v>
      </c>
      <c r="C1093" t="s">
        <v>10</v>
      </c>
      <c r="D1093" s="4">
        <v>0</v>
      </c>
      <c r="E1093" s="3">
        <v>0.60938592650927603</v>
      </c>
      <c r="F1093" s="4">
        <v>1</v>
      </c>
      <c r="G1093" s="2">
        <v>228.68</v>
      </c>
      <c r="H1093" s="2">
        <v>228.68</v>
      </c>
      <c r="I1093" s="2">
        <v>228.68</v>
      </c>
      <c r="J1093" s="2" t="str">
        <f t="shared" si="34"/>
        <v>35-44</v>
      </c>
      <c r="K1093" s="17" t="str">
        <f t="shared" si="35"/>
        <v>3-5</v>
      </c>
    </row>
    <row r="1094" spans="1:11" x14ac:dyDescent="0.2">
      <c r="A1094" s="4">
        <v>77</v>
      </c>
      <c r="B1094" s="4">
        <v>10</v>
      </c>
      <c r="C1094" t="s">
        <v>16</v>
      </c>
      <c r="D1094" s="4">
        <v>0</v>
      </c>
      <c r="E1094" s="3">
        <v>0.73463143594562996</v>
      </c>
      <c r="F1094" s="4">
        <v>1</v>
      </c>
      <c r="G1094" s="2">
        <v>1198.01</v>
      </c>
      <c r="H1094" s="2">
        <v>1198.01</v>
      </c>
      <c r="I1094" s="2">
        <v>1198.01</v>
      </c>
      <c r="J1094" s="2" t="str">
        <f t="shared" si="34"/>
        <v>75-90</v>
      </c>
      <c r="K1094" s="17" t="str">
        <f t="shared" si="35"/>
        <v>9-11</v>
      </c>
    </row>
    <row r="1095" spans="1:11" x14ac:dyDescent="0.2">
      <c r="A1095" s="4">
        <v>57</v>
      </c>
      <c r="B1095" s="4">
        <v>3</v>
      </c>
      <c r="C1095" t="s">
        <v>16</v>
      </c>
      <c r="D1095" s="4">
        <v>1</v>
      </c>
      <c r="E1095" s="3">
        <v>0.670278143836185</v>
      </c>
      <c r="F1095" s="4">
        <v>1</v>
      </c>
      <c r="G1095" s="2">
        <v>869.25</v>
      </c>
      <c r="H1095" s="2">
        <v>869.25</v>
      </c>
      <c r="I1095" s="2">
        <v>869.25</v>
      </c>
      <c r="J1095" s="2" t="str">
        <f t="shared" si="34"/>
        <v>55-64</v>
      </c>
      <c r="K1095" s="17" t="str">
        <f t="shared" si="35"/>
        <v>3-5</v>
      </c>
    </row>
    <row r="1096" spans="1:11" x14ac:dyDescent="0.2">
      <c r="A1096" s="4">
        <v>63</v>
      </c>
      <c r="B1096" s="4">
        <v>9</v>
      </c>
      <c r="C1096" t="s">
        <v>16</v>
      </c>
      <c r="D1096" s="4">
        <v>0</v>
      </c>
      <c r="E1096" s="3">
        <v>0.75359077181201395</v>
      </c>
      <c r="F1096" s="4">
        <v>1</v>
      </c>
      <c r="G1096" s="2">
        <v>614.62</v>
      </c>
      <c r="H1096" s="2">
        <v>614.62</v>
      </c>
      <c r="I1096" s="2">
        <v>614.62</v>
      </c>
      <c r="J1096" s="2" t="str">
        <f t="shared" si="34"/>
        <v>55-64</v>
      </c>
      <c r="K1096" s="17" t="str">
        <f t="shared" si="35"/>
        <v>9-11</v>
      </c>
    </row>
    <row r="1097" spans="1:11" x14ac:dyDescent="0.2">
      <c r="A1097" s="4">
        <v>84</v>
      </c>
      <c r="B1097" s="4">
        <v>5</v>
      </c>
      <c r="C1097" t="s">
        <v>16</v>
      </c>
      <c r="D1097" s="4">
        <v>0</v>
      </c>
      <c r="E1097" s="3">
        <v>0.67586700420361001</v>
      </c>
      <c r="F1097" s="4">
        <v>2</v>
      </c>
      <c r="G1097" s="2">
        <v>1094.5999999999999</v>
      </c>
      <c r="H1097" s="2">
        <v>547.29999999999995</v>
      </c>
      <c r="I1097" s="2">
        <v>1094.5999999999999</v>
      </c>
      <c r="J1097" s="2" t="str">
        <f t="shared" si="34"/>
        <v>75-90</v>
      </c>
      <c r="K1097" s="17" t="str">
        <f t="shared" si="35"/>
        <v>3-5</v>
      </c>
    </row>
    <row r="1098" spans="1:11" x14ac:dyDescent="0.2">
      <c r="A1098" s="4">
        <v>61</v>
      </c>
      <c r="B1098" s="4">
        <v>2</v>
      </c>
      <c r="C1098" t="s">
        <v>16</v>
      </c>
      <c r="D1098" s="4">
        <v>0</v>
      </c>
      <c r="E1098" s="3">
        <v>0.64176800625864405</v>
      </c>
      <c r="F1098" s="4">
        <v>1</v>
      </c>
      <c r="G1098" s="2">
        <v>521.46</v>
      </c>
      <c r="H1098" s="2">
        <v>521.46</v>
      </c>
      <c r="I1098" s="2">
        <v>521.46</v>
      </c>
      <c r="J1098" s="2" t="str">
        <f t="shared" si="34"/>
        <v>55-64</v>
      </c>
      <c r="K1098" s="17" t="str">
        <f t="shared" si="35"/>
        <v>0-2</v>
      </c>
    </row>
    <row r="1099" spans="1:11" x14ac:dyDescent="0.2">
      <c r="A1099" s="4">
        <v>53</v>
      </c>
      <c r="B1099" s="4">
        <v>4</v>
      </c>
      <c r="C1099" t="s">
        <v>8</v>
      </c>
      <c r="D1099" s="4">
        <v>0</v>
      </c>
      <c r="E1099" s="3">
        <v>0.77570830401964497</v>
      </c>
      <c r="F1099" s="4">
        <v>1</v>
      </c>
      <c r="G1099" s="2">
        <v>666.21</v>
      </c>
      <c r="H1099" s="2">
        <v>666.21</v>
      </c>
      <c r="I1099" s="2">
        <v>666.21</v>
      </c>
      <c r="J1099" s="2" t="str">
        <f t="shared" si="34"/>
        <v>45-54</v>
      </c>
      <c r="K1099" s="17" t="str">
        <f t="shared" si="35"/>
        <v>3-5</v>
      </c>
    </row>
    <row r="1100" spans="1:11" x14ac:dyDescent="0.2">
      <c r="A1100" s="4">
        <v>66</v>
      </c>
      <c r="B1100" s="4">
        <v>4</v>
      </c>
      <c r="C1100" t="s">
        <v>8</v>
      </c>
      <c r="D1100" s="4">
        <v>2</v>
      </c>
      <c r="E1100" s="3">
        <v>0.99665662460029103</v>
      </c>
      <c r="F1100" s="4">
        <v>2</v>
      </c>
      <c r="G1100" s="2">
        <v>2772.2</v>
      </c>
      <c r="H1100" s="2">
        <v>1386.1</v>
      </c>
      <c r="I1100" s="2">
        <v>2772.2</v>
      </c>
      <c r="J1100" s="2" t="str">
        <f t="shared" si="34"/>
        <v>65-74</v>
      </c>
      <c r="K1100" s="17" t="str">
        <f t="shared" si="35"/>
        <v>3-5</v>
      </c>
    </row>
    <row r="1101" spans="1:11" x14ac:dyDescent="0.2">
      <c r="A1101" s="4">
        <v>83</v>
      </c>
      <c r="B1101" s="4">
        <v>14</v>
      </c>
      <c r="C1101" t="s">
        <v>10</v>
      </c>
      <c r="D1101" s="4">
        <v>0</v>
      </c>
      <c r="E1101" s="3">
        <v>0.55700554675422598</v>
      </c>
      <c r="F1101" s="4">
        <v>2</v>
      </c>
      <c r="G1101" s="2">
        <v>1679.56</v>
      </c>
      <c r="H1101" s="2">
        <v>839.78</v>
      </c>
      <c r="I1101" s="2">
        <v>1679.56</v>
      </c>
      <c r="J1101" s="2" t="str">
        <f t="shared" si="34"/>
        <v>75-90</v>
      </c>
      <c r="K1101" s="17" t="str">
        <f t="shared" si="35"/>
        <v>12-15</v>
      </c>
    </row>
    <row r="1102" spans="1:11" x14ac:dyDescent="0.2">
      <c r="A1102" s="4">
        <v>40</v>
      </c>
      <c r="B1102" s="4">
        <v>7</v>
      </c>
      <c r="C1102" t="s">
        <v>8</v>
      </c>
      <c r="D1102" s="4">
        <v>1</v>
      </c>
      <c r="E1102" s="3">
        <v>0.60860166605562005</v>
      </c>
      <c r="F1102" s="4">
        <v>1</v>
      </c>
      <c r="G1102" s="2">
        <v>765.85</v>
      </c>
      <c r="H1102" s="2">
        <v>765.85</v>
      </c>
      <c r="I1102" s="2">
        <v>765.85</v>
      </c>
      <c r="J1102" s="2" t="str">
        <f t="shared" si="34"/>
        <v>35-44</v>
      </c>
      <c r="K1102" s="17" t="str">
        <f t="shared" si="35"/>
        <v>6-8</v>
      </c>
    </row>
    <row r="1103" spans="1:11" x14ac:dyDescent="0.2">
      <c r="A1103" s="4">
        <v>66</v>
      </c>
      <c r="B1103" s="4">
        <v>13</v>
      </c>
      <c r="C1103" t="s">
        <v>8</v>
      </c>
      <c r="D1103" s="4">
        <v>2</v>
      </c>
      <c r="E1103" s="3">
        <v>0.91353501845151197</v>
      </c>
      <c r="F1103" s="4">
        <v>1</v>
      </c>
      <c r="G1103" s="2">
        <v>2688.86</v>
      </c>
      <c r="H1103" s="2">
        <v>2688.86</v>
      </c>
      <c r="I1103" s="2">
        <v>2688.86</v>
      </c>
      <c r="J1103" s="2" t="str">
        <f t="shared" si="34"/>
        <v>65-74</v>
      </c>
      <c r="K1103" s="17" t="str">
        <f t="shared" si="35"/>
        <v>12-15</v>
      </c>
    </row>
    <row r="1104" spans="1:11" x14ac:dyDescent="0.2">
      <c r="A1104" s="4">
        <v>80</v>
      </c>
      <c r="B1104" s="4">
        <v>14</v>
      </c>
      <c r="C1104" t="s">
        <v>8</v>
      </c>
      <c r="D1104" s="4">
        <v>0</v>
      </c>
      <c r="E1104" s="3">
        <v>0.63086336187552705</v>
      </c>
      <c r="F1104" s="4">
        <v>2</v>
      </c>
      <c r="G1104" s="2">
        <v>335.82</v>
      </c>
      <c r="H1104" s="2">
        <v>167.91</v>
      </c>
      <c r="I1104" s="2">
        <v>335.82</v>
      </c>
      <c r="J1104" s="2" t="str">
        <f t="shared" si="34"/>
        <v>75-90</v>
      </c>
      <c r="K1104" s="17" t="str">
        <f t="shared" si="35"/>
        <v>12-15</v>
      </c>
    </row>
    <row r="1105" spans="1:11" x14ac:dyDescent="0.2">
      <c r="A1105" s="4">
        <v>49</v>
      </c>
      <c r="B1105" s="4">
        <v>6</v>
      </c>
      <c r="C1105" t="s">
        <v>8</v>
      </c>
      <c r="D1105" s="4">
        <v>0</v>
      </c>
      <c r="E1105" s="3">
        <v>0.94084697996731803</v>
      </c>
      <c r="F1105" s="4">
        <v>1</v>
      </c>
      <c r="G1105" s="2">
        <v>360.95</v>
      </c>
      <c r="H1105" s="2">
        <v>360.95</v>
      </c>
      <c r="I1105" s="2">
        <v>360.95</v>
      </c>
      <c r="J1105" s="2" t="str">
        <f t="shared" si="34"/>
        <v>45-54</v>
      </c>
      <c r="K1105" s="17" t="str">
        <f t="shared" si="35"/>
        <v>6-8</v>
      </c>
    </row>
    <row r="1106" spans="1:11" x14ac:dyDescent="0.2">
      <c r="A1106" s="4">
        <v>80</v>
      </c>
      <c r="B1106" s="4">
        <v>7</v>
      </c>
      <c r="C1106" t="s">
        <v>8</v>
      </c>
      <c r="D1106" s="4">
        <v>0</v>
      </c>
      <c r="E1106" s="3">
        <v>0.96490335662383597</v>
      </c>
      <c r="F1106" s="4">
        <v>1</v>
      </c>
      <c r="G1106" s="2">
        <v>516.49</v>
      </c>
      <c r="H1106" s="2">
        <v>516.49</v>
      </c>
      <c r="I1106" s="2">
        <v>516.49</v>
      </c>
      <c r="J1106" s="2" t="str">
        <f t="shared" si="34"/>
        <v>75-90</v>
      </c>
      <c r="K1106" s="17" t="str">
        <f t="shared" si="35"/>
        <v>6-8</v>
      </c>
    </row>
    <row r="1107" spans="1:11" x14ac:dyDescent="0.2">
      <c r="A1107" s="4">
        <v>77</v>
      </c>
      <c r="B1107" s="4">
        <v>14</v>
      </c>
      <c r="C1107" t="s">
        <v>10</v>
      </c>
      <c r="D1107" s="4">
        <v>0</v>
      </c>
      <c r="E1107" s="3">
        <v>0.87476906797383003</v>
      </c>
      <c r="F1107" s="4">
        <v>1</v>
      </c>
      <c r="G1107" s="2">
        <v>1264.72</v>
      </c>
      <c r="H1107" s="2">
        <v>1264.72</v>
      </c>
      <c r="I1107" s="2">
        <v>1264.72</v>
      </c>
      <c r="J1107" s="2" t="str">
        <f t="shared" si="34"/>
        <v>75-90</v>
      </c>
      <c r="K1107" s="17" t="str">
        <f t="shared" si="35"/>
        <v>12-15</v>
      </c>
    </row>
    <row r="1108" spans="1:11" x14ac:dyDescent="0.2">
      <c r="A1108" s="4">
        <v>31</v>
      </c>
      <c r="B1108" s="4">
        <v>8</v>
      </c>
      <c r="C1108" t="s">
        <v>10</v>
      </c>
      <c r="D1108" s="4">
        <v>0</v>
      </c>
      <c r="E1108" s="3">
        <v>0.52987619803752795</v>
      </c>
      <c r="F1108" s="4">
        <v>1</v>
      </c>
      <c r="G1108" s="2">
        <v>343.81</v>
      </c>
      <c r="H1108" s="2">
        <v>343.81</v>
      </c>
      <c r="I1108" s="2">
        <v>343.81</v>
      </c>
      <c r="J1108" s="2" t="str">
        <f t="shared" si="34"/>
        <v>25-34</v>
      </c>
      <c r="K1108" s="17" t="str">
        <f t="shared" si="35"/>
        <v>6-8</v>
      </c>
    </row>
    <row r="1109" spans="1:11" x14ac:dyDescent="0.2">
      <c r="A1109" s="4">
        <v>34</v>
      </c>
      <c r="B1109" s="4">
        <v>5</v>
      </c>
      <c r="C1109" t="s">
        <v>8</v>
      </c>
      <c r="D1109" s="4">
        <v>0</v>
      </c>
      <c r="E1109" s="3">
        <v>0.92098927346523896</v>
      </c>
      <c r="F1109" s="4">
        <v>1</v>
      </c>
      <c r="G1109" s="2">
        <v>300.25</v>
      </c>
      <c r="H1109" s="2">
        <v>300.25</v>
      </c>
      <c r="I1109" s="2">
        <v>300.25</v>
      </c>
      <c r="J1109" s="2" t="str">
        <f t="shared" si="34"/>
        <v>25-34</v>
      </c>
      <c r="K1109" s="17" t="str">
        <f t="shared" si="35"/>
        <v>3-5</v>
      </c>
    </row>
    <row r="1110" spans="1:11" x14ac:dyDescent="0.2">
      <c r="A1110" s="4">
        <v>66</v>
      </c>
      <c r="B1110" s="4">
        <v>11</v>
      </c>
      <c r="C1110" t="s">
        <v>16</v>
      </c>
      <c r="D1110" s="4">
        <v>1</v>
      </c>
      <c r="E1110" s="3">
        <v>0.72400687157642096</v>
      </c>
      <c r="F1110" s="4">
        <v>1</v>
      </c>
      <c r="G1110" s="2">
        <v>1380.51</v>
      </c>
      <c r="H1110" s="2">
        <v>1380.51</v>
      </c>
      <c r="I1110" s="2">
        <v>1380.51</v>
      </c>
      <c r="J1110" s="2" t="str">
        <f t="shared" si="34"/>
        <v>65-74</v>
      </c>
      <c r="K1110" s="17" t="str">
        <f t="shared" si="35"/>
        <v>9-11</v>
      </c>
    </row>
    <row r="1111" spans="1:11" x14ac:dyDescent="0.2">
      <c r="A1111" s="4">
        <v>85</v>
      </c>
      <c r="B1111" s="4">
        <v>9</v>
      </c>
      <c r="C1111" t="s">
        <v>16</v>
      </c>
      <c r="D1111" s="4">
        <v>0</v>
      </c>
      <c r="E1111" s="3">
        <v>0.82027888414450001</v>
      </c>
      <c r="F1111" s="4">
        <v>2</v>
      </c>
      <c r="G1111" s="2">
        <v>2674.39</v>
      </c>
      <c r="H1111" s="2">
        <v>1337.19</v>
      </c>
      <c r="I1111" s="2">
        <v>2674.39</v>
      </c>
      <c r="J1111" s="2" t="str">
        <f t="shared" si="34"/>
        <v>75-90</v>
      </c>
      <c r="K1111" s="17" t="str">
        <f t="shared" si="35"/>
        <v>9-11</v>
      </c>
    </row>
    <row r="1112" spans="1:11" x14ac:dyDescent="0.2">
      <c r="A1112" s="4">
        <v>20</v>
      </c>
      <c r="B1112" s="4">
        <v>9</v>
      </c>
      <c r="C1112" t="s">
        <v>10</v>
      </c>
      <c r="D1112" s="4">
        <v>0</v>
      </c>
      <c r="E1112" s="3">
        <v>0.64493874844629295</v>
      </c>
      <c r="F1112" s="4">
        <v>1</v>
      </c>
      <c r="G1112" s="2">
        <v>687.83</v>
      </c>
      <c r="H1112" s="2">
        <v>687.83</v>
      </c>
      <c r="I1112" s="2">
        <v>687.83</v>
      </c>
      <c r="J1112" s="2" t="str">
        <f t="shared" si="34"/>
        <v>18-24</v>
      </c>
      <c r="K1112" s="17" t="str">
        <f t="shared" si="35"/>
        <v>9-11</v>
      </c>
    </row>
    <row r="1113" spans="1:11" x14ac:dyDescent="0.2">
      <c r="A1113" s="4">
        <v>32</v>
      </c>
      <c r="B1113" s="4">
        <v>13</v>
      </c>
      <c r="C1113" t="s">
        <v>16</v>
      </c>
      <c r="D1113" s="4">
        <v>0</v>
      </c>
      <c r="E1113" s="3">
        <v>0.57557538407854703</v>
      </c>
      <c r="F1113" s="4">
        <v>1</v>
      </c>
      <c r="G1113" s="2">
        <v>432.51</v>
      </c>
      <c r="H1113" s="2">
        <v>432.51</v>
      </c>
      <c r="I1113" s="2">
        <v>432.51</v>
      </c>
      <c r="J1113" s="2" t="str">
        <f t="shared" si="34"/>
        <v>25-34</v>
      </c>
      <c r="K1113" s="17" t="str">
        <f t="shared" si="35"/>
        <v>12-15</v>
      </c>
    </row>
    <row r="1114" spans="1:11" x14ac:dyDescent="0.2">
      <c r="A1114" s="4">
        <v>78</v>
      </c>
      <c r="B1114" s="4">
        <v>3</v>
      </c>
      <c r="C1114" t="s">
        <v>8</v>
      </c>
      <c r="D1114" s="4">
        <v>0</v>
      </c>
      <c r="E1114" s="3">
        <v>0.70911454793531403</v>
      </c>
      <c r="F1114" s="4">
        <v>1</v>
      </c>
      <c r="G1114" s="2">
        <v>1460.46</v>
      </c>
      <c r="H1114" s="2">
        <v>1460.46</v>
      </c>
      <c r="I1114" s="2">
        <v>1460.46</v>
      </c>
      <c r="J1114" s="2" t="str">
        <f t="shared" si="34"/>
        <v>75-90</v>
      </c>
      <c r="K1114" s="17" t="str">
        <f t="shared" si="35"/>
        <v>3-5</v>
      </c>
    </row>
    <row r="1115" spans="1:11" x14ac:dyDescent="0.2">
      <c r="A1115" s="4">
        <v>84</v>
      </c>
      <c r="B1115" s="4">
        <v>4</v>
      </c>
      <c r="C1115" t="s">
        <v>8</v>
      </c>
      <c r="D1115" s="4">
        <v>1</v>
      </c>
      <c r="E1115" s="3">
        <v>0.90820193279068895</v>
      </c>
      <c r="F1115" s="4">
        <v>2</v>
      </c>
      <c r="G1115" s="2">
        <v>887.15</v>
      </c>
      <c r="H1115" s="2">
        <v>443.57</v>
      </c>
      <c r="I1115" s="2">
        <v>887.15</v>
      </c>
      <c r="J1115" s="2" t="str">
        <f t="shared" si="34"/>
        <v>75-90</v>
      </c>
      <c r="K1115" s="17" t="str">
        <f t="shared" si="35"/>
        <v>3-5</v>
      </c>
    </row>
    <row r="1116" spans="1:11" x14ac:dyDescent="0.2">
      <c r="A1116" s="4">
        <v>55</v>
      </c>
      <c r="B1116" s="4">
        <v>4</v>
      </c>
      <c r="C1116" t="s">
        <v>10</v>
      </c>
      <c r="D1116" s="4">
        <v>1</v>
      </c>
      <c r="E1116" s="3">
        <v>0.93351094529498402</v>
      </c>
      <c r="F1116" s="4">
        <v>1</v>
      </c>
      <c r="G1116" s="2">
        <v>984.31</v>
      </c>
      <c r="H1116" s="2">
        <v>984.31</v>
      </c>
      <c r="I1116" s="2">
        <v>984.31</v>
      </c>
      <c r="J1116" s="2" t="str">
        <f t="shared" si="34"/>
        <v>55-64</v>
      </c>
      <c r="K1116" s="17" t="str">
        <f t="shared" si="35"/>
        <v>3-5</v>
      </c>
    </row>
    <row r="1117" spans="1:11" x14ac:dyDescent="0.2">
      <c r="A1117" s="4">
        <v>33</v>
      </c>
      <c r="B1117" s="4">
        <v>11</v>
      </c>
      <c r="C1117" t="s">
        <v>8</v>
      </c>
      <c r="D1117" s="4">
        <v>0</v>
      </c>
      <c r="E1117" s="3">
        <v>0.80453844519797701</v>
      </c>
      <c r="F1117" s="4">
        <v>2</v>
      </c>
      <c r="G1117" s="2">
        <v>1184.6500000000001</v>
      </c>
      <c r="H1117" s="2">
        <v>592.33000000000004</v>
      </c>
      <c r="I1117" s="2">
        <v>1184.6500000000001</v>
      </c>
      <c r="J1117" s="2" t="str">
        <f t="shared" si="34"/>
        <v>25-34</v>
      </c>
      <c r="K1117" s="17" t="str">
        <f t="shared" si="35"/>
        <v>9-11</v>
      </c>
    </row>
    <row r="1118" spans="1:11" x14ac:dyDescent="0.2">
      <c r="A1118" s="4">
        <v>80</v>
      </c>
      <c r="B1118" s="4">
        <v>4</v>
      </c>
      <c r="C1118" t="s">
        <v>8</v>
      </c>
      <c r="D1118" s="4">
        <v>0</v>
      </c>
      <c r="E1118" s="3">
        <v>0.75835395499598202</v>
      </c>
      <c r="F1118" s="4">
        <v>1</v>
      </c>
      <c r="G1118" s="2">
        <v>958.34</v>
      </c>
      <c r="H1118" s="2">
        <v>958.34</v>
      </c>
      <c r="I1118" s="2">
        <v>958.34</v>
      </c>
      <c r="J1118" s="2" t="str">
        <f t="shared" si="34"/>
        <v>75-90</v>
      </c>
      <c r="K1118" s="17" t="str">
        <f t="shared" si="35"/>
        <v>3-5</v>
      </c>
    </row>
    <row r="1119" spans="1:11" x14ac:dyDescent="0.2">
      <c r="A1119" s="4">
        <v>79</v>
      </c>
      <c r="B1119" s="4">
        <v>8</v>
      </c>
      <c r="C1119" t="s">
        <v>8</v>
      </c>
      <c r="D1119" s="4">
        <v>0</v>
      </c>
      <c r="E1119" s="3">
        <v>0.58537253679241996</v>
      </c>
      <c r="F1119" s="4">
        <v>1</v>
      </c>
      <c r="G1119" s="2">
        <v>888.39</v>
      </c>
      <c r="H1119" s="2">
        <v>888.39</v>
      </c>
      <c r="I1119" s="2">
        <v>888.39</v>
      </c>
      <c r="J1119" s="2" t="str">
        <f t="shared" si="34"/>
        <v>75-90</v>
      </c>
      <c r="K1119" s="17" t="str">
        <f t="shared" si="35"/>
        <v>6-8</v>
      </c>
    </row>
    <row r="1120" spans="1:11" x14ac:dyDescent="0.2">
      <c r="A1120" s="4">
        <v>62</v>
      </c>
      <c r="B1120" s="4">
        <v>11</v>
      </c>
      <c r="C1120" t="s">
        <v>16</v>
      </c>
      <c r="D1120" s="4">
        <v>1</v>
      </c>
      <c r="E1120" s="3">
        <v>0.68703832849860202</v>
      </c>
      <c r="F1120" s="4">
        <v>2</v>
      </c>
      <c r="G1120" s="2">
        <v>2011.36</v>
      </c>
      <c r="H1120" s="2">
        <v>1005.68</v>
      </c>
      <c r="I1120" s="2">
        <v>2011.36</v>
      </c>
      <c r="J1120" s="2" t="str">
        <f t="shared" si="34"/>
        <v>55-64</v>
      </c>
      <c r="K1120" s="17" t="str">
        <f t="shared" si="35"/>
        <v>9-11</v>
      </c>
    </row>
    <row r="1121" spans="1:11" x14ac:dyDescent="0.2">
      <c r="A1121" s="4">
        <v>60</v>
      </c>
      <c r="B1121" s="4">
        <v>15</v>
      </c>
      <c r="C1121" t="s">
        <v>8</v>
      </c>
      <c r="D1121" s="4">
        <v>1</v>
      </c>
      <c r="E1121" s="3">
        <v>0.75976665085181605</v>
      </c>
      <c r="F1121" s="4">
        <v>2</v>
      </c>
      <c r="G1121" s="2">
        <v>818.32</v>
      </c>
      <c r="H1121" s="2">
        <v>409.16</v>
      </c>
      <c r="I1121" s="2">
        <v>818.32</v>
      </c>
      <c r="J1121" s="2" t="str">
        <f t="shared" si="34"/>
        <v>55-64</v>
      </c>
      <c r="K1121" s="17" t="str">
        <f t="shared" si="35"/>
        <v>12-15</v>
      </c>
    </row>
    <row r="1122" spans="1:11" x14ac:dyDescent="0.2">
      <c r="A1122" s="4">
        <v>49</v>
      </c>
      <c r="B1122" s="4">
        <v>5</v>
      </c>
      <c r="C1122" t="s">
        <v>16</v>
      </c>
      <c r="D1122" s="4">
        <v>0</v>
      </c>
      <c r="E1122" s="3">
        <v>0.88418709521647498</v>
      </c>
      <c r="F1122" s="4">
        <v>2</v>
      </c>
      <c r="G1122" s="2">
        <v>297.29000000000002</v>
      </c>
      <c r="H1122" s="2">
        <v>148.63999999999999</v>
      </c>
      <c r="I1122" s="2">
        <v>297.29000000000002</v>
      </c>
      <c r="J1122" s="2" t="str">
        <f t="shared" si="34"/>
        <v>45-54</v>
      </c>
      <c r="K1122" s="17" t="str">
        <f t="shared" si="35"/>
        <v>3-5</v>
      </c>
    </row>
    <row r="1123" spans="1:11" x14ac:dyDescent="0.2">
      <c r="A1123" s="4">
        <v>84</v>
      </c>
      <c r="B1123" s="4">
        <v>12</v>
      </c>
      <c r="C1123" t="s">
        <v>10</v>
      </c>
      <c r="D1123" s="4">
        <v>0</v>
      </c>
      <c r="E1123" s="3">
        <v>0.65925504185725003</v>
      </c>
      <c r="F1123" s="4">
        <v>1</v>
      </c>
      <c r="G1123" s="2">
        <v>1782.19</v>
      </c>
      <c r="H1123" s="2">
        <v>1782.19</v>
      </c>
      <c r="I1123" s="2">
        <v>1782.19</v>
      </c>
      <c r="J1123" s="2" t="str">
        <f t="shared" si="34"/>
        <v>75-90</v>
      </c>
      <c r="K1123" s="17" t="str">
        <f t="shared" si="35"/>
        <v>12-15</v>
      </c>
    </row>
    <row r="1124" spans="1:11" x14ac:dyDescent="0.2">
      <c r="A1124" s="4">
        <v>62</v>
      </c>
      <c r="B1124" s="4">
        <v>8</v>
      </c>
      <c r="C1124" t="s">
        <v>8</v>
      </c>
      <c r="D1124" s="4">
        <v>0</v>
      </c>
      <c r="E1124" s="3">
        <v>0.97856587241403803</v>
      </c>
      <c r="F1124" s="4">
        <v>2</v>
      </c>
      <c r="G1124" s="2">
        <v>1642.02</v>
      </c>
      <c r="H1124" s="2">
        <v>821.01</v>
      </c>
      <c r="I1124" s="2">
        <v>1642.02</v>
      </c>
      <c r="J1124" s="2" t="str">
        <f t="shared" si="34"/>
        <v>55-64</v>
      </c>
      <c r="K1124" s="17" t="str">
        <f t="shared" si="35"/>
        <v>6-8</v>
      </c>
    </row>
    <row r="1125" spans="1:11" x14ac:dyDescent="0.2">
      <c r="A1125" s="4">
        <v>41</v>
      </c>
      <c r="B1125" s="4">
        <v>13</v>
      </c>
      <c r="C1125" t="s">
        <v>8</v>
      </c>
      <c r="D1125" s="4">
        <v>0</v>
      </c>
      <c r="E1125" s="3">
        <v>0.709942066227086</v>
      </c>
      <c r="F1125" s="4">
        <v>1</v>
      </c>
      <c r="G1125" s="2">
        <v>565.71</v>
      </c>
      <c r="H1125" s="2">
        <v>565.71</v>
      </c>
      <c r="I1125" s="2">
        <v>565.71</v>
      </c>
      <c r="J1125" s="2" t="str">
        <f t="shared" si="34"/>
        <v>35-44</v>
      </c>
      <c r="K1125" s="17" t="str">
        <f t="shared" si="35"/>
        <v>12-15</v>
      </c>
    </row>
    <row r="1126" spans="1:11" x14ac:dyDescent="0.2">
      <c r="A1126" s="4">
        <v>84</v>
      </c>
      <c r="B1126" s="4">
        <v>2</v>
      </c>
      <c r="C1126" t="s">
        <v>10</v>
      </c>
      <c r="D1126" s="4">
        <v>0</v>
      </c>
      <c r="E1126" s="3">
        <v>0.68430156121030405</v>
      </c>
      <c r="F1126" s="4">
        <v>1</v>
      </c>
      <c r="G1126" s="2">
        <v>1596.78</v>
      </c>
      <c r="H1126" s="2">
        <v>1596.78</v>
      </c>
      <c r="I1126" s="2">
        <v>1596.78</v>
      </c>
      <c r="J1126" s="2" t="str">
        <f t="shared" si="34"/>
        <v>75-90</v>
      </c>
      <c r="K1126" s="17" t="str">
        <f t="shared" si="35"/>
        <v>0-2</v>
      </c>
    </row>
    <row r="1127" spans="1:11" x14ac:dyDescent="0.2">
      <c r="A1127" s="4">
        <v>64</v>
      </c>
      <c r="B1127" s="4">
        <v>9</v>
      </c>
      <c r="C1127" t="s">
        <v>16</v>
      </c>
      <c r="D1127" s="4">
        <v>0</v>
      </c>
      <c r="E1127" s="3">
        <v>0.87943097308743701</v>
      </c>
      <c r="F1127" s="4">
        <v>2</v>
      </c>
      <c r="G1127" s="2">
        <v>673.45</v>
      </c>
      <c r="H1127" s="2">
        <v>336.73</v>
      </c>
      <c r="I1127" s="2">
        <v>673.45</v>
      </c>
      <c r="J1127" s="2" t="str">
        <f t="shared" si="34"/>
        <v>55-64</v>
      </c>
      <c r="K1127" s="17" t="str">
        <f t="shared" si="35"/>
        <v>9-11</v>
      </c>
    </row>
    <row r="1128" spans="1:11" x14ac:dyDescent="0.2">
      <c r="A1128" s="4">
        <v>53</v>
      </c>
      <c r="B1128" s="4">
        <v>13</v>
      </c>
      <c r="C1128" t="s">
        <v>16</v>
      </c>
      <c r="D1128" s="4">
        <v>0</v>
      </c>
      <c r="E1128" s="3">
        <v>0.95498356351163205</v>
      </c>
      <c r="F1128" s="4">
        <v>1</v>
      </c>
      <c r="G1128" s="2">
        <v>1120.94</v>
      </c>
      <c r="H1128" s="2">
        <v>1120.94</v>
      </c>
      <c r="I1128" s="2">
        <v>1120.94</v>
      </c>
      <c r="J1128" s="2" t="str">
        <f t="shared" si="34"/>
        <v>45-54</v>
      </c>
      <c r="K1128" s="17" t="str">
        <f t="shared" si="35"/>
        <v>12-15</v>
      </c>
    </row>
    <row r="1129" spans="1:11" x14ac:dyDescent="0.2">
      <c r="A1129" s="4">
        <v>83</v>
      </c>
      <c r="B1129" s="4">
        <v>14</v>
      </c>
      <c r="C1129" t="s">
        <v>8</v>
      </c>
      <c r="D1129" s="4">
        <v>0</v>
      </c>
      <c r="E1129" s="3">
        <v>0.68771928793284998</v>
      </c>
      <c r="F1129" s="4">
        <v>1</v>
      </c>
      <c r="G1129" s="2">
        <v>1212.18</v>
      </c>
      <c r="H1129" s="2">
        <v>1212.18</v>
      </c>
      <c r="I1129" s="2">
        <v>1212.18</v>
      </c>
      <c r="J1129" s="2" t="str">
        <f t="shared" si="34"/>
        <v>75-90</v>
      </c>
      <c r="K1129" s="17" t="str">
        <f t="shared" si="35"/>
        <v>12-15</v>
      </c>
    </row>
    <row r="1130" spans="1:11" x14ac:dyDescent="0.2">
      <c r="A1130" s="4">
        <v>87</v>
      </c>
      <c r="B1130" s="4">
        <v>5</v>
      </c>
      <c r="C1130" t="s">
        <v>10</v>
      </c>
      <c r="D1130" s="4">
        <v>0</v>
      </c>
      <c r="E1130" s="3">
        <v>0.57309556531254202</v>
      </c>
      <c r="F1130" s="4">
        <v>1</v>
      </c>
      <c r="G1130" s="2">
        <v>805.58</v>
      </c>
      <c r="H1130" s="2">
        <v>805.58</v>
      </c>
      <c r="I1130" s="2">
        <v>805.58</v>
      </c>
      <c r="J1130" s="2" t="str">
        <f t="shared" si="34"/>
        <v>75-90</v>
      </c>
      <c r="K1130" s="17" t="str">
        <f t="shared" si="35"/>
        <v>3-5</v>
      </c>
    </row>
    <row r="1131" spans="1:11" x14ac:dyDescent="0.2">
      <c r="A1131" s="4">
        <v>18</v>
      </c>
      <c r="B1131" s="4">
        <v>3</v>
      </c>
      <c r="C1131" t="s">
        <v>10</v>
      </c>
      <c r="D1131" s="4">
        <v>1</v>
      </c>
      <c r="E1131" s="3">
        <v>0.61919013038277604</v>
      </c>
      <c r="F1131" s="4">
        <v>1</v>
      </c>
      <c r="G1131" s="2">
        <v>327.58999999999997</v>
      </c>
      <c r="H1131" s="2">
        <v>327.58999999999997</v>
      </c>
      <c r="I1131" s="2">
        <v>327.58999999999997</v>
      </c>
      <c r="J1131" s="2" t="str">
        <f t="shared" si="34"/>
        <v>18-24</v>
      </c>
      <c r="K1131" s="17" t="str">
        <f t="shared" si="35"/>
        <v>3-5</v>
      </c>
    </row>
    <row r="1132" spans="1:11" x14ac:dyDescent="0.2">
      <c r="A1132" s="4">
        <v>24</v>
      </c>
      <c r="B1132" s="4">
        <v>7</v>
      </c>
      <c r="C1132" t="s">
        <v>8</v>
      </c>
      <c r="D1132" s="4">
        <v>0</v>
      </c>
      <c r="E1132" s="3">
        <v>0.97462703683413598</v>
      </c>
      <c r="F1132" s="4">
        <v>1</v>
      </c>
      <c r="G1132" s="2">
        <v>196.19</v>
      </c>
      <c r="H1132" s="2">
        <v>196.19</v>
      </c>
      <c r="I1132" s="2">
        <v>196.19</v>
      </c>
      <c r="J1132" s="2" t="str">
        <f t="shared" si="34"/>
        <v>18-24</v>
      </c>
      <c r="K1132" s="17" t="str">
        <f t="shared" si="35"/>
        <v>6-8</v>
      </c>
    </row>
    <row r="1133" spans="1:11" x14ac:dyDescent="0.2">
      <c r="A1133" s="4">
        <v>76</v>
      </c>
      <c r="B1133" s="4">
        <v>12</v>
      </c>
      <c r="C1133" t="s">
        <v>16</v>
      </c>
      <c r="D1133" s="4">
        <v>0</v>
      </c>
      <c r="E1133" s="3">
        <v>0.54577306413557403</v>
      </c>
      <c r="F1133" s="4">
        <v>1</v>
      </c>
      <c r="G1133" s="2">
        <v>2501.19</v>
      </c>
      <c r="H1133" s="2">
        <v>2501.19</v>
      </c>
      <c r="I1133" s="2">
        <v>2501.19</v>
      </c>
      <c r="J1133" s="2" t="str">
        <f t="shared" si="34"/>
        <v>75-90</v>
      </c>
      <c r="K1133" s="17" t="str">
        <f t="shared" si="35"/>
        <v>12-15</v>
      </c>
    </row>
    <row r="1134" spans="1:11" x14ac:dyDescent="0.2">
      <c r="A1134" s="4">
        <v>37</v>
      </c>
      <c r="B1134" s="4">
        <v>5</v>
      </c>
      <c r="C1134" t="s">
        <v>8</v>
      </c>
      <c r="D1134" s="4">
        <v>2</v>
      </c>
      <c r="E1134" s="3">
        <v>0.81165638077072799</v>
      </c>
      <c r="F1134" s="4">
        <v>2</v>
      </c>
      <c r="G1134" s="2">
        <v>325.52</v>
      </c>
      <c r="H1134" s="2">
        <v>162.76</v>
      </c>
      <c r="I1134" s="2">
        <v>325.52</v>
      </c>
      <c r="J1134" s="2" t="str">
        <f t="shared" si="34"/>
        <v>35-44</v>
      </c>
      <c r="K1134" s="17" t="str">
        <f t="shared" si="35"/>
        <v>3-5</v>
      </c>
    </row>
    <row r="1135" spans="1:11" x14ac:dyDescent="0.2">
      <c r="A1135" s="4">
        <v>26</v>
      </c>
      <c r="B1135" s="4">
        <v>11</v>
      </c>
      <c r="C1135" t="s">
        <v>16</v>
      </c>
      <c r="D1135" s="4">
        <v>1</v>
      </c>
      <c r="E1135" s="3">
        <v>0.63123828312382102</v>
      </c>
      <c r="F1135" s="4">
        <v>1</v>
      </c>
      <c r="G1135" s="2">
        <v>1273.3499999999999</v>
      </c>
      <c r="H1135" s="2">
        <v>1273.3499999999999</v>
      </c>
      <c r="I1135" s="2">
        <v>1273.3499999999999</v>
      </c>
      <c r="J1135" s="2" t="str">
        <f t="shared" si="34"/>
        <v>25-34</v>
      </c>
      <c r="K1135" s="17" t="str">
        <f t="shared" si="35"/>
        <v>9-11</v>
      </c>
    </row>
    <row r="1136" spans="1:11" x14ac:dyDescent="0.2">
      <c r="A1136" s="4">
        <v>31</v>
      </c>
      <c r="B1136" s="4">
        <v>8</v>
      </c>
      <c r="C1136" t="s">
        <v>16</v>
      </c>
      <c r="D1136" s="4">
        <v>1</v>
      </c>
      <c r="E1136" s="3">
        <v>0.68417898821644496</v>
      </c>
      <c r="F1136" s="4">
        <v>1</v>
      </c>
      <c r="G1136" s="2">
        <v>837.57</v>
      </c>
      <c r="H1136" s="2">
        <v>837.57</v>
      </c>
      <c r="I1136" s="2">
        <v>837.57</v>
      </c>
      <c r="J1136" s="2" t="str">
        <f t="shared" si="34"/>
        <v>25-34</v>
      </c>
      <c r="K1136" s="17" t="str">
        <f t="shared" si="35"/>
        <v>6-8</v>
      </c>
    </row>
    <row r="1137" spans="1:11" x14ac:dyDescent="0.2">
      <c r="A1137" s="4">
        <v>87</v>
      </c>
      <c r="B1137" s="4">
        <v>11</v>
      </c>
      <c r="C1137" t="s">
        <v>8</v>
      </c>
      <c r="D1137" s="4">
        <v>0</v>
      </c>
      <c r="E1137" s="3">
        <v>0.70153981947805699</v>
      </c>
      <c r="F1137" s="4">
        <v>1</v>
      </c>
      <c r="G1137" s="2">
        <v>1337.17</v>
      </c>
      <c r="H1137" s="2">
        <v>1337.17</v>
      </c>
      <c r="I1137" s="2">
        <v>1337.17</v>
      </c>
      <c r="J1137" s="2" t="str">
        <f t="shared" si="34"/>
        <v>75-90</v>
      </c>
      <c r="K1137" s="17" t="str">
        <f t="shared" si="35"/>
        <v>9-11</v>
      </c>
    </row>
    <row r="1138" spans="1:11" x14ac:dyDescent="0.2">
      <c r="A1138" s="4">
        <v>40</v>
      </c>
      <c r="B1138" s="4">
        <v>8</v>
      </c>
      <c r="C1138" t="s">
        <v>10</v>
      </c>
      <c r="D1138" s="4">
        <v>1</v>
      </c>
      <c r="E1138" s="3">
        <v>0.59365064906887699</v>
      </c>
      <c r="F1138" s="4">
        <v>1</v>
      </c>
      <c r="G1138" s="2">
        <v>851.8</v>
      </c>
      <c r="H1138" s="2">
        <v>851.8</v>
      </c>
      <c r="I1138" s="2">
        <v>851.8</v>
      </c>
      <c r="J1138" s="2" t="str">
        <f t="shared" si="34"/>
        <v>35-44</v>
      </c>
      <c r="K1138" s="17" t="str">
        <f t="shared" si="35"/>
        <v>6-8</v>
      </c>
    </row>
    <row r="1139" spans="1:11" x14ac:dyDescent="0.2">
      <c r="A1139" s="4">
        <v>57</v>
      </c>
      <c r="B1139" s="4">
        <v>8</v>
      </c>
      <c r="C1139" t="s">
        <v>8</v>
      </c>
      <c r="D1139" s="4">
        <v>0</v>
      </c>
      <c r="E1139" s="3">
        <v>0.54900431435089603</v>
      </c>
      <c r="F1139" s="4">
        <v>1</v>
      </c>
      <c r="G1139" s="2">
        <v>707.77</v>
      </c>
      <c r="H1139" s="2">
        <v>707.77</v>
      </c>
      <c r="I1139" s="2">
        <v>707.77</v>
      </c>
      <c r="J1139" s="2" t="str">
        <f t="shared" si="34"/>
        <v>55-64</v>
      </c>
      <c r="K1139" s="17" t="str">
        <f t="shared" si="35"/>
        <v>6-8</v>
      </c>
    </row>
    <row r="1140" spans="1:11" x14ac:dyDescent="0.2">
      <c r="A1140" s="4">
        <v>34</v>
      </c>
      <c r="B1140" s="4">
        <v>8</v>
      </c>
      <c r="C1140" t="s">
        <v>10</v>
      </c>
      <c r="D1140" s="4">
        <v>0</v>
      </c>
      <c r="E1140" s="3">
        <v>0.72929177503101505</v>
      </c>
      <c r="F1140" s="4">
        <v>1</v>
      </c>
      <c r="G1140" s="2">
        <v>1000.7</v>
      </c>
      <c r="H1140" s="2">
        <v>1000.7</v>
      </c>
      <c r="I1140" s="2">
        <v>1000.7</v>
      </c>
      <c r="J1140" s="2" t="str">
        <f t="shared" si="34"/>
        <v>25-34</v>
      </c>
      <c r="K1140" s="17" t="str">
        <f t="shared" si="35"/>
        <v>6-8</v>
      </c>
    </row>
    <row r="1141" spans="1:11" x14ac:dyDescent="0.2">
      <c r="A1141" s="4">
        <v>88</v>
      </c>
      <c r="B1141" s="4">
        <v>0</v>
      </c>
      <c r="C1141" t="s">
        <v>8</v>
      </c>
      <c r="D1141" s="4">
        <v>2</v>
      </c>
      <c r="E1141" s="3">
        <v>0.85736293473746605</v>
      </c>
      <c r="F1141" s="4">
        <v>1</v>
      </c>
      <c r="G1141" s="2">
        <v>1502.87</v>
      </c>
      <c r="H1141" s="2">
        <v>1502.87</v>
      </c>
      <c r="I1141" s="2">
        <v>1502.87</v>
      </c>
      <c r="J1141" s="2" t="str">
        <f t="shared" si="34"/>
        <v>75-90</v>
      </c>
      <c r="K1141" s="17" t="str">
        <f t="shared" si="35"/>
        <v>0-2</v>
      </c>
    </row>
    <row r="1142" spans="1:11" x14ac:dyDescent="0.2">
      <c r="A1142" s="4">
        <v>36</v>
      </c>
      <c r="B1142" s="4">
        <v>14</v>
      </c>
      <c r="C1142" t="s">
        <v>8</v>
      </c>
      <c r="D1142" s="4">
        <v>1</v>
      </c>
      <c r="E1142" s="3">
        <v>0.82856722141150396</v>
      </c>
      <c r="F1142" s="4">
        <v>1</v>
      </c>
      <c r="G1142" s="2">
        <v>1482.9</v>
      </c>
      <c r="H1142" s="2">
        <v>1482.9</v>
      </c>
      <c r="I1142" s="2">
        <v>1482.9</v>
      </c>
      <c r="J1142" s="2" t="str">
        <f t="shared" si="34"/>
        <v>35-44</v>
      </c>
      <c r="K1142" s="17" t="str">
        <f t="shared" si="35"/>
        <v>12-15</v>
      </c>
    </row>
    <row r="1143" spans="1:11" x14ac:dyDescent="0.2">
      <c r="A1143" s="4">
        <v>84</v>
      </c>
      <c r="B1143" s="4">
        <v>14</v>
      </c>
      <c r="C1143" t="s">
        <v>8</v>
      </c>
      <c r="D1143" s="4">
        <v>1</v>
      </c>
      <c r="E1143" s="3">
        <v>0.57162133476231203</v>
      </c>
      <c r="F1143" s="4">
        <v>1</v>
      </c>
      <c r="G1143" s="2">
        <v>3583.48</v>
      </c>
      <c r="H1143" s="2">
        <v>3583.48</v>
      </c>
      <c r="I1143" s="2">
        <v>3583.48</v>
      </c>
      <c r="J1143" s="2" t="str">
        <f t="shared" si="34"/>
        <v>75-90</v>
      </c>
      <c r="K1143" s="17" t="str">
        <f t="shared" si="35"/>
        <v>12-15</v>
      </c>
    </row>
    <row r="1144" spans="1:11" x14ac:dyDescent="0.2">
      <c r="A1144" s="4">
        <v>79</v>
      </c>
      <c r="B1144" s="4">
        <v>7</v>
      </c>
      <c r="C1144" t="s">
        <v>8</v>
      </c>
      <c r="D1144" s="4">
        <v>1</v>
      </c>
      <c r="E1144" s="3">
        <v>0.65193675784394101</v>
      </c>
      <c r="F1144" s="4">
        <v>3</v>
      </c>
      <c r="G1144" s="2">
        <v>1491.7</v>
      </c>
      <c r="H1144" s="2">
        <v>497.23</v>
      </c>
      <c r="I1144" s="2">
        <v>1491.7</v>
      </c>
      <c r="J1144" s="2" t="str">
        <f t="shared" si="34"/>
        <v>75-90</v>
      </c>
      <c r="K1144" s="17" t="str">
        <f t="shared" si="35"/>
        <v>6-8</v>
      </c>
    </row>
    <row r="1145" spans="1:11" x14ac:dyDescent="0.2">
      <c r="A1145" s="4">
        <v>39</v>
      </c>
      <c r="B1145" s="4">
        <v>9</v>
      </c>
      <c r="C1145" t="s">
        <v>10</v>
      </c>
      <c r="D1145" s="4">
        <v>0</v>
      </c>
      <c r="E1145" s="3">
        <v>0.90387799695599802</v>
      </c>
      <c r="F1145" s="4">
        <v>1</v>
      </c>
      <c r="G1145" s="2">
        <v>515.73</v>
      </c>
      <c r="H1145" s="2">
        <v>515.73</v>
      </c>
      <c r="I1145" s="2">
        <v>515.73</v>
      </c>
      <c r="J1145" s="2" t="str">
        <f t="shared" si="34"/>
        <v>35-44</v>
      </c>
      <c r="K1145" s="17" t="str">
        <f t="shared" si="35"/>
        <v>9-11</v>
      </c>
    </row>
    <row r="1146" spans="1:11" x14ac:dyDescent="0.2">
      <c r="A1146" s="4">
        <v>28</v>
      </c>
      <c r="B1146" s="4">
        <v>11</v>
      </c>
      <c r="C1146" t="s">
        <v>16</v>
      </c>
      <c r="D1146" s="4">
        <v>0</v>
      </c>
      <c r="E1146" s="3">
        <v>0.63002751034218796</v>
      </c>
      <c r="F1146" s="4">
        <v>1</v>
      </c>
      <c r="G1146" s="2">
        <v>395.76</v>
      </c>
      <c r="H1146" s="2">
        <v>395.76</v>
      </c>
      <c r="I1146" s="2">
        <v>395.76</v>
      </c>
      <c r="J1146" s="2" t="str">
        <f t="shared" si="34"/>
        <v>25-34</v>
      </c>
      <c r="K1146" s="17" t="str">
        <f t="shared" si="35"/>
        <v>9-11</v>
      </c>
    </row>
    <row r="1147" spans="1:11" x14ac:dyDescent="0.2">
      <c r="A1147" s="4">
        <v>90</v>
      </c>
      <c r="B1147" s="4">
        <v>8</v>
      </c>
      <c r="C1147" t="s">
        <v>10</v>
      </c>
      <c r="D1147" s="4">
        <v>0</v>
      </c>
      <c r="E1147" s="3">
        <v>0.89657703426200897</v>
      </c>
      <c r="F1147" s="4">
        <v>1</v>
      </c>
      <c r="G1147" s="2">
        <v>2273.64</v>
      </c>
      <c r="H1147" s="2">
        <v>2273.64</v>
      </c>
      <c r="I1147" s="2">
        <v>2273.64</v>
      </c>
      <c r="J1147" s="2" t="str">
        <f t="shared" si="34"/>
        <v>75-90</v>
      </c>
      <c r="K1147" s="17" t="str">
        <f t="shared" si="35"/>
        <v>6-8</v>
      </c>
    </row>
    <row r="1148" spans="1:11" x14ac:dyDescent="0.2">
      <c r="A1148" s="4">
        <v>31</v>
      </c>
      <c r="B1148" s="4">
        <v>1</v>
      </c>
      <c r="C1148" t="s">
        <v>8</v>
      </c>
      <c r="D1148" s="4">
        <v>2</v>
      </c>
      <c r="E1148" s="3">
        <v>0.62937931483611498</v>
      </c>
      <c r="F1148" s="4">
        <v>1</v>
      </c>
      <c r="G1148" s="2">
        <v>710.76</v>
      </c>
      <c r="H1148" s="2">
        <v>710.76</v>
      </c>
      <c r="I1148" s="2">
        <v>710.76</v>
      </c>
      <c r="J1148" s="2" t="str">
        <f t="shared" si="34"/>
        <v>25-34</v>
      </c>
      <c r="K1148" s="17" t="str">
        <f t="shared" si="35"/>
        <v>0-2</v>
      </c>
    </row>
    <row r="1149" spans="1:11" x14ac:dyDescent="0.2">
      <c r="A1149" s="4">
        <v>65</v>
      </c>
      <c r="B1149" s="4">
        <v>12</v>
      </c>
      <c r="C1149" t="s">
        <v>8</v>
      </c>
      <c r="D1149" s="4">
        <v>0</v>
      </c>
      <c r="E1149" s="3">
        <v>0.86971386603545398</v>
      </c>
      <c r="F1149" s="4">
        <v>2</v>
      </c>
      <c r="G1149" s="2">
        <v>281.64</v>
      </c>
      <c r="H1149" s="2">
        <v>140.82</v>
      </c>
      <c r="I1149" s="2">
        <v>281.64</v>
      </c>
      <c r="J1149" s="2" t="str">
        <f t="shared" si="34"/>
        <v>65-74</v>
      </c>
      <c r="K1149" s="17" t="str">
        <f t="shared" si="35"/>
        <v>12-15</v>
      </c>
    </row>
    <row r="1150" spans="1:11" x14ac:dyDescent="0.2">
      <c r="A1150" s="4">
        <v>36</v>
      </c>
      <c r="B1150" s="4">
        <v>5</v>
      </c>
      <c r="C1150" t="s">
        <v>8</v>
      </c>
      <c r="D1150" s="4">
        <v>1</v>
      </c>
      <c r="E1150" s="3">
        <v>0.74614242371171702</v>
      </c>
      <c r="F1150" s="4">
        <v>1</v>
      </c>
      <c r="G1150" s="2">
        <v>1071.19</v>
      </c>
      <c r="H1150" s="2">
        <v>1071.19</v>
      </c>
      <c r="I1150" s="2">
        <v>1071.19</v>
      </c>
      <c r="J1150" s="2" t="str">
        <f t="shared" si="34"/>
        <v>35-44</v>
      </c>
      <c r="K1150" s="17" t="str">
        <f t="shared" si="35"/>
        <v>3-5</v>
      </c>
    </row>
    <row r="1151" spans="1:11" x14ac:dyDescent="0.2">
      <c r="A1151" s="4">
        <v>57</v>
      </c>
      <c r="B1151" s="4">
        <v>14</v>
      </c>
      <c r="C1151" t="s">
        <v>8</v>
      </c>
      <c r="D1151" s="4">
        <v>0</v>
      </c>
      <c r="E1151" s="3">
        <v>0.87052667501848202</v>
      </c>
      <c r="F1151" s="4">
        <v>1</v>
      </c>
      <c r="G1151" s="2">
        <v>887.02</v>
      </c>
      <c r="H1151" s="2">
        <v>887.02</v>
      </c>
      <c r="I1151" s="2">
        <v>887.02</v>
      </c>
      <c r="J1151" s="2" t="str">
        <f t="shared" si="34"/>
        <v>55-64</v>
      </c>
      <c r="K1151" s="17" t="str">
        <f t="shared" si="35"/>
        <v>12-15</v>
      </c>
    </row>
    <row r="1152" spans="1:11" x14ac:dyDescent="0.2">
      <c r="A1152" s="4">
        <v>61</v>
      </c>
      <c r="B1152" s="4">
        <v>2</v>
      </c>
      <c r="C1152" t="s">
        <v>8</v>
      </c>
      <c r="D1152" s="4">
        <v>1</v>
      </c>
      <c r="E1152" s="3">
        <v>0.58309492538683105</v>
      </c>
      <c r="F1152" s="4">
        <v>1</v>
      </c>
      <c r="G1152" s="2">
        <v>1489.46</v>
      </c>
      <c r="H1152" s="2">
        <v>1489.46</v>
      </c>
      <c r="I1152" s="2">
        <v>1489.46</v>
      </c>
      <c r="J1152" s="2" t="str">
        <f t="shared" si="34"/>
        <v>55-64</v>
      </c>
      <c r="K1152" s="17" t="str">
        <f t="shared" si="35"/>
        <v>0-2</v>
      </c>
    </row>
    <row r="1153" spans="1:11" x14ac:dyDescent="0.2">
      <c r="A1153" s="4">
        <v>56</v>
      </c>
      <c r="B1153" s="4">
        <v>14</v>
      </c>
      <c r="C1153" t="s">
        <v>8</v>
      </c>
      <c r="D1153" s="4">
        <v>0</v>
      </c>
      <c r="E1153" s="3">
        <v>0.96116729592904404</v>
      </c>
      <c r="F1153" s="4">
        <v>1</v>
      </c>
      <c r="G1153" s="2">
        <v>743.54</v>
      </c>
      <c r="H1153" s="2">
        <v>743.54</v>
      </c>
      <c r="I1153" s="2">
        <v>743.54</v>
      </c>
      <c r="J1153" s="2" t="str">
        <f t="shared" si="34"/>
        <v>55-64</v>
      </c>
      <c r="K1153" s="17" t="str">
        <f t="shared" si="35"/>
        <v>12-15</v>
      </c>
    </row>
    <row r="1154" spans="1:11" x14ac:dyDescent="0.2">
      <c r="A1154" s="4">
        <v>24</v>
      </c>
      <c r="B1154" s="4">
        <v>14</v>
      </c>
      <c r="C1154" t="s">
        <v>8</v>
      </c>
      <c r="D1154" s="4">
        <v>2</v>
      </c>
      <c r="E1154" s="3">
        <v>0.73227028467226796</v>
      </c>
      <c r="F1154" s="4">
        <v>2</v>
      </c>
      <c r="G1154" s="2">
        <v>1189.3699999999999</v>
      </c>
      <c r="H1154" s="2">
        <v>594.69000000000005</v>
      </c>
      <c r="I1154" s="2">
        <v>1189.3699999999999</v>
      </c>
      <c r="J1154" s="2" t="str">
        <f t="shared" ref="J1154:J1217" si="36" xml:space="preserve"> IF(A1154&lt;25,"18-24",
 IF(A1154&lt;35,"25-34",
 IF(A1154&lt;45,"35-44",
 IF(A1154&lt;55,"45-54", IF(A1154&lt;65, "55-64", IF(A1154&lt;75, "65-74", "75-90"))))))</f>
        <v>18-24</v>
      </c>
      <c r="K1154" s="17" t="str">
        <f t="shared" ref="K1154:K1217" si="37" xml:space="preserve"> IF(B1154 &lt; 3, "0-2", IF(B1154 &lt; 6, "3-5", IF(B1154 &lt; 9, "6-8", IF(B1154 &lt; 12, "9-11", "12-15"))))</f>
        <v>12-15</v>
      </c>
    </row>
    <row r="1155" spans="1:11" x14ac:dyDescent="0.2">
      <c r="A1155" s="4">
        <v>44</v>
      </c>
      <c r="B1155" s="4">
        <v>6</v>
      </c>
      <c r="C1155" t="s">
        <v>8</v>
      </c>
      <c r="D1155" s="4">
        <v>0</v>
      </c>
      <c r="E1155" s="3">
        <v>0.827608364052139</v>
      </c>
      <c r="F1155" s="4">
        <v>1</v>
      </c>
      <c r="G1155" s="2">
        <v>971.49</v>
      </c>
      <c r="H1155" s="2">
        <v>971.49</v>
      </c>
      <c r="I1155" s="2">
        <v>971.49</v>
      </c>
      <c r="J1155" s="2" t="str">
        <f t="shared" si="36"/>
        <v>35-44</v>
      </c>
      <c r="K1155" s="17" t="str">
        <f t="shared" si="37"/>
        <v>6-8</v>
      </c>
    </row>
    <row r="1156" spans="1:11" x14ac:dyDescent="0.2">
      <c r="A1156" s="4">
        <v>45</v>
      </c>
      <c r="B1156" s="4">
        <v>13</v>
      </c>
      <c r="C1156" t="s">
        <v>10</v>
      </c>
      <c r="D1156" s="4">
        <v>0</v>
      </c>
      <c r="E1156" s="3">
        <v>0.85438956366851904</v>
      </c>
      <c r="F1156" s="4">
        <v>2</v>
      </c>
      <c r="G1156" s="2">
        <v>788.54</v>
      </c>
      <c r="H1156" s="2">
        <v>394.27</v>
      </c>
      <c r="I1156" s="2">
        <v>788.54</v>
      </c>
      <c r="J1156" s="2" t="str">
        <f t="shared" si="36"/>
        <v>45-54</v>
      </c>
      <c r="K1156" s="17" t="str">
        <f t="shared" si="37"/>
        <v>12-15</v>
      </c>
    </row>
    <row r="1157" spans="1:11" x14ac:dyDescent="0.2">
      <c r="A1157" s="4">
        <v>30</v>
      </c>
      <c r="B1157" s="4">
        <v>7</v>
      </c>
      <c r="C1157" t="s">
        <v>10</v>
      </c>
      <c r="D1157" s="4">
        <v>0</v>
      </c>
      <c r="E1157" s="3">
        <v>0.54837735835462798</v>
      </c>
      <c r="F1157" s="4">
        <v>1</v>
      </c>
      <c r="G1157" s="2">
        <v>916.72</v>
      </c>
      <c r="H1157" s="2">
        <v>916.72</v>
      </c>
      <c r="I1157" s="2">
        <v>916.72</v>
      </c>
      <c r="J1157" s="2" t="str">
        <f t="shared" si="36"/>
        <v>25-34</v>
      </c>
      <c r="K1157" s="17" t="str">
        <f t="shared" si="37"/>
        <v>6-8</v>
      </c>
    </row>
    <row r="1158" spans="1:11" x14ac:dyDescent="0.2">
      <c r="A1158" s="4">
        <v>86</v>
      </c>
      <c r="B1158" s="4">
        <v>7</v>
      </c>
      <c r="C1158" t="s">
        <v>8</v>
      </c>
      <c r="D1158" s="4">
        <v>1</v>
      </c>
      <c r="E1158" s="3">
        <v>0.65098224685061701</v>
      </c>
      <c r="F1158" s="4">
        <v>2</v>
      </c>
      <c r="G1158" s="2">
        <v>2543.35</v>
      </c>
      <c r="H1158" s="2">
        <v>1271.68</v>
      </c>
      <c r="I1158" s="2">
        <v>2543.35</v>
      </c>
      <c r="J1158" s="2" t="str">
        <f t="shared" si="36"/>
        <v>75-90</v>
      </c>
      <c r="K1158" s="17" t="str">
        <f t="shared" si="37"/>
        <v>6-8</v>
      </c>
    </row>
    <row r="1159" spans="1:11" x14ac:dyDescent="0.2">
      <c r="A1159" s="4">
        <v>23</v>
      </c>
      <c r="B1159" s="4">
        <v>8</v>
      </c>
      <c r="C1159" t="s">
        <v>16</v>
      </c>
      <c r="D1159" s="4">
        <v>1</v>
      </c>
      <c r="E1159" s="3">
        <v>0.85004574328195304</v>
      </c>
      <c r="F1159" s="4">
        <v>2</v>
      </c>
      <c r="G1159" s="2">
        <v>810.8</v>
      </c>
      <c r="H1159" s="2">
        <v>405.4</v>
      </c>
      <c r="I1159" s="2">
        <v>810.8</v>
      </c>
      <c r="J1159" s="2" t="str">
        <f t="shared" si="36"/>
        <v>18-24</v>
      </c>
      <c r="K1159" s="17" t="str">
        <f t="shared" si="37"/>
        <v>6-8</v>
      </c>
    </row>
    <row r="1160" spans="1:11" x14ac:dyDescent="0.2">
      <c r="A1160" s="4">
        <v>31</v>
      </c>
      <c r="B1160" s="4">
        <v>3</v>
      </c>
      <c r="C1160" t="s">
        <v>8</v>
      </c>
      <c r="D1160" s="4">
        <v>1</v>
      </c>
      <c r="E1160" s="3">
        <v>0.65778904524631798</v>
      </c>
      <c r="F1160" s="4">
        <v>1</v>
      </c>
      <c r="G1160" s="2">
        <v>718.95</v>
      </c>
      <c r="H1160" s="2">
        <v>718.95</v>
      </c>
      <c r="I1160" s="2">
        <v>718.95</v>
      </c>
      <c r="J1160" s="2" t="str">
        <f t="shared" si="36"/>
        <v>25-34</v>
      </c>
      <c r="K1160" s="17" t="str">
        <f t="shared" si="37"/>
        <v>3-5</v>
      </c>
    </row>
    <row r="1161" spans="1:11" x14ac:dyDescent="0.2">
      <c r="A1161" s="4">
        <v>66</v>
      </c>
      <c r="B1161" s="4">
        <v>12</v>
      </c>
      <c r="C1161" t="s">
        <v>8</v>
      </c>
      <c r="D1161" s="4">
        <v>1</v>
      </c>
      <c r="E1161" s="3">
        <v>0.66811132151633501</v>
      </c>
      <c r="F1161" s="4">
        <v>1</v>
      </c>
      <c r="G1161" s="2">
        <v>878.64</v>
      </c>
      <c r="H1161" s="2">
        <v>878.64</v>
      </c>
      <c r="I1161" s="2">
        <v>878.64</v>
      </c>
      <c r="J1161" s="2" t="str">
        <f t="shared" si="36"/>
        <v>65-74</v>
      </c>
      <c r="K1161" s="17" t="str">
        <f t="shared" si="37"/>
        <v>12-15</v>
      </c>
    </row>
    <row r="1162" spans="1:11" x14ac:dyDescent="0.2">
      <c r="A1162" s="4">
        <v>77</v>
      </c>
      <c r="B1162" s="4">
        <v>6</v>
      </c>
      <c r="C1162" t="s">
        <v>8</v>
      </c>
      <c r="D1162" s="4">
        <v>0</v>
      </c>
      <c r="E1162" s="3">
        <v>0.71548561565577995</v>
      </c>
      <c r="F1162" s="4">
        <v>1</v>
      </c>
      <c r="G1162" s="2">
        <v>622.30999999999995</v>
      </c>
      <c r="H1162" s="2">
        <v>622.30999999999995</v>
      </c>
      <c r="I1162" s="2">
        <v>622.30999999999995</v>
      </c>
      <c r="J1162" s="2" t="str">
        <f t="shared" si="36"/>
        <v>75-90</v>
      </c>
      <c r="K1162" s="17" t="str">
        <f t="shared" si="37"/>
        <v>6-8</v>
      </c>
    </row>
    <row r="1163" spans="1:11" x14ac:dyDescent="0.2">
      <c r="A1163" s="4">
        <v>47</v>
      </c>
      <c r="B1163" s="4">
        <v>7</v>
      </c>
      <c r="C1163" t="s">
        <v>8</v>
      </c>
      <c r="D1163" s="4">
        <v>1</v>
      </c>
      <c r="E1163" s="3">
        <v>0.98388365376740705</v>
      </c>
      <c r="F1163" s="4">
        <v>2</v>
      </c>
      <c r="G1163" s="2">
        <v>1313.46</v>
      </c>
      <c r="H1163" s="2">
        <v>656.73</v>
      </c>
      <c r="I1163" s="2">
        <v>1313.46</v>
      </c>
      <c r="J1163" s="2" t="str">
        <f t="shared" si="36"/>
        <v>45-54</v>
      </c>
      <c r="K1163" s="17" t="str">
        <f t="shared" si="37"/>
        <v>6-8</v>
      </c>
    </row>
    <row r="1164" spans="1:11" x14ac:dyDescent="0.2">
      <c r="A1164" s="4">
        <v>75</v>
      </c>
      <c r="B1164" s="4">
        <v>11</v>
      </c>
      <c r="C1164" t="s">
        <v>16</v>
      </c>
      <c r="D1164" s="4">
        <v>0</v>
      </c>
      <c r="E1164" s="3">
        <v>0.86363007244654</v>
      </c>
      <c r="F1164" s="4">
        <v>2</v>
      </c>
      <c r="G1164" s="2">
        <v>1661.32</v>
      </c>
      <c r="H1164" s="2">
        <v>830.66</v>
      </c>
      <c r="I1164" s="2">
        <v>1661.32</v>
      </c>
      <c r="J1164" s="2" t="str">
        <f t="shared" si="36"/>
        <v>75-90</v>
      </c>
      <c r="K1164" s="17" t="str">
        <f t="shared" si="37"/>
        <v>9-11</v>
      </c>
    </row>
    <row r="1165" spans="1:11" x14ac:dyDescent="0.2">
      <c r="A1165" s="4">
        <v>63</v>
      </c>
      <c r="B1165" s="4">
        <v>8</v>
      </c>
      <c r="C1165" t="s">
        <v>8</v>
      </c>
      <c r="D1165" s="4">
        <v>0</v>
      </c>
      <c r="E1165" s="3">
        <v>0.82066292199306201</v>
      </c>
      <c r="F1165" s="4">
        <v>1</v>
      </c>
      <c r="G1165" s="2">
        <v>376.09</v>
      </c>
      <c r="H1165" s="2">
        <v>376.09</v>
      </c>
      <c r="I1165" s="2">
        <v>376.09</v>
      </c>
      <c r="J1165" s="2" t="str">
        <f t="shared" si="36"/>
        <v>55-64</v>
      </c>
      <c r="K1165" s="17" t="str">
        <f t="shared" si="37"/>
        <v>6-8</v>
      </c>
    </row>
    <row r="1166" spans="1:11" x14ac:dyDescent="0.2">
      <c r="A1166" s="4">
        <v>47</v>
      </c>
      <c r="B1166" s="4">
        <v>4</v>
      </c>
      <c r="C1166" t="s">
        <v>8</v>
      </c>
      <c r="D1166" s="4">
        <v>1</v>
      </c>
      <c r="E1166" s="3">
        <v>0.86708912043832198</v>
      </c>
      <c r="F1166" s="4">
        <v>1</v>
      </c>
      <c r="G1166" s="2">
        <v>1104.28</v>
      </c>
      <c r="H1166" s="2">
        <v>1104.28</v>
      </c>
      <c r="I1166" s="2">
        <v>1104.28</v>
      </c>
      <c r="J1166" s="2" t="str">
        <f t="shared" si="36"/>
        <v>45-54</v>
      </c>
      <c r="K1166" s="17" t="str">
        <f t="shared" si="37"/>
        <v>3-5</v>
      </c>
    </row>
    <row r="1167" spans="1:11" x14ac:dyDescent="0.2">
      <c r="A1167" s="4">
        <v>38</v>
      </c>
      <c r="B1167" s="4">
        <v>5</v>
      </c>
      <c r="C1167" t="s">
        <v>10</v>
      </c>
      <c r="D1167" s="4">
        <v>0</v>
      </c>
      <c r="E1167" s="3">
        <v>0.653454201063141</v>
      </c>
      <c r="F1167" s="4">
        <v>1</v>
      </c>
      <c r="G1167" s="2">
        <v>303.27</v>
      </c>
      <c r="H1167" s="2">
        <v>303.27</v>
      </c>
      <c r="I1167" s="2">
        <v>303.27</v>
      </c>
      <c r="J1167" s="2" t="str">
        <f t="shared" si="36"/>
        <v>35-44</v>
      </c>
      <c r="K1167" s="17" t="str">
        <f t="shared" si="37"/>
        <v>3-5</v>
      </c>
    </row>
    <row r="1168" spans="1:11" x14ac:dyDescent="0.2">
      <c r="A1168" s="4">
        <v>82</v>
      </c>
      <c r="B1168" s="4">
        <v>12</v>
      </c>
      <c r="C1168" t="s">
        <v>16</v>
      </c>
      <c r="D1168" s="4">
        <v>0</v>
      </c>
      <c r="E1168" s="3">
        <v>0.52587914105970401</v>
      </c>
      <c r="F1168" s="4">
        <v>1</v>
      </c>
      <c r="G1168" s="2">
        <v>2036.01</v>
      </c>
      <c r="H1168" s="2">
        <v>2036.01</v>
      </c>
      <c r="I1168" s="2">
        <v>2036.01</v>
      </c>
      <c r="J1168" s="2" t="str">
        <f t="shared" si="36"/>
        <v>75-90</v>
      </c>
      <c r="K1168" s="17" t="str">
        <f t="shared" si="37"/>
        <v>12-15</v>
      </c>
    </row>
    <row r="1169" spans="1:11" x14ac:dyDescent="0.2">
      <c r="A1169" s="4">
        <v>26</v>
      </c>
      <c r="B1169" s="4">
        <v>3</v>
      </c>
      <c r="C1169" t="s">
        <v>8</v>
      </c>
      <c r="D1169" s="4">
        <v>0</v>
      </c>
      <c r="E1169" s="3">
        <v>0.86961394746322196</v>
      </c>
      <c r="F1169" s="4">
        <v>2</v>
      </c>
      <c r="G1169" s="2">
        <v>253.87</v>
      </c>
      <c r="H1169" s="2">
        <v>126.93</v>
      </c>
      <c r="I1169" s="2">
        <v>253.87</v>
      </c>
      <c r="J1169" s="2" t="str">
        <f t="shared" si="36"/>
        <v>25-34</v>
      </c>
      <c r="K1169" s="17" t="str">
        <f t="shared" si="37"/>
        <v>3-5</v>
      </c>
    </row>
    <row r="1170" spans="1:11" x14ac:dyDescent="0.2">
      <c r="A1170" s="4">
        <v>75</v>
      </c>
      <c r="B1170" s="4">
        <v>3</v>
      </c>
      <c r="C1170" t="s">
        <v>16</v>
      </c>
      <c r="D1170" s="4">
        <v>1</v>
      </c>
      <c r="E1170" s="3">
        <v>0.88625617686193403</v>
      </c>
      <c r="F1170" s="4">
        <v>2</v>
      </c>
      <c r="G1170" s="2">
        <v>2593.46</v>
      </c>
      <c r="H1170" s="2">
        <v>1296.73</v>
      </c>
      <c r="I1170" s="2">
        <v>2593.46</v>
      </c>
      <c r="J1170" s="2" t="str">
        <f t="shared" si="36"/>
        <v>75-90</v>
      </c>
      <c r="K1170" s="17" t="str">
        <f t="shared" si="37"/>
        <v>3-5</v>
      </c>
    </row>
    <row r="1171" spans="1:11" x14ac:dyDescent="0.2">
      <c r="A1171" s="4">
        <v>76</v>
      </c>
      <c r="B1171" s="4">
        <v>9</v>
      </c>
      <c r="C1171" t="s">
        <v>8</v>
      </c>
      <c r="D1171" s="4">
        <v>1</v>
      </c>
      <c r="E1171" s="3">
        <v>0.96543445764109503</v>
      </c>
      <c r="F1171" s="4">
        <v>1</v>
      </c>
      <c r="G1171" s="2">
        <v>1808.04</v>
      </c>
      <c r="H1171" s="2">
        <v>1808.04</v>
      </c>
      <c r="I1171" s="2">
        <v>1808.04</v>
      </c>
      <c r="J1171" s="2" t="str">
        <f t="shared" si="36"/>
        <v>75-90</v>
      </c>
      <c r="K1171" s="17" t="str">
        <f t="shared" si="37"/>
        <v>9-11</v>
      </c>
    </row>
    <row r="1172" spans="1:11" x14ac:dyDescent="0.2">
      <c r="A1172" s="4">
        <v>50</v>
      </c>
      <c r="B1172" s="4">
        <v>11</v>
      </c>
      <c r="C1172" t="s">
        <v>16</v>
      </c>
      <c r="D1172" s="4">
        <v>2</v>
      </c>
      <c r="E1172" s="3">
        <v>0.52974320028442901</v>
      </c>
      <c r="F1172" s="4">
        <v>1</v>
      </c>
      <c r="G1172" s="2">
        <v>1316.67</v>
      </c>
      <c r="H1172" s="2">
        <v>1316.67</v>
      </c>
      <c r="I1172" s="2">
        <v>1316.67</v>
      </c>
      <c r="J1172" s="2" t="str">
        <f t="shared" si="36"/>
        <v>45-54</v>
      </c>
      <c r="K1172" s="17" t="str">
        <f t="shared" si="37"/>
        <v>9-11</v>
      </c>
    </row>
    <row r="1173" spans="1:11" x14ac:dyDescent="0.2">
      <c r="A1173" s="4">
        <v>67</v>
      </c>
      <c r="B1173" s="4">
        <v>10</v>
      </c>
      <c r="C1173" t="s">
        <v>16</v>
      </c>
      <c r="D1173" s="4">
        <v>0</v>
      </c>
      <c r="E1173" s="3">
        <v>0.94579655805136997</v>
      </c>
      <c r="F1173" s="4">
        <v>1</v>
      </c>
      <c r="G1173" s="2">
        <v>932.91</v>
      </c>
      <c r="H1173" s="2">
        <v>932.91</v>
      </c>
      <c r="I1173" s="2">
        <v>932.91</v>
      </c>
      <c r="J1173" s="2" t="str">
        <f t="shared" si="36"/>
        <v>65-74</v>
      </c>
      <c r="K1173" s="17" t="str">
        <f t="shared" si="37"/>
        <v>9-11</v>
      </c>
    </row>
    <row r="1174" spans="1:11" x14ac:dyDescent="0.2">
      <c r="A1174" s="4">
        <v>85</v>
      </c>
      <c r="B1174" s="4">
        <v>9</v>
      </c>
      <c r="C1174" t="s">
        <v>8</v>
      </c>
      <c r="D1174" s="4">
        <v>2</v>
      </c>
      <c r="E1174" s="3">
        <v>0.90600851119961601</v>
      </c>
      <c r="F1174" s="4">
        <v>1</v>
      </c>
      <c r="G1174" s="2">
        <v>3433.15</v>
      </c>
      <c r="H1174" s="2">
        <v>3433.15</v>
      </c>
      <c r="I1174" s="2">
        <v>3433.15</v>
      </c>
      <c r="J1174" s="2" t="str">
        <f t="shared" si="36"/>
        <v>75-90</v>
      </c>
      <c r="K1174" s="17" t="str">
        <f t="shared" si="37"/>
        <v>9-11</v>
      </c>
    </row>
    <row r="1175" spans="1:11" x14ac:dyDescent="0.2">
      <c r="A1175" s="4">
        <v>22</v>
      </c>
      <c r="B1175" s="4">
        <v>13</v>
      </c>
      <c r="C1175" t="s">
        <v>16</v>
      </c>
      <c r="D1175" s="4">
        <v>0</v>
      </c>
      <c r="E1175" s="3">
        <v>0.59175623336341199</v>
      </c>
      <c r="F1175" s="4">
        <v>1</v>
      </c>
      <c r="G1175" s="2">
        <v>1639.95</v>
      </c>
      <c r="H1175" s="2">
        <v>1639.95</v>
      </c>
      <c r="I1175" s="2">
        <v>1639.95</v>
      </c>
      <c r="J1175" s="2" t="str">
        <f t="shared" si="36"/>
        <v>18-24</v>
      </c>
      <c r="K1175" s="17" t="str">
        <f t="shared" si="37"/>
        <v>12-15</v>
      </c>
    </row>
    <row r="1176" spans="1:11" x14ac:dyDescent="0.2">
      <c r="A1176" s="4">
        <v>69</v>
      </c>
      <c r="B1176" s="4">
        <v>11</v>
      </c>
      <c r="C1176" t="s">
        <v>10</v>
      </c>
      <c r="D1176" s="4">
        <v>0</v>
      </c>
      <c r="E1176" s="3">
        <v>0.70734751829877496</v>
      </c>
      <c r="F1176" s="4">
        <v>1</v>
      </c>
      <c r="G1176" s="2">
        <v>786.41</v>
      </c>
      <c r="H1176" s="2">
        <v>786.41</v>
      </c>
      <c r="I1176" s="2">
        <v>786.41</v>
      </c>
      <c r="J1176" s="2" t="str">
        <f t="shared" si="36"/>
        <v>65-74</v>
      </c>
      <c r="K1176" s="17" t="str">
        <f t="shared" si="37"/>
        <v>9-11</v>
      </c>
    </row>
    <row r="1177" spans="1:11" x14ac:dyDescent="0.2">
      <c r="A1177" s="4">
        <v>32</v>
      </c>
      <c r="B1177" s="4">
        <v>9</v>
      </c>
      <c r="C1177" t="s">
        <v>16</v>
      </c>
      <c r="D1177" s="4">
        <v>0</v>
      </c>
      <c r="E1177" s="3">
        <v>0.80717108631506596</v>
      </c>
      <c r="F1177" s="4">
        <v>2</v>
      </c>
      <c r="G1177" s="2">
        <v>973.92</v>
      </c>
      <c r="H1177" s="2">
        <v>486.96</v>
      </c>
      <c r="I1177" s="2">
        <v>973.92</v>
      </c>
      <c r="J1177" s="2" t="str">
        <f t="shared" si="36"/>
        <v>25-34</v>
      </c>
      <c r="K1177" s="17" t="str">
        <f t="shared" si="37"/>
        <v>9-11</v>
      </c>
    </row>
    <row r="1178" spans="1:11" x14ac:dyDescent="0.2">
      <c r="A1178" s="4">
        <v>59</v>
      </c>
      <c r="B1178" s="4">
        <v>4</v>
      </c>
      <c r="C1178" t="s">
        <v>10</v>
      </c>
      <c r="D1178" s="4">
        <v>0</v>
      </c>
      <c r="E1178" s="3">
        <v>0.53786032763309799</v>
      </c>
      <c r="F1178" s="4">
        <v>1</v>
      </c>
      <c r="G1178" s="2">
        <v>731.57</v>
      </c>
      <c r="H1178" s="2">
        <v>731.57</v>
      </c>
      <c r="I1178" s="2">
        <v>731.57</v>
      </c>
      <c r="J1178" s="2" t="str">
        <f t="shared" si="36"/>
        <v>55-64</v>
      </c>
      <c r="K1178" s="17" t="str">
        <f t="shared" si="37"/>
        <v>3-5</v>
      </c>
    </row>
    <row r="1179" spans="1:11" x14ac:dyDescent="0.2">
      <c r="A1179" s="4">
        <v>22</v>
      </c>
      <c r="B1179" s="4">
        <v>15</v>
      </c>
      <c r="C1179" t="s">
        <v>8</v>
      </c>
      <c r="D1179" s="4">
        <v>0</v>
      </c>
      <c r="E1179" s="3">
        <v>0.64429524226579804</v>
      </c>
      <c r="F1179" s="4">
        <v>1</v>
      </c>
      <c r="G1179" s="2">
        <v>492.4</v>
      </c>
      <c r="H1179" s="2">
        <v>492.4</v>
      </c>
      <c r="I1179" s="2">
        <v>492.4</v>
      </c>
      <c r="J1179" s="2" t="str">
        <f t="shared" si="36"/>
        <v>18-24</v>
      </c>
      <c r="K1179" s="17" t="str">
        <f t="shared" si="37"/>
        <v>12-15</v>
      </c>
    </row>
    <row r="1180" spans="1:11" x14ac:dyDescent="0.2">
      <c r="A1180" s="4">
        <v>49</v>
      </c>
      <c r="B1180" s="4">
        <v>9</v>
      </c>
      <c r="C1180" t="s">
        <v>8</v>
      </c>
      <c r="D1180" s="4">
        <v>0</v>
      </c>
      <c r="E1180" s="3">
        <v>0.68046534154564098</v>
      </c>
      <c r="F1180" s="4">
        <v>1</v>
      </c>
      <c r="G1180" s="2">
        <v>678.97</v>
      </c>
      <c r="H1180" s="2">
        <v>678.97</v>
      </c>
      <c r="I1180" s="2">
        <v>678.97</v>
      </c>
      <c r="J1180" s="2" t="str">
        <f t="shared" si="36"/>
        <v>45-54</v>
      </c>
      <c r="K1180" s="17" t="str">
        <f t="shared" si="37"/>
        <v>9-11</v>
      </c>
    </row>
    <row r="1181" spans="1:11" x14ac:dyDescent="0.2">
      <c r="A1181" s="4">
        <v>51</v>
      </c>
      <c r="B1181" s="4">
        <v>1</v>
      </c>
      <c r="C1181" t="s">
        <v>16</v>
      </c>
      <c r="D1181" s="4">
        <v>0</v>
      </c>
      <c r="E1181" s="3">
        <v>0.89806265837978605</v>
      </c>
      <c r="F1181" s="4">
        <v>1</v>
      </c>
      <c r="G1181" s="2">
        <v>666.39</v>
      </c>
      <c r="H1181" s="2">
        <v>666.39</v>
      </c>
      <c r="I1181" s="2">
        <v>666.39</v>
      </c>
      <c r="J1181" s="2" t="str">
        <f t="shared" si="36"/>
        <v>45-54</v>
      </c>
      <c r="K1181" s="17" t="str">
        <f t="shared" si="37"/>
        <v>0-2</v>
      </c>
    </row>
    <row r="1182" spans="1:11" x14ac:dyDescent="0.2">
      <c r="A1182" s="4">
        <v>89</v>
      </c>
      <c r="B1182" s="4">
        <v>14</v>
      </c>
      <c r="C1182" t="s">
        <v>8</v>
      </c>
      <c r="D1182" s="4">
        <v>0</v>
      </c>
      <c r="E1182" s="3">
        <v>0.82963139610365</v>
      </c>
      <c r="F1182" s="4">
        <v>1</v>
      </c>
      <c r="G1182" s="2">
        <v>2860.11</v>
      </c>
      <c r="H1182" s="2">
        <v>2860.11</v>
      </c>
      <c r="I1182" s="2">
        <v>2860.11</v>
      </c>
      <c r="J1182" s="2" t="str">
        <f t="shared" si="36"/>
        <v>75-90</v>
      </c>
      <c r="K1182" s="17" t="str">
        <f t="shared" si="37"/>
        <v>12-15</v>
      </c>
    </row>
    <row r="1183" spans="1:11" x14ac:dyDescent="0.2">
      <c r="A1183" s="4">
        <v>67</v>
      </c>
      <c r="B1183" s="4">
        <v>13</v>
      </c>
      <c r="C1183" t="s">
        <v>8</v>
      </c>
      <c r="D1183" s="4">
        <v>0</v>
      </c>
      <c r="E1183" s="3">
        <v>0.92697420052718404</v>
      </c>
      <c r="F1183" s="4">
        <v>1</v>
      </c>
      <c r="G1183" s="2">
        <v>1066.6600000000001</v>
      </c>
      <c r="H1183" s="2">
        <v>1066.6600000000001</v>
      </c>
      <c r="I1183" s="2">
        <v>1066.6600000000001</v>
      </c>
      <c r="J1183" s="2" t="str">
        <f t="shared" si="36"/>
        <v>65-74</v>
      </c>
      <c r="K1183" s="17" t="str">
        <f t="shared" si="37"/>
        <v>12-15</v>
      </c>
    </row>
    <row r="1184" spans="1:11" x14ac:dyDescent="0.2">
      <c r="A1184" s="4">
        <v>75</v>
      </c>
      <c r="B1184" s="4">
        <v>9</v>
      </c>
      <c r="C1184" t="s">
        <v>16</v>
      </c>
      <c r="D1184" s="4">
        <v>0</v>
      </c>
      <c r="E1184" s="3">
        <v>0.72188464039936695</v>
      </c>
      <c r="F1184" s="4">
        <v>1</v>
      </c>
      <c r="G1184" s="2">
        <v>1319.5</v>
      </c>
      <c r="H1184" s="2">
        <v>1319.5</v>
      </c>
      <c r="I1184" s="2">
        <v>1319.5</v>
      </c>
      <c r="J1184" s="2" t="str">
        <f t="shared" si="36"/>
        <v>75-90</v>
      </c>
      <c r="K1184" s="17" t="str">
        <f t="shared" si="37"/>
        <v>9-11</v>
      </c>
    </row>
    <row r="1185" spans="1:11" x14ac:dyDescent="0.2">
      <c r="A1185" s="4">
        <v>79</v>
      </c>
      <c r="B1185" s="4">
        <v>13</v>
      </c>
      <c r="C1185" t="s">
        <v>16</v>
      </c>
      <c r="D1185" s="4">
        <v>0</v>
      </c>
      <c r="E1185" s="3">
        <v>0.67135272931773204</v>
      </c>
      <c r="F1185" s="4">
        <v>1</v>
      </c>
      <c r="G1185" s="2">
        <v>1097.1500000000001</v>
      </c>
      <c r="H1185" s="2">
        <v>1097.1500000000001</v>
      </c>
      <c r="I1185" s="2">
        <v>1097.1500000000001</v>
      </c>
      <c r="J1185" s="2" t="str">
        <f t="shared" si="36"/>
        <v>75-90</v>
      </c>
      <c r="K1185" s="17" t="str">
        <f t="shared" si="37"/>
        <v>12-15</v>
      </c>
    </row>
    <row r="1186" spans="1:11" x14ac:dyDescent="0.2">
      <c r="A1186" s="4">
        <v>27</v>
      </c>
      <c r="B1186" s="4">
        <v>9</v>
      </c>
      <c r="C1186" t="s">
        <v>8</v>
      </c>
      <c r="D1186" s="4">
        <v>0</v>
      </c>
      <c r="E1186" s="3">
        <v>0.95802335196640298</v>
      </c>
      <c r="F1186" s="4">
        <v>1</v>
      </c>
      <c r="G1186" s="2">
        <v>362.83</v>
      </c>
      <c r="H1186" s="2">
        <v>362.83</v>
      </c>
      <c r="I1186" s="2">
        <v>362.83</v>
      </c>
      <c r="J1186" s="2" t="str">
        <f t="shared" si="36"/>
        <v>25-34</v>
      </c>
      <c r="K1186" s="17" t="str">
        <f t="shared" si="37"/>
        <v>9-11</v>
      </c>
    </row>
    <row r="1187" spans="1:11" x14ac:dyDescent="0.2">
      <c r="A1187" s="4">
        <v>88</v>
      </c>
      <c r="B1187" s="4">
        <v>3</v>
      </c>
      <c r="C1187" t="s">
        <v>16</v>
      </c>
      <c r="D1187" s="4">
        <v>0</v>
      </c>
      <c r="E1187" s="3">
        <v>0.77537576260510799</v>
      </c>
      <c r="F1187" s="4">
        <v>1</v>
      </c>
      <c r="G1187" s="2">
        <v>1433.95</v>
      </c>
      <c r="H1187" s="2">
        <v>1433.95</v>
      </c>
      <c r="I1187" s="2">
        <v>1433.95</v>
      </c>
      <c r="J1187" s="2" t="str">
        <f t="shared" si="36"/>
        <v>75-90</v>
      </c>
      <c r="K1187" s="17" t="str">
        <f t="shared" si="37"/>
        <v>3-5</v>
      </c>
    </row>
    <row r="1188" spans="1:11" x14ac:dyDescent="0.2">
      <c r="A1188" s="4">
        <v>67</v>
      </c>
      <c r="B1188" s="4">
        <v>1</v>
      </c>
      <c r="C1188" t="s">
        <v>10</v>
      </c>
      <c r="D1188" s="4">
        <v>1</v>
      </c>
      <c r="E1188" s="3">
        <v>0.93644397379830502</v>
      </c>
      <c r="F1188" s="4">
        <v>1</v>
      </c>
      <c r="G1188" s="2">
        <v>1662.3</v>
      </c>
      <c r="H1188" s="2">
        <v>1662.3</v>
      </c>
      <c r="I1188" s="2">
        <v>1662.3</v>
      </c>
      <c r="J1188" s="2" t="str">
        <f t="shared" si="36"/>
        <v>65-74</v>
      </c>
      <c r="K1188" s="17" t="str">
        <f t="shared" si="37"/>
        <v>0-2</v>
      </c>
    </row>
    <row r="1189" spans="1:11" x14ac:dyDescent="0.2">
      <c r="A1189" s="4">
        <v>77</v>
      </c>
      <c r="B1189" s="4">
        <v>8</v>
      </c>
      <c r="C1189" t="s">
        <v>10</v>
      </c>
      <c r="D1189" s="4">
        <v>1</v>
      </c>
      <c r="E1189" s="3">
        <v>0.750390516361222</v>
      </c>
      <c r="F1189" s="4">
        <v>2</v>
      </c>
      <c r="G1189" s="2">
        <v>2527.17</v>
      </c>
      <c r="H1189" s="2">
        <v>1263.5899999999999</v>
      </c>
      <c r="I1189" s="2">
        <v>2527.17</v>
      </c>
      <c r="J1189" s="2" t="str">
        <f t="shared" si="36"/>
        <v>75-90</v>
      </c>
      <c r="K1189" s="17" t="str">
        <f t="shared" si="37"/>
        <v>6-8</v>
      </c>
    </row>
    <row r="1190" spans="1:11" x14ac:dyDescent="0.2">
      <c r="A1190" s="4">
        <v>61</v>
      </c>
      <c r="B1190" s="4">
        <v>14</v>
      </c>
      <c r="C1190" t="s">
        <v>8</v>
      </c>
      <c r="D1190" s="4">
        <v>0</v>
      </c>
      <c r="E1190" s="3">
        <v>0.88145298545714501</v>
      </c>
      <c r="F1190" s="4">
        <v>1</v>
      </c>
      <c r="G1190" s="2">
        <v>677.52</v>
      </c>
      <c r="H1190" s="2">
        <v>677.52</v>
      </c>
      <c r="I1190" s="2">
        <v>677.52</v>
      </c>
      <c r="J1190" s="2" t="str">
        <f t="shared" si="36"/>
        <v>55-64</v>
      </c>
      <c r="K1190" s="17" t="str">
        <f t="shared" si="37"/>
        <v>12-15</v>
      </c>
    </row>
    <row r="1191" spans="1:11" x14ac:dyDescent="0.2">
      <c r="A1191" s="4">
        <v>62</v>
      </c>
      <c r="B1191" s="4">
        <v>11</v>
      </c>
      <c r="C1191" t="s">
        <v>16</v>
      </c>
      <c r="D1191" s="4">
        <v>0</v>
      </c>
      <c r="E1191" s="3">
        <v>0.89401520544197399</v>
      </c>
      <c r="F1191" s="4">
        <v>1</v>
      </c>
      <c r="G1191" s="2">
        <v>1037.54</v>
      </c>
      <c r="H1191" s="2">
        <v>1037.54</v>
      </c>
      <c r="I1191" s="2">
        <v>1037.54</v>
      </c>
      <c r="J1191" s="2" t="str">
        <f t="shared" si="36"/>
        <v>55-64</v>
      </c>
      <c r="K1191" s="17" t="str">
        <f t="shared" si="37"/>
        <v>9-11</v>
      </c>
    </row>
    <row r="1192" spans="1:11" x14ac:dyDescent="0.2">
      <c r="A1192" s="4">
        <v>88</v>
      </c>
      <c r="B1192" s="4">
        <v>12</v>
      </c>
      <c r="C1192" t="s">
        <v>8</v>
      </c>
      <c r="D1192" s="4">
        <v>1</v>
      </c>
      <c r="E1192" s="3">
        <v>0.52461687906179599</v>
      </c>
      <c r="F1192" s="4">
        <v>1</v>
      </c>
      <c r="G1192" s="2">
        <v>3586.57</v>
      </c>
      <c r="H1192" s="2">
        <v>3586.57</v>
      </c>
      <c r="I1192" s="2">
        <v>3586.57</v>
      </c>
      <c r="J1192" s="2" t="str">
        <f t="shared" si="36"/>
        <v>75-90</v>
      </c>
      <c r="K1192" s="17" t="str">
        <f t="shared" si="37"/>
        <v>12-15</v>
      </c>
    </row>
    <row r="1193" spans="1:11" x14ac:dyDescent="0.2">
      <c r="A1193" s="4">
        <v>90</v>
      </c>
      <c r="B1193" s="4">
        <v>0</v>
      </c>
      <c r="C1193" t="s">
        <v>16</v>
      </c>
      <c r="D1193" s="4">
        <v>0</v>
      </c>
      <c r="E1193" s="3">
        <v>0.93429559795185901</v>
      </c>
      <c r="F1193" s="4">
        <v>1</v>
      </c>
      <c r="G1193" s="2">
        <v>1709.35</v>
      </c>
      <c r="H1193" s="2">
        <v>1709.35</v>
      </c>
      <c r="I1193" s="2">
        <v>1709.35</v>
      </c>
      <c r="J1193" s="2" t="str">
        <f t="shared" si="36"/>
        <v>75-90</v>
      </c>
      <c r="K1193" s="17" t="str">
        <f t="shared" si="37"/>
        <v>0-2</v>
      </c>
    </row>
    <row r="1194" spans="1:11" x14ac:dyDescent="0.2">
      <c r="A1194" s="4">
        <v>79</v>
      </c>
      <c r="B1194" s="4">
        <v>7</v>
      </c>
      <c r="C1194" t="s">
        <v>16</v>
      </c>
      <c r="D1194" s="4">
        <v>0</v>
      </c>
      <c r="E1194" s="3">
        <v>0.82010885758791097</v>
      </c>
      <c r="F1194" s="4">
        <v>2</v>
      </c>
      <c r="G1194" s="2">
        <v>1292.21</v>
      </c>
      <c r="H1194" s="2">
        <v>646.11</v>
      </c>
      <c r="I1194" s="2">
        <v>1292.21</v>
      </c>
      <c r="J1194" s="2" t="str">
        <f t="shared" si="36"/>
        <v>75-90</v>
      </c>
      <c r="K1194" s="17" t="str">
        <f t="shared" si="37"/>
        <v>6-8</v>
      </c>
    </row>
    <row r="1195" spans="1:11" x14ac:dyDescent="0.2">
      <c r="A1195" s="4">
        <v>73</v>
      </c>
      <c r="B1195" s="4">
        <v>12</v>
      </c>
      <c r="C1195" t="s">
        <v>16</v>
      </c>
      <c r="D1195" s="4">
        <v>1</v>
      </c>
      <c r="E1195" s="3">
        <v>0.97588424861896805</v>
      </c>
      <c r="F1195" s="4">
        <v>1</v>
      </c>
      <c r="G1195" s="2">
        <v>1807.88</v>
      </c>
      <c r="H1195" s="2">
        <v>1807.88</v>
      </c>
      <c r="I1195" s="2">
        <v>1807.88</v>
      </c>
      <c r="J1195" s="2" t="str">
        <f t="shared" si="36"/>
        <v>65-74</v>
      </c>
      <c r="K1195" s="17" t="str">
        <f t="shared" si="37"/>
        <v>12-15</v>
      </c>
    </row>
    <row r="1196" spans="1:11" x14ac:dyDescent="0.2">
      <c r="A1196" s="4">
        <v>56</v>
      </c>
      <c r="B1196" s="4">
        <v>15</v>
      </c>
      <c r="C1196" t="s">
        <v>8</v>
      </c>
      <c r="D1196" s="4">
        <v>0</v>
      </c>
      <c r="E1196" s="3">
        <v>0.82367678650189202</v>
      </c>
      <c r="F1196" s="4">
        <v>1</v>
      </c>
      <c r="G1196" s="2">
        <v>429.4</v>
      </c>
      <c r="H1196" s="2">
        <v>429.4</v>
      </c>
      <c r="I1196" s="2">
        <v>429.4</v>
      </c>
      <c r="J1196" s="2" t="str">
        <f t="shared" si="36"/>
        <v>55-64</v>
      </c>
      <c r="K1196" s="17" t="str">
        <f t="shared" si="37"/>
        <v>12-15</v>
      </c>
    </row>
    <row r="1197" spans="1:11" x14ac:dyDescent="0.2">
      <c r="A1197" s="4">
        <v>71</v>
      </c>
      <c r="B1197" s="4">
        <v>11</v>
      </c>
      <c r="C1197" t="s">
        <v>8</v>
      </c>
      <c r="D1197" s="4">
        <v>1</v>
      </c>
      <c r="E1197" s="3">
        <v>0.77549240109510698</v>
      </c>
      <c r="F1197" s="4">
        <v>1</v>
      </c>
      <c r="G1197" s="2">
        <v>799.07</v>
      </c>
      <c r="H1197" s="2">
        <v>799.07</v>
      </c>
      <c r="I1197" s="2">
        <v>799.07</v>
      </c>
      <c r="J1197" s="2" t="str">
        <f t="shared" si="36"/>
        <v>65-74</v>
      </c>
      <c r="K1197" s="17" t="str">
        <f t="shared" si="37"/>
        <v>9-11</v>
      </c>
    </row>
    <row r="1198" spans="1:11" x14ac:dyDescent="0.2">
      <c r="A1198" s="4">
        <v>54</v>
      </c>
      <c r="B1198" s="4">
        <v>4</v>
      </c>
      <c r="C1198" t="s">
        <v>8</v>
      </c>
      <c r="D1198" s="4">
        <v>1</v>
      </c>
      <c r="E1198" s="3">
        <v>0.83245853078551602</v>
      </c>
      <c r="F1198" s="4">
        <v>1</v>
      </c>
      <c r="G1198" s="2">
        <v>1495.89</v>
      </c>
      <c r="H1198" s="2">
        <v>1495.89</v>
      </c>
      <c r="I1198" s="2">
        <v>1495.89</v>
      </c>
      <c r="J1198" s="2" t="str">
        <f t="shared" si="36"/>
        <v>45-54</v>
      </c>
      <c r="K1198" s="17" t="str">
        <f t="shared" si="37"/>
        <v>3-5</v>
      </c>
    </row>
    <row r="1199" spans="1:11" x14ac:dyDescent="0.2">
      <c r="A1199" s="4">
        <v>28</v>
      </c>
      <c r="B1199" s="4">
        <v>14</v>
      </c>
      <c r="C1199" t="s">
        <v>16</v>
      </c>
      <c r="D1199" s="4">
        <v>1</v>
      </c>
      <c r="E1199" s="3">
        <v>0.50799395819194604</v>
      </c>
      <c r="F1199" s="4">
        <v>1</v>
      </c>
      <c r="G1199" s="2">
        <v>1337.16</v>
      </c>
      <c r="H1199" s="2">
        <v>1337.16</v>
      </c>
      <c r="I1199" s="2">
        <v>1337.16</v>
      </c>
      <c r="J1199" s="2" t="str">
        <f t="shared" si="36"/>
        <v>25-34</v>
      </c>
      <c r="K1199" s="17" t="str">
        <f t="shared" si="37"/>
        <v>12-15</v>
      </c>
    </row>
    <row r="1200" spans="1:11" x14ac:dyDescent="0.2">
      <c r="A1200" s="4">
        <v>58</v>
      </c>
      <c r="B1200" s="4">
        <v>1</v>
      </c>
      <c r="C1200" t="s">
        <v>8</v>
      </c>
      <c r="D1200" s="4">
        <v>0</v>
      </c>
      <c r="E1200" s="3">
        <v>0.84292031638324305</v>
      </c>
      <c r="F1200" s="4">
        <v>1</v>
      </c>
      <c r="G1200" s="2">
        <v>508.38</v>
      </c>
      <c r="H1200" s="2">
        <v>508.38</v>
      </c>
      <c r="I1200" s="2">
        <v>508.38</v>
      </c>
      <c r="J1200" s="2" t="str">
        <f t="shared" si="36"/>
        <v>55-64</v>
      </c>
      <c r="K1200" s="17" t="str">
        <f t="shared" si="37"/>
        <v>0-2</v>
      </c>
    </row>
    <row r="1201" spans="1:11" x14ac:dyDescent="0.2">
      <c r="A1201" s="4">
        <v>29</v>
      </c>
      <c r="B1201" s="4">
        <v>12</v>
      </c>
      <c r="C1201" t="s">
        <v>8</v>
      </c>
      <c r="D1201" s="4">
        <v>0</v>
      </c>
      <c r="E1201" s="3">
        <v>0.91519718186464205</v>
      </c>
      <c r="F1201" s="4">
        <v>1</v>
      </c>
      <c r="G1201" s="2">
        <v>580.57000000000005</v>
      </c>
      <c r="H1201" s="2">
        <v>580.57000000000005</v>
      </c>
      <c r="I1201" s="2">
        <v>580.57000000000005</v>
      </c>
      <c r="J1201" s="2" t="str">
        <f t="shared" si="36"/>
        <v>25-34</v>
      </c>
      <c r="K1201" s="17" t="str">
        <f t="shared" si="37"/>
        <v>12-15</v>
      </c>
    </row>
    <row r="1202" spans="1:11" x14ac:dyDescent="0.2">
      <c r="A1202" s="4">
        <v>58</v>
      </c>
      <c r="B1202" s="4">
        <v>9</v>
      </c>
      <c r="C1202" t="s">
        <v>8</v>
      </c>
      <c r="D1202" s="4">
        <v>0</v>
      </c>
      <c r="E1202" s="3">
        <v>0.69000136235263199</v>
      </c>
      <c r="F1202" s="4">
        <v>1</v>
      </c>
      <c r="G1202" s="2">
        <v>432.78</v>
      </c>
      <c r="H1202" s="2">
        <v>432.78</v>
      </c>
      <c r="I1202" s="2">
        <v>432.78</v>
      </c>
      <c r="J1202" s="2" t="str">
        <f t="shared" si="36"/>
        <v>55-64</v>
      </c>
      <c r="K1202" s="17" t="str">
        <f t="shared" si="37"/>
        <v>9-11</v>
      </c>
    </row>
    <row r="1203" spans="1:11" x14ac:dyDescent="0.2">
      <c r="A1203" s="4">
        <v>36</v>
      </c>
      <c r="B1203" s="4">
        <v>12</v>
      </c>
      <c r="C1203" t="s">
        <v>8</v>
      </c>
      <c r="D1203" s="4">
        <v>0</v>
      </c>
      <c r="E1203" s="3">
        <v>0.56876808474771701</v>
      </c>
      <c r="F1203" s="4">
        <v>1</v>
      </c>
      <c r="G1203" s="2">
        <v>905.37</v>
      </c>
      <c r="H1203" s="2">
        <v>905.37</v>
      </c>
      <c r="I1203" s="2">
        <v>905.37</v>
      </c>
      <c r="J1203" s="2" t="str">
        <f t="shared" si="36"/>
        <v>35-44</v>
      </c>
      <c r="K1203" s="17" t="str">
        <f t="shared" si="37"/>
        <v>12-15</v>
      </c>
    </row>
    <row r="1204" spans="1:11" x14ac:dyDescent="0.2">
      <c r="A1204" s="4">
        <v>52</v>
      </c>
      <c r="B1204" s="4">
        <v>10</v>
      </c>
      <c r="C1204" t="s">
        <v>16</v>
      </c>
      <c r="D1204" s="4">
        <v>1</v>
      </c>
      <c r="E1204" s="3">
        <v>0.96850869350600999</v>
      </c>
      <c r="F1204" s="4">
        <v>1</v>
      </c>
      <c r="G1204" s="2">
        <v>1551.13</v>
      </c>
      <c r="H1204" s="2">
        <v>1551.13</v>
      </c>
      <c r="I1204" s="2">
        <v>1551.13</v>
      </c>
      <c r="J1204" s="2" t="str">
        <f t="shared" si="36"/>
        <v>45-54</v>
      </c>
      <c r="K1204" s="17" t="str">
        <f t="shared" si="37"/>
        <v>9-11</v>
      </c>
    </row>
    <row r="1205" spans="1:11" x14ac:dyDescent="0.2">
      <c r="A1205" s="4">
        <v>86</v>
      </c>
      <c r="B1205" s="4">
        <v>8</v>
      </c>
      <c r="C1205" t="s">
        <v>8</v>
      </c>
      <c r="D1205" s="4">
        <v>2</v>
      </c>
      <c r="E1205" s="3">
        <v>0.745795220253058</v>
      </c>
      <c r="F1205" s="4">
        <v>2</v>
      </c>
      <c r="G1205" s="2">
        <v>5832.72</v>
      </c>
      <c r="H1205" s="2">
        <v>2916.36</v>
      </c>
      <c r="I1205" s="2">
        <v>5832.72</v>
      </c>
      <c r="J1205" s="2" t="str">
        <f t="shared" si="36"/>
        <v>75-90</v>
      </c>
      <c r="K1205" s="17" t="str">
        <f t="shared" si="37"/>
        <v>6-8</v>
      </c>
    </row>
    <row r="1206" spans="1:11" x14ac:dyDescent="0.2">
      <c r="A1206" s="4">
        <v>63</v>
      </c>
      <c r="B1206" s="4">
        <v>14</v>
      </c>
      <c r="C1206" t="s">
        <v>10</v>
      </c>
      <c r="D1206" s="4">
        <v>0</v>
      </c>
      <c r="E1206" s="3">
        <v>0.94430208776611801</v>
      </c>
      <c r="F1206" s="4">
        <v>2</v>
      </c>
      <c r="G1206" s="2">
        <v>945.26</v>
      </c>
      <c r="H1206" s="2">
        <v>472.63</v>
      </c>
      <c r="I1206" s="2">
        <v>945.26</v>
      </c>
      <c r="J1206" s="2" t="str">
        <f t="shared" si="36"/>
        <v>55-64</v>
      </c>
      <c r="K1206" s="17" t="str">
        <f t="shared" si="37"/>
        <v>12-15</v>
      </c>
    </row>
    <row r="1207" spans="1:11" x14ac:dyDescent="0.2">
      <c r="A1207" s="4">
        <v>63</v>
      </c>
      <c r="B1207" s="4">
        <v>12</v>
      </c>
      <c r="C1207" t="s">
        <v>8</v>
      </c>
      <c r="D1207" s="4">
        <v>0</v>
      </c>
      <c r="E1207" s="3">
        <v>0.68802133074495897</v>
      </c>
      <c r="F1207" s="4">
        <v>1</v>
      </c>
      <c r="G1207" s="2">
        <v>719.9</v>
      </c>
      <c r="H1207" s="2">
        <v>719.9</v>
      </c>
      <c r="I1207" s="2">
        <v>719.9</v>
      </c>
      <c r="J1207" s="2" t="str">
        <f t="shared" si="36"/>
        <v>55-64</v>
      </c>
      <c r="K1207" s="17" t="str">
        <f t="shared" si="37"/>
        <v>12-15</v>
      </c>
    </row>
    <row r="1208" spans="1:11" x14ac:dyDescent="0.2">
      <c r="A1208" s="4">
        <v>24</v>
      </c>
      <c r="B1208" s="4">
        <v>8</v>
      </c>
      <c r="C1208" t="s">
        <v>16</v>
      </c>
      <c r="D1208" s="4">
        <v>0</v>
      </c>
      <c r="E1208" s="3">
        <v>0.88723058660980303</v>
      </c>
      <c r="F1208" s="4">
        <v>2</v>
      </c>
      <c r="G1208" s="2">
        <v>282.92</v>
      </c>
      <c r="H1208" s="2">
        <v>141.46</v>
      </c>
      <c r="I1208" s="2">
        <v>282.92</v>
      </c>
      <c r="J1208" s="2" t="str">
        <f t="shared" si="36"/>
        <v>18-24</v>
      </c>
      <c r="K1208" s="17" t="str">
        <f t="shared" si="37"/>
        <v>6-8</v>
      </c>
    </row>
    <row r="1209" spans="1:11" x14ac:dyDescent="0.2">
      <c r="A1209" s="4">
        <v>66</v>
      </c>
      <c r="B1209" s="4">
        <v>8</v>
      </c>
      <c r="C1209" t="s">
        <v>16</v>
      </c>
      <c r="D1209" s="4">
        <v>0</v>
      </c>
      <c r="E1209" s="3">
        <v>0.98530477017629903</v>
      </c>
      <c r="F1209" s="4">
        <v>1</v>
      </c>
      <c r="G1209" s="2">
        <v>891.05</v>
      </c>
      <c r="H1209" s="2">
        <v>891.05</v>
      </c>
      <c r="I1209" s="2">
        <v>891.05</v>
      </c>
      <c r="J1209" s="2" t="str">
        <f t="shared" si="36"/>
        <v>65-74</v>
      </c>
      <c r="K1209" s="17" t="str">
        <f t="shared" si="37"/>
        <v>6-8</v>
      </c>
    </row>
    <row r="1210" spans="1:11" x14ac:dyDescent="0.2">
      <c r="A1210" s="4">
        <v>32</v>
      </c>
      <c r="B1210" s="4">
        <v>13</v>
      </c>
      <c r="C1210" t="s">
        <v>16</v>
      </c>
      <c r="D1210" s="4">
        <v>1</v>
      </c>
      <c r="E1210" s="3">
        <v>0.601917764986865</v>
      </c>
      <c r="F1210" s="4">
        <v>1</v>
      </c>
      <c r="G1210" s="2">
        <v>592.94000000000005</v>
      </c>
      <c r="H1210" s="2">
        <v>592.94000000000005</v>
      </c>
      <c r="I1210" s="2">
        <v>592.94000000000005</v>
      </c>
      <c r="J1210" s="2" t="str">
        <f t="shared" si="36"/>
        <v>25-34</v>
      </c>
      <c r="K1210" s="17" t="str">
        <f t="shared" si="37"/>
        <v>12-15</v>
      </c>
    </row>
    <row r="1211" spans="1:11" x14ac:dyDescent="0.2">
      <c r="A1211" s="4">
        <v>67</v>
      </c>
      <c r="B1211" s="4">
        <v>4</v>
      </c>
      <c r="C1211" t="s">
        <v>8</v>
      </c>
      <c r="D1211" s="4">
        <v>0</v>
      </c>
      <c r="E1211" s="3">
        <v>0.96704818203579601</v>
      </c>
      <c r="F1211" s="4">
        <v>1</v>
      </c>
      <c r="G1211" s="2">
        <v>707.1</v>
      </c>
      <c r="H1211" s="2">
        <v>707.1</v>
      </c>
      <c r="I1211" s="2">
        <v>707.1</v>
      </c>
      <c r="J1211" s="2" t="str">
        <f t="shared" si="36"/>
        <v>65-74</v>
      </c>
      <c r="K1211" s="17" t="str">
        <f t="shared" si="37"/>
        <v>3-5</v>
      </c>
    </row>
    <row r="1212" spans="1:11" x14ac:dyDescent="0.2">
      <c r="A1212" s="4">
        <v>66</v>
      </c>
      <c r="B1212" s="4">
        <v>11</v>
      </c>
      <c r="C1212" t="s">
        <v>16</v>
      </c>
      <c r="D1212" s="4">
        <v>0</v>
      </c>
      <c r="E1212" s="3">
        <v>0.90845079347491298</v>
      </c>
      <c r="F1212" s="4">
        <v>1</v>
      </c>
      <c r="G1212" s="2">
        <v>2330.6</v>
      </c>
      <c r="H1212" s="2">
        <v>2330.6</v>
      </c>
      <c r="I1212" s="2">
        <v>2330.6</v>
      </c>
      <c r="J1212" s="2" t="str">
        <f t="shared" si="36"/>
        <v>65-74</v>
      </c>
      <c r="K1212" s="17" t="str">
        <f t="shared" si="37"/>
        <v>9-11</v>
      </c>
    </row>
    <row r="1213" spans="1:11" x14ac:dyDescent="0.2">
      <c r="A1213" s="4">
        <v>48</v>
      </c>
      <c r="B1213" s="4">
        <v>15</v>
      </c>
      <c r="C1213" t="s">
        <v>16</v>
      </c>
      <c r="D1213" s="4">
        <v>1</v>
      </c>
      <c r="E1213" s="3">
        <v>0.56963757739868004</v>
      </c>
      <c r="F1213" s="4">
        <v>1</v>
      </c>
      <c r="G1213" s="2">
        <v>1084.94</v>
      </c>
      <c r="H1213" s="2">
        <v>1084.94</v>
      </c>
      <c r="I1213" s="2">
        <v>1084.94</v>
      </c>
      <c r="J1213" s="2" t="str">
        <f t="shared" si="36"/>
        <v>45-54</v>
      </c>
      <c r="K1213" s="17" t="str">
        <f t="shared" si="37"/>
        <v>12-15</v>
      </c>
    </row>
    <row r="1214" spans="1:11" x14ac:dyDescent="0.2">
      <c r="A1214" s="4">
        <v>87</v>
      </c>
      <c r="B1214" s="4">
        <v>12</v>
      </c>
      <c r="C1214" t="s">
        <v>16</v>
      </c>
      <c r="D1214" s="4">
        <v>0</v>
      </c>
      <c r="E1214" s="3">
        <v>0.94101003371179104</v>
      </c>
      <c r="F1214" s="4">
        <v>1</v>
      </c>
      <c r="G1214" s="2">
        <v>3165.95</v>
      </c>
      <c r="H1214" s="2">
        <v>3165.95</v>
      </c>
      <c r="I1214" s="2">
        <v>3165.95</v>
      </c>
      <c r="J1214" s="2" t="str">
        <f t="shared" si="36"/>
        <v>75-90</v>
      </c>
      <c r="K1214" s="17" t="str">
        <f t="shared" si="37"/>
        <v>12-15</v>
      </c>
    </row>
    <row r="1215" spans="1:11" x14ac:dyDescent="0.2">
      <c r="A1215" s="4">
        <v>63</v>
      </c>
      <c r="B1215" s="4">
        <v>2</v>
      </c>
      <c r="C1215" t="s">
        <v>8</v>
      </c>
      <c r="D1215" s="4">
        <v>0</v>
      </c>
      <c r="E1215" s="3">
        <v>0.95888915564864896</v>
      </c>
      <c r="F1215" s="4">
        <v>1</v>
      </c>
      <c r="G1215" s="2">
        <v>269.39999999999998</v>
      </c>
      <c r="H1215" s="2">
        <v>269.39999999999998</v>
      </c>
      <c r="I1215" s="2">
        <v>269.39999999999998</v>
      </c>
      <c r="J1215" s="2" t="str">
        <f t="shared" si="36"/>
        <v>55-64</v>
      </c>
      <c r="K1215" s="17" t="str">
        <f t="shared" si="37"/>
        <v>0-2</v>
      </c>
    </row>
    <row r="1216" spans="1:11" x14ac:dyDescent="0.2">
      <c r="A1216" s="4">
        <v>78</v>
      </c>
      <c r="B1216" s="4">
        <v>13</v>
      </c>
      <c r="C1216" t="s">
        <v>8</v>
      </c>
      <c r="D1216" s="4">
        <v>0</v>
      </c>
      <c r="E1216" s="3">
        <v>0.68500239693094001</v>
      </c>
      <c r="F1216" s="4">
        <v>1</v>
      </c>
      <c r="G1216" s="2">
        <v>1819.55</v>
      </c>
      <c r="H1216" s="2">
        <v>1819.55</v>
      </c>
      <c r="I1216" s="2">
        <v>1819.55</v>
      </c>
      <c r="J1216" s="2" t="str">
        <f t="shared" si="36"/>
        <v>75-90</v>
      </c>
      <c r="K1216" s="17" t="str">
        <f t="shared" si="37"/>
        <v>12-15</v>
      </c>
    </row>
    <row r="1217" spans="1:11" x14ac:dyDescent="0.2">
      <c r="A1217" s="4">
        <v>24</v>
      </c>
      <c r="B1217" s="4">
        <v>11</v>
      </c>
      <c r="C1217" t="s">
        <v>8</v>
      </c>
      <c r="D1217" s="4">
        <v>0</v>
      </c>
      <c r="E1217" s="3">
        <v>0.66009089292492695</v>
      </c>
      <c r="F1217" s="4">
        <v>1</v>
      </c>
      <c r="G1217" s="2">
        <v>326.35000000000002</v>
      </c>
      <c r="H1217" s="2">
        <v>326.35000000000002</v>
      </c>
      <c r="I1217" s="2">
        <v>326.35000000000002</v>
      </c>
      <c r="J1217" s="2" t="str">
        <f t="shared" si="36"/>
        <v>18-24</v>
      </c>
      <c r="K1217" s="17" t="str">
        <f t="shared" si="37"/>
        <v>9-11</v>
      </c>
    </row>
    <row r="1218" spans="1:11" x14ac:dyDescent="0.2">
      <c r="A1218" s="4">
        <v>74</v>
      </c>
      <c r="B1218" s="4">
        <v>2</v>
      </c>
      <c r="C1218" t="s">
        <v>8</v>
      </c>
      <c r="D1218" s="4">
        <v>0</v>
      </c>
      <c r="E1218" s="3">
        <v>0.91088323213625699</v>
      </c>
      <c r="F1218" s="4">
        <v>1</v>
      </c>
      <c r="G1218" s="2">
        <v>762.84</v>
      </c>
      <c r="H1218" s="2">
        <v>762.84</v>
      </c>
      <c r="I1218" s="2">
        <v>762.84</v>
      </c>
      <c r="J1218" s="2" t="str">
        <f t="shared" ref="J1218:J1281" si="38" xml:space="preserve"> IF(A1218&lt;25,"18-24",
 IF(A1218&lt;35,"25-34",
 IF(A1218&lt;45,"35-44",
 IF(A1218&lt;55,"45-54", IF(A1218&lt;65, "55-64", IF(A1218&lt;75, "65-74", "75-90"))))))</f>
        <v>65-74</v>
      </c>
      <c r="K1218" s="17" t="str">
        <f t="shared" ref="K1218:K1281" si="39" xml:space="preserve"> IF(B1218 &lt; 3, "0-2", IF(B1218 &lt; 6, "3-5", IF(B1218 &lt; 9, "6-8", IF(B1218 &lt; 12, "9-11", "12-15"))))</f>
        <v>0-2</v>
      </c>
    </row>
    <row r="1219" spans="1:11" x14ac:dyDescent="0.2">
      <c r="A1219" s="4">
        <v>87</v>
      </c>
      <c r="B1219" s="4">
        <v>1</v>
      </c>
      <c r="C1219" t="s">
        <v>10</v>
      </c>
      <c r="D1219" s="4">
        <v>0</v>
      </c>
      <c r="E1219" s="3">
        <v>0.90940842695999902</v>
      </c>
      <c r="F1219" s="4">
        <v>3</v>
      </c>
      <c r="G1219" s="2">
        <v>1063.3</v>
      </c>
      <c r="H1219" s="2">
        <v>354.43</v>
      </c>
      <c r="I1219" s="2">
        <v>1063.3</v>
      </c>
      <c r="J1219" s="2" t="str">
        <f t="shared" si="38"/>
        <v>75-90</v>
      </c>
      <c r="K1219" s="17" t="str">
        <f t="shared" si="39"/>
        <v>0-2</v>
      </c>
    </row>
    <row r="1220" spans="1:11" x14ac:dyDescent="0.2">
      <c r="A1220" s="4">
        <v>63</v>
      </c>
      <c r="B1220" s="4">
        <v>2</v>
      </c>
      <c r="C1220" t="s">
        <v>8</v>
      </c>
      <c r="D1220" s="4">
        <v>0</v>
      </c>
      <c r="E1220" s="3">
        <v>0.99509968853090003</v>
      </c>
      <c r="F1220" s="4">
        <v>1</v>
      </c>
      <c r="G1220" s="2">
        <v>407.83</v>
      </c>
      <c r="H1220" s="2">
        <v>407.83</v>
      </c>
      <c r="I1220" s="2">
        <v>407.83</v>
      </c>
      <c r="J1220" s="2" t="str">
        <f t="shared" si="38"/>
        <v>55-64</v>
      </c>
      <c r="K1220" s="17" t="str">
        <f t="shared" si="39"/>
        <v>0-2</v>
      </c>
    </row>
    <row r="1221" spans="1:11" x14ac:dyDescent="0.2">
      <c r="A1221" s="4">
        <v>49</v>
      </c>
      <c r="B1221" s="4">
        <v>1</v>
      </c>
      <c r="C1221" t="s">
        <v>8</v>
      </c>
      <c r="D1221" s="4">
        <v>1</v>
      </c>
      <c r="E1221" s="3">
        <v>0.90566625364590403</v>
      </c>
      <c r="F1221" s="4">
        <v>1</v>
      </c>
      <c r="G1221" s="2">
        <v>1491.15</v>
      </c>
      <c r="H1221" s="2">
        <v>1491.15</v>
      </c>
      <c r="I1221" s="2">
        <v>1491.15</v>
      </c>
      <c r="J1221" s="2" t="str">
        <f t="shared" si="38"/>
        <v>45-54</v>
      </c>
      <c r="K1221" s="17" t="str">
        <f t="shared" si="39"/>
        <v>0-2</v>
      </c>
    </row>
    <row r="1222" spans="1:11" x14ac:dyDescent="0.2">
      <c r="A1222" s="4">
        <v>66</v>
      </c>
      <c r="B1222" s="4">
        <v>7</v>
      </c>
      <c r="C1222" t="s">
        <v>16</v>
      </c>
      <c r="D1222" s="4">
        <v>0</v>
      </c>
      <c r="E1222" s="3">
        <v>0.62007977638859302</v>
      </c>
      <c r="F1222" s="4">
        <v>1</v>
      </c>
      <c r="G1222" s="2">
        <v>960.77</v>
      </c>
      <c r="H1222" s="2">
        <v>960.77</v>
      </c>
      <c r="I1222" s="2">
        <v>960.77</v>
      </c>
      <c r="J1222" s="2" t="str">
        <f t="shared" si="38"/>
        <v>65-74</v>
      </c>
      <c r="K1222" s="17" t="str">
        <f t="shared" si="39"/>
        <v>6-8</v>
      </c>
    </row>
    <row r="1223" spans="1:11" x14ac:dyDescent="0.2">
      <c r="A1223" s="4">
        <v>81</v>
      </c>
      <c r="B1223" s="4">
        <v>8</v>
      </c>
      <c r="C1223" t="s">
        <v>8</v>
      </c>
      <c r="D1223" s="4">
        <v>0</v>
      </c>
      <c r="E1223" s="3">
        <v>0.96011107612866897</v>
      </c>
      <c r="F1223" s="4">
        <v>2</v>
      </c>
      <c r="G1223" s="2">
        <v>1651.19</v>
      </c>
      <c r="H1223" s="2">
        <v>825.6</v>
      </c>
      <c r="I1223" s="2">
        <v>1651.19</v>
      </c>
      <c r="J1223" s="2" t="str">
        <f t="shared" si="38"/>
        <v>75-90</v>
      </c>
      <c r="K1223" s="17" t="str">
        <f t="shared" si="39"/>
        <v>6-8</v>
      </c>
    </row>
    <row r="1224" spans="1:11" x14ac:dyDescent="0.2">
      <c r="A1224" s="4">
        <v>28</v>
      </c>
      <c r="B1224" s="4">
        <v>9</v>
      </c>
      <c r="C1224" t="s">
        <v>8</v>
      </c>
      <c r="D1224" s="4">
        <v>2</v>
      </c>
      <c r="E1224" s="3">
        <v>0.51004268985707302</v>
      </c>
      <c r="F1224" s="4">
        <v>1</v>
      </c>
      <c r="G1224" s="2">
        <v>605.64</v>
      </c>
      <c r="H1224" s="2">
        <v>605.64</v>
      </c>
      <c r="I1224" s="2">
        <v>605.64</v>
      </c>
      <c r="J1224" s="2" t="str">
        <f t="shared" si="38"/>
        <v>25-34</v>
      </c>
      <c r="K1224" s="17" t="str">
        <f t="shared" si="39"/>
        <v>9-11</v>
      </c>
    </row>
    <row r="1225" spans="1:11" x14ac:dyDescent="0.2">
      <c r="A1225" s="4">
        <v>84</v>
      </c>
      <c r="B1225" s="4">
        <v>4</v>
      </c>
      <c r="C1225" t="s">
        <v>10</v>
      </c>
      <c r="D1225" s="4">
        <v>0</v>
      </c>
      <c r="E1225" s="3">
        <v>0.51301605615299195</v>
      </c>
      <c r="F1225" s="4">
        <v>1</v>
      </c>
      <c r="G1225" s="2">
        <v>1183.82</v>
      </c>
      <c r="H1225" s="2">
        <v>1183.82</v>
      </c>
      <c r="I1225" s="2">
        <v>1183.82</v>
      </c>
      <c r="J1225" s="2" t="str">
        <f t="shared" si="38"/>
        <v>75-90</v>
      </c>
      <c r="K1225" s="17" t="str">
        <f t="shared" si="39"/>
        <v>3-5</v>
      </c>
    </row>
    <row r="1226" spans="1:11" x14ac:dyDescent="0.2">
      <c r="A1226" s="4">
        <v>84</v>
      </c>
      <c r="B1226" s="4">
        <v>7</v>
      </c>
      <c r="C1226" t="s">
        <v>10</v>
      </c>
      <c r="D1226" s="4">
        <v>0</v>
      </c>
      <c r="E1226" s="3">
        <v>0.92860522796399902</v>
      </c>
      <c r="F1226" s="4">
        <v>3</v>
      </c>
      <c r="G1226" s="2">
        <v>1497.28</v>
      </c>
      <c r="H1226" s="2">
        <v>499.09</v>
      </c>
      <c r="I1226" s="2">
        <v>1497.28</v>
      </c>
      <c r="J1226" s="2" t="str">
        <f t="shared" si="38"/>
        <v>75-90</v>
      </c>
      <c r="K1226" s="17" t="str">
        <f t="shared" si="39"/>
        <v>6-8</v>
      </c>
    </row>
    <row r="1227" spans="1:11" x14ac:dyDescent="0.2">
      <c r="A1227" s="4">
        <v>27</v>
      </c>
      <c r="B1227" s="4">
        <v>14</v>
      </c>
      <c r="C1227" t="s">
        <v>8</v>
      </c>
      <c r="D1227" s="4">
        <v>0</v>
      </c>
      <c r="E1227" s="3">
        <v>0.91087570798117701</v>
      </c>
      <c r="F1227" s="4">
        <v>1</v>
      </c>
      <c r="G1227" s="2">
        <v>954.28</v>
      </c>
      <c r="H1227" s="2">
        <v>954.28</v>
      </c>
      <c r="I1227" s="2">
        <v>954.28</v>
      </c>
      <c r="J1227" s="2" t="str">
        <f t="shared" si="38"/>
        <v>25-34</v>
      </c>
      <c r="K1227" s="17" t="str">
        <f t="shared" si="39"/>
        <v>12-15</v>
      </c>
    </row>
    <row r="1228" spans="1:11" x14ac:dyDescent="0.2">
      <c r="A1228" s="4">
        <v>67</v>
      </c>
      <c r="B1228" s="4">
        <v>7</v>
      </c>
      <c r="C1228" t="s">
        <v>10</v>
      </c>
      <c r="D1228" s="4">
        <v>0</v>
      </c>
      <c r="E1228" s="3">
        <v>0.95123962324578304</v>
      </c>
      <c r="F1228" s="4">
        <v>1</v>
      </c>
      <c r="G1228" s="2">
        <v>1071.5899999999999</v>
      </c>
      <c r="H1228" s="2">
        <v>1071.5899999999999</v>
      </c>
      <c r="I1228" s="2">
        <v>1071.5899999999999</v>
      </c>
      <c r="J1228" s="2" t="str">
        <f t="shared" si="38"/>
        <v>65-74</v>
      </c>
      <c r="K1228" s="17" t="str">
        <f t="shared" si="39"/>
        <v>6-8</v>
      </c>
    </row>
    <row r="1229" spans="1:11" x14ac:dyDescent="0.2">
      <c r="A1229" s="4">
        <v>82</v>
      </c>
      <c r="B1229" s="4">
        <v>15</v>
      </c>
      <c r="C1229" t="s">
        <v>10</v>
      </c>
      <c r="D1229" s="4">
        <v>0</v>
      </c>
      <c r="E1229" s="3">
        <v>0.824450458516367</v>
      </c>
      <c r="F1229" s="4">
        <v>2</v>
      </c>
      <c r="G1229" s="2">
        <v>1723.02</v>
      </c>
      <c r="H1229" s="2">
        <v>861.51</v>
      </c>
      <c r="I1229" s="2">
        <v>1723.02</v>
      </c>
      <c r="J1229" s="2" t="str">
        <f t="shared" si="38"/>
        <v>75-90</v>
      </c>
      <c r="K1229" s="17" t="str">
        <f t="shared" si="39"/>
        <v>12-15</v>
      </c>
    </row>
    <row r="1230" spans="1:11" x14ac:dyDescent="0.2">
      <c r="A1230" s="4">
        <v>77</v>
      </c>
      <c r="B1230" s="4">
        <v>8</v>
      </c>
      <c r="C1230" t="s">
        <v>8</v>
      </c>
      <c r="D1230" s="4">
        <v>0</v>
      </c>
      <c r="E1230" s="3">
        <v>0.95557323272805705</v>
      </c>
      <c r="F1230" s="4">
        <v>3</v>
      </c>
      <c r="G1230" s="2">
        <v>969.65</v>
      </c>
      <c r="H1230" s="2">
        <v>323.22000000000003</v>
      </c>
      <c r="I1230" s="2">
        <v>969.65</v>
      </c>
      <c r="J1230" s="2" t="str">
        <f t="shared" si="38"/>
        <v>75-90</v>
      </c>
      <c r="K1230" s="17" t="str">
        <f t="shared" si="39"/>
        <v>6-8</v>
      </c>
    </row>
    <row r="1231" spans="1:11" x14ac:dyDescent="0.2">
      <c r="A1231" s="4">
        <v>64</v>
      </c>
      <c r="B1231" s="4">
        <v>8</v>
      </c>
      <c r="C1231" t="s">
        <v>8</v>
      </c>
      <c r="D1231" s="4">
        <v>0</v>
      </c>
      <c r="E1231" s="3">
        <v>0.87789330841042101</v>
      </c>
      <c r="F1231" s="4">
        <v>3</v>
      </c>
      <c r="G1231" s="2">
        <v>585.55999999999995</v>
      </c>
      <c r="H1231" s="2">
        <v>195.19</v>
      </c>
      <c r="I1231" s="2">
        <v>585.55999999999995</v>
      </c>
      <c r="J1231" s="2" t="str">
        <f t="shared" si="38"/>
        <v>55-64</v>
      </c>
      <c r="K1231" s="17" t="str">
        <f t="shared" si="39"/>
        <v>6-8</v>
      </c>
    </row>
    <row r="1232" spans="1:11" x14ac:dyDescent="0.2">
      <c r="A1232" s="4">
        <v>75</v>
      </c>
      <c r="B1232" s="4">
        <v>8</v>
      </c>
      <c r="C1232" t="s">
        <v>10</v>
      </c>
      <c r="D1232" s="4">
        <v>0</v>
      </c>
      <c r="E1232" s="3">
        <v>0.73132178070955001</v>
      </c>
      <c r="F1232" s="4">
        <v>1</v>
      </c>
      <c r="G1232" s="2">
        <v>1437.12</v>
      </c>
      <c r="H1232" s="2">
        <v>1437.12</v>
      </c>
      <c r="I1232" s="2">
        <v>1437.12</v>
      </c>
      <c r="J1232" s="2" t="str">
        <f t="shared" si="38"/>
        <v>75-90</v>
      </c>
      <c r="K1232" s="17" t="str">
        <f t="shared" si="39"/>
        <v>6-8</v>
      </c>
    </row>
    <row r="1233" spans="1:11" x14ac:dyDescent="0.2">
      <c r="A1233" s="4">
        <v>18</v>
      </c>
      <c r="B1233" s="4">
        <v>8</v>
      </c>
      <c r="C1233" t="s">
        <v>10</v>
      </c>
      <c r="D1233" s="4">
        <v>0</v>
      </c>
      <c r="E1233" s="3">
        <v>0.849292827188037</v>
      </c>
      <c r="F1233" s="4">
        <v>1</v>
      </c>
      <c r="G1233" s="2">
        <v>423.58</v>
      </c>
      <c r="H1233" s="2">
        <v>423.58</v>
      </c>
      <c r="I1233" s="2">
        <v>423.58</v>
      </c>
      <c r="J1233" s="2" t="str">
        <f t="shared" si="38"/>
        <v>18-24</v>
      </c>
      <c r="K1233" s="17" t="str">
        <f t="shared" si="39"/>
        <v>6-8</v>
      </c>
    </row>
    <row r="1234" spans="1:11" x14ac:dyDescent="0.2">
      <c r="A1234" s="4">
        <v>85</v>
      </c>
      <c r="B1234" s="4">
        <v>7</v>
      </c>
      <c r="C1234" t="s">
        <v>16</v>
      </c>
      <c r="D1234" s="4">
        <v>0</v>
      </c>
      <c r="E1234" s="3">
        <v>0.88574163988232602</v>
      </c>
      <c r="F1234" s="4">
        <v>1</v>
      </c>
      <c r="G1234" s="2">
        <v>351.3</v>
      </c>
      <c r="H1234" s="2">
        <v>351.3</v>
      </c>
      <c r="I1234" s="2">
        <v>351.3</v>
      </c>
      <c r="J1234" s="2" t="str">
        <f t="shared" si="38"/>
        <v>75-90</v>
      </c>
      <c r="K1234" s="17" t="str">
        <f t="shared" si="39"/>
        <v>6-8</v>
      </c>
    </row>
    <row r="1235" spans="1:11" x14ac:dyDescent="0.2">
      <c r="A1235" s="4">
        <v>30</v>
      </c>
      <c r="B1235" s="4">
        <v>5</v>
      </c>
      <c r="C1235" t="s">
        <v>16</v>
      </c>
      <c r="D1235" s="4">
        <v>0</v>
      </c>
      <c r="E1235" s="3">
        <v>0.58652317314408697</v>
      </c>
      <c r="F1235" s="4">
        <v>1</v>
      </c>
      <c r="G1235" s="2">
        <v>354.71</v>
      </c>
      <c r="H1235" s="2">
        <v>354.71</v>
      </c>
      <c r="I1235" s="2">
        <v>354.71</v>
      </c>
      <c r="J1235" s="2" t="str">
        <f t="shared" si="38"/>
        <v>25-34</v>
      </c>
      <c r="K1235" s="17" t="str">
        <f t="shared" si="39"/>
        <v>3-5</v>
      </c>
    </row>
    <row r="1236" spans="1:11" x14ac:dyDescent="0.2">
      <c r="A1236" s="4">
        <v>54</v>
      </c>
      <c r="B1236" s="4">
        <v>7</v>
      </c>
      <c r="C1236" t="s">
        <v>10</v>
      </c>
      <c r="D1236" s="4">
        <v>0</v>
      </c>
      <c r="E1236" s="3">
        <v>0.99721940734889403</v>
      </c>
      <c r="F1236" s="4">
        <v>1</v>
      </c>
      <c r="G1236" s="2">
        <v>751.19</v>
      </c>
      <c r="H1236" s="2">
        <v>751.19</v>
      </c>
      <c r="I1236" s="2">
        <v>751.19</v>
      </c>
      <c r="J1236" s="2" t="str">
        <f t="shared" si="38"/>
        <v>45-54</v>
      </c>
      <c r="K1236" s="17" t="str">
        <f t="shared" si="39"/>
        <v>6-8</v>
      </c>
    </row>
    <row r="1237" spans="1:11" x14ac:dyDescent="0.2">
      <c r="A1237" s="4">
        <v>54</v>
      </c>
      <c r="B1237" s="4">
        <v>13</v>
      </c>
      <c r="C1237" t="s">
        <v>8</v>
      </c>
      <c r="D1237" s="4">
        <v>0</v>
      </c>
      <c r="E1237" s="3">
        <v>0.84950979985296704</v>
      </c>
      <c r="F1237" s="4">
        <v>1</v>
      </c>
      <c r="G1237" s="2">
        <v>442.1</v>
      </c>
      <c r="H1237" s="2">
        <v>442.1</v>
      </c>
      <c r="I1237" s="2">
        <v>442.1</v>
      </c>
      <c r="J1237" s="2" t="str">
        <f t="shared" si="38"/>
        <v>45-54</v>
      </c>
      <c r="K1237" s="17" t="str">
        <f t="shared" si="39"/>
        <v>12-15</v>
      </c>
    </row>
    <row r="1238" spans="1:11" x14ac:dyDescent="0.2">
      <c r="A1238" s="4">
        <v>87</v>
      </c>
      <c r="B1238" s="4">
        <v>5</v>
      </c>
      <c r="C1238" t="s">
        <v>16</v>
      </c>
      <c r="D1238" s="4">
        <v>1</v>
      </c>
      <c r="E1238" s="3">
        <v>0.85591703781392403</v>
      </c>
      <c r="F1238" s="4">
        <v>1</v>
      </c>
      <c r="G1238" s="2">
        <v>4514.71</v>
      </c>
      <c r="H1238" s="2">
        <v>4514.71</v>
      </c>
      <c r="I1238" s="2">
        <v>4514.71</v>
      </c>
      <c r="J1238" s="2" t="str">
        <f t="shared" si="38"/>
        <v>75-90</v>
      </c>
      <c r="K1238" s="17" t="str">
        <f t="shared" si="39"/>
        <v>3-5</v>
      </c>
    </row>
    <row r="1239" spans="1:11" x14ac:dyDescent="0.2">
      <c r="A1239" s="4">
        <v>38</v>
      </c>
      <c r="B1239" s="4">
        <v>8</v>
      </c>
      <c r="C1239" t="s">
        <v>8</v>
      </c>
      <c r="D1239" s="4">
        <v>0</v>
      </c>
      <c r="E1239" s="3">
        <v>0.794004873838276</v>
      </c>
      <c r="F1239" s="4">
        <v>1</v>
      </c>
      <c r="G1239" s="2">
        <v>931.74</v>
      </c>
      <c r="H1239" s="2">
        <v>931.74</v>
      </c>
      <c r="I1239" s="2">
        <v>931.74</v>
      </c>
      <c r="J1239" s="2" t="str">
        <f t="shared" si="38"/>
        <v>35-44</v>
      </c>
      <c r="K1239" s="17" t="str">
        <f t="shared" si="39"/>
        <v>6-8</v>
      </c>
    </row>
    <row r="1240" spans="1:11" x14ac:dyDescent="0.2">
      <c r="A1240" s="4">
        <v>84</v>
      </c>
      <c r="B1240" s="4">
        <v>10</v>
      </c>
      <c r="C1240" t="s">
        <v>16</v>
      </c>
      <c r="D1240" s="4">
        <v>1</v>
      </c>
      <c r="E1240" s="3">
        <v>0.94556217780336704</v>
      </c>
      <c r="F1240" s="4">
        <v>1</v>
      </c>
      <c r="G1240" s="2">
        <v>1872.18</v>
      </c>
      <c r="H1240" s="2">
        <v>1872.18</v>
      </c>
      <c r="I1240" s="2">
        <v>1872.18</v>
      </c>
      <c r="J1240" s="2" t="str">
        <f t="shared" si="38"/>
        <v>75-90</v>
      </c>
      <c r="K1240" s="17" t="str">
        <f t="shared" si="39"/>
        <v>9-11</v>
      </c>
    </row>
    <row r="1241" spans="1:11" x14ac:dyDescent="0.2">
      <c r="A1241" s="4">
        <v>24</v>
      </c>
      <c r="B1241" s="4">
        <v>2</v>
      </c>
      <c r="C1241" t="s">
        <v>8</v>
      </c>
      <c r="D1241" s="4">
        <v>0</v>
      </c>
      <c r="E1241" s="3">
        <v>0.72189162136055496</v>
      </c>
      <c r="F1241" s="4">
        <v>1</v>
      </c>
      <c r="G1241" s="2">
        <v>321.35000000000002</v>
      </c>
      <c r="H1241" s="2">
        <v>321.35000000000002</v>
      </c>
      <c r="I1241" s="2">
        <v>321.35000000000002</v>
      </c>
      <c r="J1241" s="2" t="str">
        <f t="shared" si="38"/>
        <v>18-24</v>
      </c>
      <c r="K1241" s="17" t="str">
        <f t="shared" si="39"/>
        <v>0-2</v>
      </c>
    </row>
    <row r="1242" spans="1:11" x14ac:dyDescent="0.2">
      <c r="A1242" s="4">
        <v>55</v>
      </c>
      <c r="B1242" s="4">
        <v>10</v>
      </c>
      <c r="C1242" t="s">
        <v>16</v>
      </c>
      <c r="D1242" s="4">
        <v>0</v>
      </c>
      <c r="E1242" s="3">
        <v>0.94990894140210003</v>
      </c>
      <c r="F1242" s="4">
        <v>1</v>
      </c>
      <c r="G1242" s="2">
        <v>509.37</v>
      </c>
      <c r="H1242" s="2">
        <v>509.37</v>
      </c>
      <c r="I1242" s="2">
        <v>509.37</v>
      </c>
      <c r="J1242" s="2" t="str">
        <f t="shared" si="38"/>
        <v>55-64</v>
      </c>
      <c r="K1242" s="17" t="str">
        <f t="shared" si="39"/>
        <v>9-11</v>
      </c>
    </row>
    <row r="1243" spans="1:11" x14ac:dyDescent="0.2">
      <c r="A1243" s="4">
        <v>39</v>
      </c>
      <c r="B1243" s="4">
        <v>6</v>
      </c>
      <c r="C1243" t="s">
        <v>10</v>
      </c>
      <c r="D1243" s="4">
        <v>1</v>
      </c>
      <c r="E1243" s="3">
        <v>0.888637402676977</v>
      </c>
      <c r="F1243" s="4">
        <v>2</v>
      </c>
      <c r="G1243" s="2">
        <v>544.62</v>
      </c>
      <c r="H1243" s="2">
        <v>272.31</v>
      </c>
      <c r="I1243" s="2">
        <v>544.62</v>
      </c>
      <c r="J1243" s="2" t="str">
        <f t="shared" si="38"/>
        <v>35-44</v>
      </c>
      <c r="K1243" s="17" t="str">
        <f t="shared" si="39"/>
        <v>6-8</v>
      </c>
    </row>
    <row r="1244" spans="1:11" x14ac:dyDescent="0.2">
      <c r="A1244" s="4">
        <v>86</v>
      </c>
      <c r="B1244" s="4">
        <v>10</v>
      </c>
      <c r="C1244" t="s">
        <v>8</v>
      </c>
      <c r="D1244" s="4">
        <v>0</v>
      </c>
      <c r="E1244" s="3">
        <v>0.54806399578228604</v>
      </c>
      <c r="F1244" s="4">
        <v>1</v>
      </c>
      <c r="G1244" s="2">
        <v>1495.02</v>
      </c>
      <c r="H1244" s="2">
        <v>1495.02</v>
      </c>
      <c r="I1244" s="2">
        <v>1495.02</v>
      </c>
      <c r="J1244" s="2" t="str">
        <f t="shared" si="38"/>
        <v>75-90</v>
      </c>
      <c r="K1244" s="17" t="str">
        <f t="shared" si="39"/>
        <v>9-11</v>
      </c>
    </row>
    <row r="1245" spans="1:11" x14ac:dyDescent="0.2">
      <c r="A1245" s="4">
        <v>87</v>
      </c>
      <c r="B1245" s="4">
        <v>4</v>
      </c>
      <c r="C1245" t="s">
        <v>10</v>
      </c>
      <c r="D1245" s="4">
        <v>0</v>
      </c>
      <c r="E1245" s="3">
        <v>0.88293899584095903</v>
      </c>
      <c r="F1245" s="4">
        <v>1</v>
      </c>
      <c r="G1245" s="2">
        <v>2652.5</v>
      </c>
      <c r="H1245" s="2">
        <v>2652.5</v>
      </c>
      <c r="I1245" s="2">
        <v>2652.5</v>
      </c>
      <c r="J1245" s="2" t="str">
        <f t="shared" si="38"/>
        <v>75-90</v>
      </c>
      <c r="K1245" s="17" t="str">
        <f t="shared" si="39"/>
        <v>3-5</v>
      </c>
    </row>
    <row r="1246" spans="1:11" x14ac:dyDescent="0.2">
      <c r="A1246" s="4">
        <v>30</v>
      </c>
      <c r="B1246" s="4">
        <v>7</v>
      </c>
      <c r="C1246" t="s">
        <v>10</v>
      </c>
      <c r="D1246" s="4">
        <v>2</v>
      </c>
      <c r="E1246" s="3">
        <v>0.828561020200141</v>
      </c>
      <c r="F1246" s="4">
        <v>1</v>
      </c>
      <c r="G1246" s="2">
        <v>901.9</v>
      </c>
      <c r="H1246" s="2">
        <v>901.9</v>
      </c>
      <c r="I1246" s="2">
        <v>901.9</v>
      </c>
      <c r="J1246" s="2" t="str">
        <f t="shared" si="38"/>
        <v>25-34</v>
      </c>
      <c r="K1246" s="17" t="str">
        <f t="shared" si="39"/>
        <v>6-8</v>
      </c>
    </row>
    <row r="1247" spans="1:11" x14ac:dyDescent="0.2">
      <c r="A1247" s="4">
        <v>20</v>
      </c>
      <c r="B1247" s="4">
        <v>15</v>
      </c>
      <c r="C1247" t="s">
        <v>16</v>
      </c>
      <c r="D1247" s="4">
        <v>1</v>
      </c>
      <c r="E1247" s="3">
        <v>0.58963155373930898</v>
      </c>
      <c r="F1247" s="4">
        <v>1</v>
      </c>
      <c r="G1247" s="2">
        <v>806.22</v>
      </c>
      <c r="H1247" s="2">
        <v>806.22</v>
      </c>
      <c r="I1247" s="2">
        <v>806.22</v>
      </c>
      <c r="J1247" s="2" t="str">
        <f t="shared" si="38"/>
        <v>18-24</v>
      </c>
      <c r="K1247" s="17" t="str">
        <f t="shared" si="39"/>
        <v>12-15</v>
      </c>
    </row>
    <row r="1248" spans="1:11" x14ac:dyDescent="0.2">
      <c r="A1248" s="4">
        <v>86</v>
      </c>
      <c r="B1248" s="4">
        <v>7</v>
      </c>
      <c r="C1248" t="s">
        <v>10</v>
      </c>
      <c r="D1248" s="4">
        <v>1</v>
      </c>
      <c r="E1248" s="3">
        <v>0.97799324197694704</v>
      </c>
      <c r="F1248" s="4">
        <v>1</v>
      </c>
      <c r="G1248" s="2">
        <v>1451.04</v>
      </c>
      <c r="H1248" s="2">
        <v>1451.04</v>
      </c>
      <c r="I1248" s="2">
        <v>1451.04</v>
      </c>
      <c r="J1248" s="2" t="str">
        <f t="shared" si="38"/>
        <v>75-90</v>
      </c>
      <c r="K1248" s="17" t="str">
        <f t="shared" si="39"/>
        <v>6-8</v>
      </c>
    </row>
    <row r="1249" spans="1:11" x14ac:dyDescent="0.2">
      <c r="A1249" s="4">
        <v>73</v>
      </c>
      <c r="B1249" s="4">
        <v>14</v>
      </c>
      <c r="C1249" t="s">
        <v>8</v>
      </c>
      <c r="D1249" s="4">
        <v>0</v>
      </c>
      <c r="E1249" s="3">
        <v>0.559919867897406</v>
      </c>
      <c r="F1249" s="4">
        <v>1</v>
      </c>
      <c r="G1249" s="2">
        <v>1424.33</v>
      </c>
      <c r="H1249" s="2">
        <v>1424.33</v>
      </c>
      <c r="I1249" s="2">
        <v>1424.33</v>
      </c>
      <c r="J1249" s="2" t="str">
        <f t="shared" si="38"/>
        <v>65-74</v>
      </c>
      <c r="K1249" s="17" t="str">
        <f t="shared" si="39"/>
        <v>12-15</v>
      </c>
    </row>
    <row r="1250" spans="1:11" x14ac:dyDescent="0.2">
      <c r="A1250" s="4">
        <v>68</v>
      </c>
      <c r="B1250" s="4">
        <v>10</v>
      </c>
      <c r="C1250" t="s">
        <v>8</v>
      </c>
      <c r="D1250" s="4">
        <v>0</v>
      </c>
      <c r="E1250" s="3">
        <v>0.96340488002169899</v>
      </c>
      <c r="F1250" s="4">
        <v>3</v>
      </c>
      <c r="G1250" s="2">
        <v>1068.68</v>
      </c>
      <c r="H1250" s="2">
        <v>356.23</v>
      </c>
      <c r="I1250" s="2">
        <v>1068.68</v>
      </c>
      <c r="J1250" s="2" t="str">
        <f t="shared" si="38"/>
        <v>65-74</v>
      </c>
      <c r="K1250" s="17" t="str">
        <f t="shared" si="39"/>
        <v>9-11</v>
      </c>
    </row>
    <row r="1251" spans="1:11" x14ac:dyDescent="0.2">
      <c r="A1251" s="4">
        <v>83</v>
      </c>
      <c r="B1251" s="4">
        <v>4</v>
      </c>
      <c r="C1251" t="s">
        <v>8</v>
      </c>
      <c r="D1251" s="4">
        <v>0</v>
      </c>
      <c r="E1251" s="3">
        <v>0.81836130050942302</v>
      </c>
      <c r="F1251" s="4">
        <v>2</v>
      </c>
      <c r="G1251" s="2">
        <v>1277.5999999999999</v>
      </c>
      <c r="H1251" s="2">
        <v>638.79999999999995</v>
      </c>
      <c r="I1251" s="2">
        <v>1277.5999999999999</v>
      </c>
      <c r="J1251" s="2" t="str">
        <f t="shared" si="38"/>
        <v>75-90</v>
      </c>
      <c r="K1251" s="17" t="str">
        <f t="shared" si="39"/>
        <v>3-5</v>
      </c>
    </row>
    <row r="1252" spans="1:11" x14ac:dyDescent="0.2">
      <c r="A1252" s="4">
        <v>25</v>
      </c>
      <c r="B1252" s="4">
        <v>4</v>
      </c>
      <c r="C1252" t="s">
        <v>10</v>
      </c>
      <c r="D1252" s="4">
        <v>1</v>
      </c>
      <c r="E1252" s="3">
        <v>0.877123287995346</v>
      </c>
      <c r="F1252" s="4">
        <v>1</v>
      </c>
      <c r="G1252" s="2">
        <v>273.04000000000002</v>
      </c>
      <c r="H1252" s="2">
        <v>273.04000000000002</v>
      </c>
      <c r="I1252" s="2">
        <v>273.04000000000002</v>
      </c>
      <c r="J1252" s="2" t="str">
        <f t="shared" si="38"/>
        <v>25-34</v>
      </c>
      <c r="K1252" s="17" t="str">
        <f t="shared" si="39"/>
        <v>3-5</v>
      </c>
    </row>
    <row r="1253" spans="1:11" x14ac:dyDescent="0.2">
      <c r="A1253" s="4">
        <v>19</v>
      </c>
      <c r="B1253" s="4">
        <v>10</v>
      </c>
      <c r="C1253" t="s">
        <v>16</v>
      </c>
      <c r="D1253" s="4">
        <v>1</v>
      </c>
      <c r="E1253" s="3">
        <v>0.50639723858330399</v>
      </c>
      <c r="F1253" s="4">
        <v>1</v>
      </c>
      <c r="G1253" s="2">
        <v>718.68</v>
      </c>
      <c r="H1253" s="2">
        <v>718.68</v>
      </c>
      <c r="I1253" s="2">
        <v>718.68</v>
      </c>
      <c r="J1253" s="2" t="str">
        <f t="shared" si="38"/>
        <v>18-24</v>
      </c>
      <c r="K1253" s="17" t="str">
        <f t="shared" si="39"/>
        <v>9-11</v>
      </c>
    </row>
    <row r="1254" spans="1:11" x14ac:dyDescent="0.2">
      <c r="A1254" s="4">
        <v>81</v>
      </c>
      <c r="B1254" s="4">
        <v>11</v>
      </c>
      <c r="C1254" t="s">
        <v>16</v>
      </c>
      <c r="D1254" s="4">
        <v>0</v>
      </c>
      <c r="E1254" s="3">
        <v>0.882965675788</v>
      </c>
      <c r="F1254" s="4">
        <v>2</v>
      </c>
      <c r="G1254" s="2">
        <v>532.11</v>
      </c>
      <c r="H1254" s="2">
        <v>266.05</v>
      </c>
      <c r="I1254" s="2">
        <v>532.11</v>
      </c>
      <c r="J1254" s="2" t="str">
        <f t="shared" si="38"/>
        <v>75-90</v>
      </c>
      <c r="K1254" s="17" t="str">
        <f t="shared" si="39"/>
        <v>9-11</v>
      </c>
    </row>
    <row r="1255" spans="1:11" x14ac:dyDescent="0.2">
      <c r="A1255" s="4">
        <v>49</v>
      </c>
      <c r="B1255" s="4">
        <v>11</v>
      </c>
      <c r="C1255" t="s">
        <v>8</v>
      </c>
      <c r="D1255" s="4">
        <v>0</v>
      </c>
      <c r="E1255" s="3">
        <v>0.61028147954493805</v>
      </c>
      <c r="F1255" s="4">
        <v>1</v>
      </c>
      <c r="G1255" s="2">
        <v>264.07</v>
      </c>
      <c r="H1255" s="2">
        <v>264.07</v>
      </c>
      <c r="I1255" s="2">
        <v>264.07</v>
      </c>
      <c r="J1255" s="2" t="str">
        <f t="shared" si="38"/>
        <v>45-54</v>
      </c>
      <c r="K1255" s="17" t="str">
        <f t="shared" si="39"/>
        <v>9-11</v>
      </c>
    </row>
    <row r="1256" spans="1:11" x14ac:dyDescent="0.2">
      <c r="A1256" s="4">
        <v>50</v>
      </c>
      <c r="B1256" s="4">
        <v>10</v>
      </c>
      <c r="C1256" t="s">
        <v>16</v>
      </c>
      <c r="D1256" s="4">
        <v>0</v>
      </c>
      <c r="E1256" s="3">
        <v>0.72037052363157295</v>
      </c>
      <c r="F1256" s="4">
        <v>3</v>
      </c>
      <c r="G1256" s="2">
        <v>751.18</v>
      </c>
      <c r="H1256" s="2">
        <v>250.39</v>
      </c>
      <c r="I1256" s="2">
        <v>751.18</v>
      </c>
      <c r="J1256" s="2" t="str">
        <f t="shared" si="38"/>
        <v>45-54</v>
      </c>
      <c r="K1256" s="17" t="str">
        <f t="shared" si="39"/>
        <v>9-11</v>
      </c>
    </row>
    <row r="1257" spans="1:11" x14ac:dyDescent="0.2">
      <c r="A1257" s="4">
        <v>51</v>
      </c>
      <c r="B1257" s="4">
        <v>6</v>
      </c>
      <c r="C1257" t="s">
        <v>16</v>
      </c>
      <c r="D1257" s="4">
        <v>0</v>
      </c>
      <c r="E1257" s="3">
        <v>0.97223501349799302</v>
      </c>
      <c r="F1257" s="4">
        <v>3</v>
      </c>
      <c r="G1257" s="2">
        <v>733.26</v>
      </c>
      <c r="H1257" s="2">
        <v>244.42</v>
      </c>
      <c r="I1257" s="2">
        <v>733.26</v>
      </c>
      <c r="J1257" s="2" t="str">
        <f t="shared" si="38"/>
        <v>45-54</v>
      </c>
      <c r="K1257" s="17" t="str">
        <f t="shared" si="39"/>
        <v>6-8</v>
      </c>
    </row>
    <row r="1258" spans="1:11" x14ac:dyDescent="0.2">
      <c r="A1258" s="4">
        <v>46</v>
      </c>
      <c r="B1258" s="4">
        <v>6</v>
      </c>
      <c r="C1258" t="s">
        <v>16</v>
      </c>
      <c r="D1258" s="4">
        <v>2</v>
      </c>
      <c r="E1258" s="3">
        <v>0.63996456575114302</v>
      </c>
      <c r="F1258" s="4">
        <v>1</v>
      </c>
      <c r="G1258" s="2">
        <v>1603.58</v>
      </c>
      <c r="H1258" s="2">
        <v>1603.58</v>
      </c>
      <c r="I1258" s="2">
        <v>1603.58</v>
      </c>
      <c r="J1258" s="2" t="str">
        <f t="shared" si="38"/>
        <v>45-54</v>
      </c>
      <c r="K1258" s="17" t="str">
        <f t="shared" si="39"/>
        <v>6-8</v>
      </c>
    </row>
    <row r="1259" spans="1:11" x14ac:dyDescent="0.2">
      <c r="A1259" s="4">
        <v>86</v>
      </c>
      <c r="B1259" s="4">
        <v>2</v>
      </c>
      <c r="C1259" t="s">
        <v>8</v>
      </c>
      <c r="D1259" s="4">
        <v>0</v>
      </c>
      <c r="E1259" s="3">
        <v>0.90695428929757305</v>
      </c>
      <c r="F1259" s="4">
        <v>1</v>
      </c>
      <c r="G1259" s="2">
        <v>1941.85</v>
      </c>
      <c r="H1259" s="2">
        <v>1941.85</v>
      </c>
      <c r="I1259" s="2">
        <v>1941.85</v>
      </c>
      <c r="J1259" s="2" t="str">
        <f t="shared" si="38"/>
        <v>75-90</v>
      </c>
      <c r="K1259" s="17" t="str">
        <f t="shared" si="39"/>
        <v>0-2</v>
      </c>
    </row>
    <row r="1260" spans="1:11" x14ac:dyDescent="0.2">
      <c r="A1260" s="4">
        <v>45</v>
      </c>
      <c r="B1260" s="4">
        <v>15</v>
      </c>
      <c r="C1260" t="s">
        <v>8</v>
      </c>
      <c r="D1260" s="4">
        <v>1</v>
      </c>
      <c r="E1260" s="3">
        <v>0.86294457572512295</v>
      </c>
      <c r="F1260" s="4">
        <v>1</v>
      </c>
      <c r="G1260" s="2">
        <v>798.03</v>
      </c>
      <c r="H1260" s="2">
        <v>798.03</v>
      </c>
      <c r="I1260" s="2">
        <v>798.03</v>
      </c>
      <c r="J1260" s="2" t="str">
        <f t="shared" si="38"/>
        <v>45-54</v>
      </c>
      <c r="K1260" s="17" t="str">
        <f t="shared" si="39"/>
        <v>12-15</v>
      </c>
    </row>
    <row r="1261" spans="1:11" x14ac:dyDescent="0.2">
      <c r="A1261" s="4">
        <v>68</v>
      </c>
      <c r="B1261" s="4">
        <v>6</v>
      </c>
      <c r="C1261" t="s">
        <v>10</v>
      </c>
      <c r="D1261" s="4">
        <v>0</v>
      </c>
      <c r="E1261" s="3">
        <v>0.952948465244845</v>
      </c>
      <c r="F1261" s="4">
        <v>2</v>
      </c>
      <c r="G1261" s="2">
        <v>2068.41</v>
      </c>
      <c r="H1261" s="2">
        <v>1034.21</v>
      </c>
      <c r="I1261" s="2">
        <v>2068.41</v>
      </c>
      <c r="J1261" s="2" t="str">
        <f t="shared" si="38"/>
        <v>65-74</v>
      </c>
      <c r="K1261" s="17" t="str">
        <f t="shared" si="39"/>
        <v>6-8</v>
      </c>
    </row>
    <row r="1262" spans="1:11" x14ac:dyDescent="0.2">
      <c r="A1262" s="4">
        <v>57</v>
      </c>
      <c r="B1262" s="4">
        <v>12</v>
      </c>
      <c r="C1262" t="s">
        <v>10</v>
      </c>
      <c r="D1262" s="4">
        <v>1</v>
      </c>
      <c r="E1262" s="3">
        <v>0.984261610428803</v>
      </c>
      <c r="F1262" s="4">
        <v>2</v>
      </c>
      <c r="G1262" s="2">
        <v>2406.2800000000002</v>
      </c>
      <c r="H1262" s="2">
        <v>1203.1400000000001</v>
      </c>
      <c r="I1262" s="2">
        <v>2406.2800000000002</v>
      </c>
      <c r="J1262" s="2" t="str">
        <f t="shared" si="38"/>
        <v>55-64</v>
      </c>
      <c r="K1262" s="17" t="str">
        <f t="shared" si="39"/>
        <v>12-15</v>
      </c>
    </row>
    <row r="1263" spans="1:11" x14ac:dyDescent="0.2">
      <c r="A1263" s="4">
        <v>29</v>
      </c>
      <c r="B1263" s="4">
        <v>6</v>
      </c>
      <c r="C1263" t="s">
        <v>10</v>
      </c>
      <c r="D1263" s="4">
        <v>1</v>
      </c>
      <c r="E1263" s="3">
        <v>0.60640485340263695</v>
      </c>
      <c r="F1263" s="4">
        <v>1</v>
      </c>
      <c r="G1263" s="2">
        <v>574.83000000000004</v>
      </c>
      <c r="H1263" s="2">
        <v>574.83000000000004</v>
      </c>
      <c r="I1263" s="2">
        <v>574.83000000000004</v>
      </c>
      <c r="J1263" s="2" t="str">
        <f t="shared" si="38"/>
        <v>25-34</v>
      </c>
      <c r="K1263" s="17" t="str">
        <f t="shared" si="39"/>
        <v>6-8</v>
      </c>
    </row>
    <row r="1264" spans="1:11" x14ac:dyDescent="0.2">
      <c r="A1264" s="4">
        <v>36</v>
      </c>
      <c r="B1264" s="4">
        <v>13</v>
      </c>
      <c r="C1264" t="s">
        <v>10</v>
      </c>
      <c r="D1264" s="4">
        <v>0</v>
      </c>
      <c r="E1264" s="3">
        <v>0.96747040271293405</v>
      </c>
      <c r="F1264" s="4">
        <v>1</v>
      </c>
      <c r="G1264" s="2">
        <v>3165.63</v>
      </c>
      <c r="H1264" s="2">
        <v>3165.63</v>
      </c>
      <c r="I1264" s="2">
        <v>3165.63</v>
      </c>
      <c r="J1264" s="2" t="str">
        <f t="shared" si="38"/>
        <v>35-44</v>
      </c>
      <c r="K1264" s="17" t="str">
        <f t="shared" si="39"/>
        <v>12-15</v>
      </c>
    </row>
    <row r="1265" spans="1:11" x14ac:dyDescent="0.2">
      <c r="A1265" s="4">
        <v>84</v>
      </c>
      <c r="B1265" s="4">
        <v>15</v>
      </c>
      <c r="C1265" t="s">
        <v>8</v>
      </c>
      <c r="D1265" s="4">
        <v>0</v>
      </c>
      <c r="E1265" s="3">
        <v>0.89177279046270996</v>
      </c>
      <c r="F1265" s="4">
        <v>1</v>
      </c>
      <c r="G1265" s="2">
        <v>2458.9299999999998</v>
      </c>
      <c r="H1265" s="2">
        <v>2458.9299999999998</v>
      </c>
      <c r="I1265" s="2">
        <v>2458.9299999999998</v>
      </c>
      <c r="J1265" s="2" t="str">
        <f t="shared" si="38"/>
        <v>75-90</v>
      </c>
      <c r="K1265" s="17" t="str">
        <f t="shared" si="39"/>
        <v>12-15</v>
      </c>
    </row>
    <row r="1266" spans="1:11" x14ac:dyDescent="0.2">
      <c r="A1266" s="4">
        <v>44</v>
      </c>
      <c r="B1266" s="4">
        <v>8</v>
      </c>
      <c r="C1266" t="s">
        <v>8</v>
      </c>
      <c r="D1266" s="4">
        <v>1</v>
      </c>
      <c r="E1266" s="3">
        <v>0.72864496160764203</v>
      </c>
      <c r="F1266" s="4">
        <v>1</v>
      </c>
      <c r="G1266" s="2">
        <v>447.53</v>
      </c>
      <c r="H1266" s="2">
        <v>447.53</v>
      </c>
      <c r="I1266" s="2">
        <v>447.53</v>
      </c>
      <c r="J1266" s="2" t="str">
        <f t="shared" si="38"/>
        <v>35-44</v>
      </c>
      <c r="K1266" s="17" t="str">
        <f t="shared" si="39"/>
        <v>6-8</v>
      </c>
    </row>
    <row r="1267" spans="1:11" x14ac:dyDescent="0.2">
      <c r="A1267" s="4">
        <v>79</v>
      </c>
      <c r="B1267" s="4">
        <v>3</v>
      </c>
      <c r="C1267" t="s">
        <v>16</v>
      </c>
      <c r="D1267" s="4">
        <v>0</v>
      </c>
      <c r="E1267" s="3">
        <v>0.90708024136256404</v>
      </c>
      <c r="F1267" s="4">
        <v>2</v>
      </c>
      <c r="G1267" s="2">
        <v>1625.55</v>
      </c>
      <c r="H1267" s="2">
        <v>812.77</v>
      </c>
      <c r="I1267" s="2">
        <v>1625.55</v>
      </c>
      <c r="J1267" s="2" t="str">
        <f t="shared" si="38"/>
        <v>75-90</v>
      </c>
      <c r="K1267" s="17" t="str">
        <f t="shared" si="39"/>
        <v>3-5</v>
      </c>
    </row>
    <row r="1268" spans="1:11" x14ac:dyDescent="0.2">
      <c r="A1268" s="4">
        <v>71</v>
      </c>
      <c r="B1268" s="4">
        <v>10</v>
      </c>
      <c r="C1268" t="s">
        <v>16</v>
      </c>
      <c r="D1268" s="4">
        <v>1</v>
      </c>
      <c r="E1268" s="3">
        <v>0.89486246055457697</v>
      </c>
      <c r="F1268" s="4">
        <v>1</v>
      </c>
      <c r="G1268" s="2">
        <v>1301.8499999999999</v>
      </c>
      <c r="H1268" s="2">
        <v>1301.8499999999999</v>
      </c>
      <c r="I1268" s="2">
        <v>1301.8499999999999</v>
      </c>
      <c r="J1268" s="2" t="str">
        <f t="shared" si="38"/>
        <v>65-74</v>
      </c>
      <c r="K1268" s="17" t="str">
        <f t="shared" si="39"/>
        <v>9-11</v>
      </c>
    </row>
    <row r="1269" spans="1:11" x14ac:dyDescent="0.2">
      <c r="A1269" s="4">
        <v>58</v>
      </c>
      <c r="B1269" s="4">
        <v>10</v>
      </c>
      <c r="C1269" t="s">
        <v>8</v>
      </c>
      <c r="D1269" s="4">
        <v>1</v>
      </c>
      <c r="E1269" s="3">
        <v>0.66091505892109104</v>
      </c>
      <c r="F1269" s="4">
        <v>1</v>
      </c>
      <c r="G1269" s="2">
        <v>2141.2800000000002</v>
      </c>
      <c r="H1269" s="2">
        <v>2141.2800000000002</v>
      </c>
      <c r="I1269" s="2">
        <v>2141.2800000000002</v>
      </c>
      <c r="J1269" s="2" t="str">
        <f t="shared" si="38"/>
        <v>55-64</v>
      </c>
      <c r="K1269" s="17" t="str">
        <f t="shared" si="39"/>
        <v>9-11</v>
      </c>
    </row>
    <row r="1270" spans="1:11" x14ac:dyDescent="0.2">
      <c r="A1270" s="4">
        <v>82</v>
      </c>
      <c r="B1270" s="4">
        <v>4</v>
      </c>
      <c r="C1270" t="s">
        <v>8</v>
      </c>
      <c r="D1270" s="4">
        <v>2</v>
      </c>
      <c r="E1270" s="3">
        <v>0.77886024606414095</v>
      </c>
      <c r="F1270" s="4">
        <v>1</v>
      </c>
      <c r="G1270" s="2">
        <v>1920.55</v>
      </c>
      <c r="H1270" s="2">
        <v>1920.55</v>
      </c>
      <c r="I1270" s="2">
        <v>1920.55</v>
      </c>
      <c r="J1270" s="2" t="str">
        <f t="shared" si="38"/>
        <v>75-90</v>
      </c>
      <c r="K1270" s="17" t="str">
        <f t="shared" si="39"/>
        <v>3-5</v>
      </c>
    </row>
    <row r="1271" spans="1:11" x14ac:dyDescent="0.2">
      <c r="A1271" s="4">
        <v>29</v>
      </c>
      <c r="B1271" s="4">
        <v>8</v>
      </c>
      <c r="C1271" t="s">
        <v>16</v>
      </c>
      <c r="D1271" s="4">
        <v>1</v>
      </c>
      <c r="E1271" s="3">
        <v>0.67213492176961198</v>
      </c>
      <c r="F1271" s="4">
        <v>2</v>
      </c>
      <c r="G1271" s="2">
        <v>513.92999999999995</v>
      </c>
      <c r="H1271" s="2">
        <v>256.97000000000003</v>
      </c>
      <c r="I1271" s="2">
        <v>513.92999999999995</v>
      </c>
      <c r="J1271" s="2" t="str">
        <f t="shared" si="38"/>
        <v>25-34</v>
      </c>
      <c r="K1271" s="17" t="str">
        <f t="shared" si="39"/>
        <v>6-8</v>
      </c>
    </row>
    <row r="1272" spans="1:11" x14ac:dyDescent="0.2">
      <c r="A1272" s="4">
        <v>80</v>
      </c>
      <c r="B1272" s="4">
        <v>14</v>
      </c>
      <c r="C1272" t="s">
        <v>8</v>
      </c>
      <c r="D1272" s="4">
        <v>1</v>
      </c>
      <c r="E1272" s="3">
        <v>0.53294620034284901</v>
      </c>
      <c r="F1272" s="4">
        <v>2</v>
      </c>
      <c r="G1272" s="2">
        <v>2190.44</v>
      </c>
      <c r="H1272" s="2">
        <v>1095.22</v>
      </c>
      <c r="I1272" s="2">
        <v>2190.44</v>
      </c>
      <c r="J1272" s="2" t="str">
        <f t="shared" si="38"/>
        <v>75-90</v>
      </c>
      <c r="K1272" s="17" t="str">
        <f t="shared" si="39"/>
        <v>12-15</v>
      </c>
    </row>
    <row r="1273" spans="1:11" x14ac:dyDescent="0.2">
      <c r="A1273" s="4">
        <v>69</v>
      </c>
      <c r="B1273" s="4">
        <v>0</v>
      </c>
      <c r="C1273" t="s">
        <v>8</v>
      </c>
      <c r="D1273" s="4">
        <v>0</v>
      </c>
      <c r="E1273" s="3">
        <v>0.84718898776918605</v>
      </c>
      <c r="F1273" s="4">
        <v>2</v>
      </c>
      <c r="G1273" s="2">
        <v>641.33000000000004</v>
      </c>
      <c r="H1273" s="2">
        <v>320.67</v>
      </c>
      <c r="I1273" s="2">
        <v>641.33000000000004</v>
      </c>
      <c r="J1273" s="2" t="str">
        <f t="shared" si="38"/>
        <v>65-74</v>
      </c>
      <c r="K1273" s="17" t="str">
        <f t="shared" si="39"/>
        <v>0-2</v>
      </c>
    </row>
    <row r="1274" spans="1:11" x14ac:dyDescent="0.2">
      <c r="A1274" s="4">
        <v>49</v>
      </c>
      <c r="B1274" s="4">
        <v>9</v>
      </c>
      <c r="C1274" t="s">
        <v>8</v>
      </c>
      <c r="D1274" s="4">
        <v>0</v>
      </c>
      <c r="E1274" s="3">
        <v>0.65723480680026103</v>
      </c>
      <c r="F1274" s="4">
        <v>1</v>
      </c>
      <c r="G1274" s="2">
        <v>238.52</v>
      </c>
      <c r="H1274" s="2">
        <v>238.52</v>
      </c>
      <c r="I1274" s="2">
        <v>238.52</v>
      </c>
      <c r="J1274" s="2" t="str">
        <f t="shared" si="38"/>
        <v>45-54</v>
      </c>
      <c r="K1274" s="17" t="str">
        <f t="shared" si="39"/>
        <v>9-11</v>
      </c>
    </row>
    <row r="1275" spans="1:11" x14ac:dyDescent="0.2">
      <c r="A1275" s="4">
        <v>84</v>
      </c>
      <c r="B1275" s="4">
        <v>7</v>
      </c>
      <c r="C1275" t="s">
        <v>8</v>
      </c>
      <c r="D1275" s="4">
        <v>0</v>
      </c>
      <c r="E1275" s="3">
        <v>0.59309511340688903</v>
      </c>
      <c r="F1275" s="4">
        <v>1</v>
      </c>
      <c r="G1275" s="2">
        <v>930.01</v>
      </c>
      <c r="H1275" s="2">
        <v>930.01</v>
      </c>
      <c r="I1275" s="2">
        <v>930.01</v>
      </c>
      <c r="J1275" s="2" t="str">
        <f t="shared" si="38"/>
        <v>75-90</v>
      </c>
      <c r="K1275" s="17" t="str">
        <f t="shared" si="39"/>
        <v>6-8</v>
      </c>
    </row>
    <row r="1276" spans="1:11" x14ac:dyDescent="0.2">
      <c r="A1276" s="4">
        <v>83</v>
      </c>
      <c r="B1276" s="4">
        <v>10</v>
      </c>
      <c r="C1276" t="s">
        <v>8</v>
      </c>
      <c r="D1276" s="4">
        <v>0</v>
      </c>
      <c r="E1276" s="3">
        <v>0.78938522259704802</v>
      </c>
      <c r="F1276" s="4">
        <v>2</v>
      </c>
      <c r="G1276" s="2">
        <v>3597.16</v>
      </c>
      <c r="H1276" s="2">
        <v>1798.58</v>
      </c>
      <c r="I1276" s="2">
        <v>3597.16</v>
      </c>
      <c r="J1276" s="2" t="str">
        <f t="shared" si="38"/>
        <v>75-90</v>
      </c>
      <c r="K1276" s="17" t="str">
        <f t="shared" si="39"/>
        <v>9-11</v>
      </c>
    </row>
    <row r="1277" spans="1:11" x14ac:dyDescent="0.2">
      <c r="A1277" s="4">
        <v>34</v>
      </c>
      <c r="B1277" s="4">
        <v>11</v>
      </c>
      <c r="C1277" t="s">
        <v>8</v>
      </c>
      <c r="D1277" s="4">
        <v>1</v>
      </c>
      <c r="E1277" s="3">
        <v>0.85001389065291699</v>
      </c>
      <c r="F1277" s="4">
        <v>1</v>
      </c>
      <c r="G1277" s="2">
        <v>652.49</v>
      </c>
      <c r="H1277" s="2">
        <v>652.49</v>
      </c>
      <c r="I1277" s="2">
        <v>652.49</v>
      </c>
      <c r="J1277" s="2" t="str">
        <f t="shared" si="38"/>
        <v>25-34</v>
      </c>
      <c r="K1277" s="17" t="str">
        <f t="shared" si="39"/>
        <v>9-11</v>
      </c>
    </row>
    <row r="1278" spans="1:11" x14ac:dyDescent="0.2">
      <c r="A1278" s="4">
        <v>73</v>
      </c>
      <c r="B1278" s="4">
        <v>1</v>
      </c>
      <c r="C1278" t="s">
        <v>8</v>
      </c>
      <c r="D1278" s="4">
        <v>1</v>
      </c>
      <c r="E1278" s="3">
        <v>0.98192361858673405</v>
      </c>
      <c r="F1278" s="4">
        <v>1</v>
      </c>
      <c r="G1278" s="2">
        <v>782.65</v>
      </c>
      <c r="H1278" s="2">
        <v>782.65</v>
      </c>
      <c r="I1278" s="2">
        <v>782.65</v>
      </c>
      <c r="J1278" s="2" t="str">
        <f t="shared" si="38"/>
        <v>65-74</v>
      </c>
      <c r="K1278" s="17" t="str">
        <f t="shared" si="39"/>
        <v>0-2</v>
      </c>
    </row>
    <row r="1279" spans="1:11" x14ac:dyDescent="0.2">
      <c r="A1279" s="4">
        <v>48</v>
      </c>
      <c r="B1279" s="4">
        <v>9</v>
      </c>
      <c r="C1279" t="s">
        <v>8</v>
      </c>
      <c r="D1279" s="4">
        <v>0</v>
      </c>
      <c r="E1279" s="3">
        <v>0.86085823795292504</v>
      </c>
      <c r="F1279" s="4">
        <v>1</v>
      </c>
      <c r="G1279" s="2">
        <v>1195.77</v>
      </c>
      <c r="H1279" s="2">
        <v>1195.77</v>
      </c>
      <c r="I1279" s="2">
        <v>1195.77</v>
      </c>
      <c r="J1279" s="2" t="str">
        <f t="shared" si="38"/>
        <v>45-54</v>
      </c>
      <c r="K1279" s="17" t="str">
        <f t="shared" si="39"/>
        <v>9-11</v>
      </c>
    </row>
    <row r="1280" spans="1:11" x14ac:dyDescent="0.2">
      <c r="A1280" s="4">
        <v>81</v>
      </c>
      <c r="B1280" s="4">
        <v>11</v>
      </c>
      <c r="C1280" t="s">
        <v>8</v>
      </c>
      <c r="D1280" s="4">
        <v>2</v>
      </c>
      <c r="E1280" s="3">
        <v>0.72552234621252898</v>
      </c>
      <c r="F1280" s="4">
        <v>1</v>
      </c>
      <c r="G1280" s="2">
        <v>2417.9499999999998</v>
      </c>
      <c r="H1280" s="2">
        <v>2417.9499999999998</v>
      </c>
      <c r="I1280" s="2">
        <v>2417.9499999999998</v>
      </c>
      <c r="J1280" s="2" t="str">
        <f t="shared" si="38"/>
        <v>75-90</v>
      </c>
      <c r="K1280" s="17" t="str">
        <f t="shared" si="39"/>
        <v>9-11</v>
      </c>
    </row>
    <row r="1281" spans="1:11" x14ac:dyDescent="0.2">
      <c r="A1281" s="4">
        <v>70</v>
      </c>
      <c r="B1281" s="4">
        <v>15</v>
      </c>
      <c r="C1281" t="s">
        <v>8</v>
      </c>
      <c r="D1281" s="4">
        <v>2</v>
      </c>
      <c r="E1281" s="3">
        <v>0.96422269160393603</v>
      </c>
      <c r="F1281" s="4">
        <v>4</v>
      </c>
      <c r="G1281" s="2">
        <v>2020.54</v>
      </c>
      <c r="H1281" s="2">
        <v>505.14</v>
      </c>
      <c r="I1281" s="2">
        <v>2020.54</v>
      </c>
      <c r="J1281" s="2" t="str">
        <f t="shared" si="38"/>
        <v>65-74</v>
      </c>
      <c r="K1281" s="17" t="str">
        <f t="shared" si="39"/>
        <v>12-15</v>
      </c>
    </row>
    <row r="1282" spans="1:11" x14ac:dyDescent="0.2">
      <c r="A1282" s="4">
        <v>78</v>
      </c>
      <c r="B1282" s="4">
        <v>4</v>
      </c>
      <c r="C1282" t="s">
        <v>16</v>
      </c>
      <c r="D1282" s="4">
        <v>1</v>
      </c>
      <c r="E1282" s="3">
        <v>0.98641320155002199</v>
      </c>
      <c r="F1282" s="4">
        <v>1</v>
      </c>
      <c r="G1282" s="2">
        <v>1652.41</v>
      </c>
      <c r="H1282" s="2">
        <v>1652.41</v>
      </c>
      <c r="I1282" s="2">
        <v>1652.41</v>
      </c>
      <c r="J1282" s="2" t="str">
        <f t="shared" ref="J1282:J1345" si="40" xml:space="preserve"> IF(A1282&lt;25,"18-24",
 IF(A1282&lt;35,"25-34",
 IF(A1282&lt;45,"35-44",
 IF(A1282&lt;55,"45-54", IF(A1282&lt;65, "55-64", IF(A1282&lt;75, "65-74", "75-90"))))))</f>
        <v>75-90</v>
      </c>
      <c r="K1282" s="17" t="str">
        <f t="shared" ref="K1282:K1345" si="41" xml:space="preserve"> IF(B1282 &lt; 3, "0-2", IF(B1282 &lt; 6, "3-5", IF(B1282 &lt; 9, "6-8", IF(B1282 &lt; 12, "9-11", "12-15"))))</f>
        <v>3-5</v>
      </c>
    </row>
    <row r="1283" spans="1:11" x14ac:dyDescent="0.2">
      <c r="A1283" s="4">
        <v>82</v>
      </c>
      <c r="B1283" s="4">
        <v>2</v>
      </c>
      <c r="C1283" t="s">
        <v>16</v>
      </c>
      <c r="D1283" s="4">
        <v>0</v>
      </c>
      <c r="E1283" s="3">
        <v>0.65066239482257504</v>
      </c>
      <c r="F1283" s="4">
        <v>1</v>
      </c>
      <c r="G1283" s="2">
        <v>937.48</v>
      </c>
      <c r="H1283" s="2">
        <v>937.48</v>
      </c>
      <c r="I1283" s="2">
        <v>937.48</v>
      </c>
      <c r="J1283" s="2" t="str">
        <f t="shared" si="40"/>
        <v>75-90</v>
      </c>
      <c r="K1283" s="17" t="str">
        <f t="shared" si="41"/>
        <v>0-2</v>
      </c>
    </row>
    <row r="1284" spans="1:11" x14ac:dyDescent="0.2">
      <c r="A1284" s="4">
        <v>19</v>
      </c>
      <c r="B1284" s="4">
        <v>13</v>
      </c>
      <c r="C1284" t="s">
        <v>16</v>
      </c>
      <c r="D1284" s="4">
        <v>0</v>
      </c>
      <c r="E1284" s="3">
        <v>0.562571526970714</v>
      </c>
      <c r="F1284" s="4">
        <v>1</v>
      </c>
      <c r="G1284" s="2">
        <v>564.52</v>
      </c>
      <c r="H1284" s="2">
        <v>564.52</v>
      </c>
      <c r="I1284" s="2">
        <v>564.52</v>
      </c>
      <c r="J1284" s="2" t="str">
        <f t="shared" si="40"/>
        <v>18-24</v>
      </c>
      <c r="K1284" s="17" t="str">
        <f t="shared" si="41"/>
        <v>12-15</v>
      </c>
    </row>
    <row r="1285" spans="1:11" x14ac:dyDescent="0.2">
      <c r="A1285" s="4">
        <v>21</v>
      </c>
      <c r="B1285" s="4">
        <v>2</v>
      </c>
      <c r="C1285" t="s">
        <v>10</v>
      </c>
      <c r="D1285" s="4">
        <v>0</v>
      </c>
      <c r="E1285" s="3">
        <v>0.68416777579113797</v>
      </c>
      <c r="F1285" s="4">
        <v>1</v>
      </c>
      <c r="G1285" s="2">
        <v>368.51</v>
      </c>
      <c r="H1285" s="2">
        <v>368.51</v>
      </c>
      <c r="I1285" s="2">
        <v>368.51</v>
      </c>
      <c r="J1285" s="2" t="str">
        <f t="shared" si="40"/>
        <v>18-24</v>
      </c>
      <c r="K1285" s="17" t="str">
        <f t="shared" si="41"/>
        <v>0-2</v>
      </c>
    </row>
    <row r="1286" spans="1:11" x14ac:dyDescent="0.2">
      <c r="A1286" s="4">
        <v>77</v>
      </c>
      <c r="B1286" s="4">
        <v>4</v>
      </c>
      <c r="C1286" t="s">
        <v>16</v>
      </c>
      <c r="D1286" s="4">
        <v>0</v>
      </c>
      <c r="E1286" s="3">
        <v>0.76479837903752901</v>
      </c>
      <c r="F1286" s="4">
        <v>2</v>
      </c>
      <c r="G1286" s="2">
        <v>631.83000000000004</v>
      </c>
      <c r="H1286" s="2">
        <v>315.92</v>
      </c>
      <c r="I1286" s="2">
        <v>631.83000000000004</v>
      </c>
      <c r="J1286" s="2" t="str">
        <f t="shared" si="40"/>
        <v>75-90</v>
      </c>
      <c r="K1286" s="17" t="str">
        <f t="shared" si="41"/>
        <v>3-5</v>
      </c>
    </row>
    <row r="1287" spans="1:11" x14ac:dyDescent="0.2">
      <c r="A1287" s="4">
        <v>30</v>
      </c>
      <c r="B1287" s="4">
        <v>9</v>
      </c>
      <c r="C1287" t="s">
        <v>10</v>
      </c>
      <c r="D1287" s="4">
        <v>1</v>
      </c>
      <c r="E1287" s="3">
        <v>0.67148744931910198</v>
      </c>
      <c r="F1287" s="4">
        <v>3</v>
      </c>
      <c r="G1287" s="2">
        <v>1016.36</v>
      </c>
      <c r="H1287" s="2">
        <v>338.79</v>
      </c>
      <c r="I1287" s="2">
        <v>1016.36</v>
      </c>
      <c r="J1287" s="2" t="str">
        <f t="shared" si="40"/>
        <v>25-34</v>
      </c>
      <c r="K1287" s="17" t="str">
        <f t="shared" si="41"/>
        <v>9-11</v>
      </c>
    </row>
    <row r="1288" spans="1:11" x14ac:dyDescent="0.2">
      <c r="A1288" s="4">
        <v>75</v>
      </c>
      <c r="B1288" s="4">
        <v>11</v>
      </c>
      <c r="C1288" t="s">
        <v>8</v>
      </c>
      <c r="D1288" s="4">
        <v>0</v>
      </c>
      <c r="E1288" s="3">
        <v>0.97363099677022502</v>
      </c>
      <c r="F1288" s="4">
        <v>1</v>
      </c>
      <c r="G1288" s="2">
        <v>2335.8000000000002</v>
      </c>
      <c r="H1288" s="2">
        <v>2335.8000000000002</v>
      </c>
      <c r="I1288" s="2">
        <v>2335.8000000000002</v>
      </c>
      <c r="J1288" s="2" t="str">
        <f t="shared" si="40"/>
        <v>75-90</v>
      </c>
      <c r="K1288" s="17" t="str">
        <f t="shared" si="41"/>
        <v>9-11</v>
      </c>
    </row>
    <row r="1289" spans="1:11" x14ac:dyDescent="0.2">
      <c r="A1289" s="4">
        <v>82</v>
      </c>
      <c r="B1289" s="4">
        <v>2</v>
      </c>
      <c r="C1289" t="s">
        <v>8</v>
      </c>
      <c r="D1289" s="4">
        <v>1</v>
      </c>
      <c r="E1289" s="3">
        <v>0.57861357810907099</v>
      </c>
      <c r="F1289" s="4">
        <v>1</v>
      </c>
      <c r="G1289" s="2">
        <v>1671.32</v>
      </c>
      <c r="H1289" s="2">
        <v>1671.32</v>
      </c>
      <c r="I1289" s="2">
        <v>1671.32</v>
      </c>
      <c r="J1289" s="2" t="str">
        <f t="shared" si="40"/>
        <v>75-90</v>
      </c>
      <c r="K1289" s="17" t="str">
        <f t="shared" si="41"/>
        <v>0-2</v>
      </c>
    </row>
    <row r="1290" spans="1:11" x14ac:dyDescent="0.2">
      <c r="A1290" s="4">
        <v>47</v>
      </c>
      <c r="B1290" s="4">
        <v>6</v>
      </c>
      <c r="C1290" t="s">
        <v>8</v>
      </c>
      <c r="D1290" s="4">
        <v>0</v>
      </c>
      <c r="E1290" s="3">
        <v>0.93796258303336799</v>
      </c>
      <c r="F1290" s="4">
        <v>1</v>
      </c>
      <c r="G1290" s="2">
        <v>549.38</v>
      </c>
      <c r="H1290" s="2">
        <v>549.38</v>
      </c>
      <c r="I1290" s="2">
        <v>549.38</v>
      </c>
      <c r="J1290" s="2" t="str">
        <f t="shared" si="40"/>
        <v>45-54</v>
      </c>
      <c r="K1290" s="17" t="str">
        <f t="shared" si="41"/>
        <v>6-8</v>
      </c>
    </row>
    <row r="1291" spans="1:11" x14ac:dyDescent="0.2">
      <c r="A1291" s="4">
        <v>66</v>
      </c>
      <c r="B1291" s="4">
        <v>7</v>
      </c>
      <c r="C1291" t="s">
        <v>8</v>
      </c>
      <c r="D1291" s="4">
        <v>1</v>
      </c>
      <c r="E1291" s="3">
        <v>0.50048247200902596</v>
      </c>
      <c r="F1291" s="4">
        <v>1</v>
      </c>
      <c r="G1291" s="2">
        <v>2523.29</v>
      </c>
      <c r="H1291" s="2">
        <v>2523.29</v>
      </c>
      <c r="I1291" s="2">
        <v>2523.29</v>
      </c>
      <c r="J1291" s="2" t="str">
        <f t="shared" si="40"/>
        <v>65-74</v>
      </c>
      <c r="K1291" s="17" t="str">
        <f t="shared" si="41"/>
        <v>6-8</v>
      </c>
    </row>
    <row r="1292" spans="1:11" x14ac:dyDescent="0.2">
      <c r="A1292" s="4">
        <v>75</v>
      </c>
      <c r="B1292" s="4">
        <v>0</v>
      </c>
      <c r="C1292" t="s">
        <v>8</v>
      </c>
      <c r="D1292" s="4">
        <v>1</v>
      </c>
      <c r="E1292" s="3">
        <v>0.95850810036063205</v>
      </c>
      <c r="F1292" s="4">
        <v>1</v>
      </c>
      <c r="G1292" s="2">
        <v>1109.03</v>
      </c>
      <c r="H1292" s="2">
        <v>1109.03</v>
      </c>
      <c r="I1292" s="2">
        <v>1109.03</v>
      </c>
      <c r="J1292" s="2" t="str">
        <f t="shared" si="40"/>
        <v>75-90</v>
      </c>
      <c r="K1292" s="17" t="str">
        <f t="shared" si="41"/>
        <v>0-2</v>
      </c>
    </row>
    <row r="1293" spans="1:11" x14ac:dyDescent="0.2">
      <c r="A1293" s="4">
        <v>37</v>
      </c>
      <c r="B1293" s="4">
        <v>14</v>
      </c>
      <c r="C1293" t="s">
        <v>8</v>
      </c>
      <c r="D1293" s="4">
        <v>2</v>
      </c>
      <c r="E1293" s="3">
        <v>0.69808870332781203</v>
      </c>
      <c r="F1293" s="4">
        <v>1</v>
      </c>
      <c r="G1293" s="2">
        <v>1904.54</v>
      </c>
      <c r="H1293" s="2">
        <v>1904.54</v>
      </c>
      <c r="I1293" s="2">
        <v>1904.54</v>
      </c>
      <c r="J1293" s="2" t="str">
        <f t="shared" si="40"/>
        <v>35-44</v>
      </c>
      <c r="K1293" s="17" t="str">
        <f t="shared" si="41"/>
        <v>12-15</v>
      </c>
    </row>
    <row r="1294" spans="1:11" x14ac:dyDescent="0.2">
      <c r="A1294" s="4">
        <v>31</v>
      </c>
      <c r="B1294" s="4">
        <v>1</v>
      </c>
      <c r="C1294" t="s">
        <v>10</v>
      </c>
      <c r="D1294" s="4">
        <v>0</v>
      </c>
      <c r="E1294" s="3">
        <v>0.99996223091147796</v>
      </c>
      <c r="F1294" s="4">
        <v>1</v>
      </c>
      <c r="G1294" s="2">
        <v>388.55</v>
      </c>
      <c r="H1294" s="2">
        <v>388.55</v>
      </c>
      <c r="I1294" s="2">
        <v>388.55</v>
      </c>
      <c r="J1294" s="2" t="str">
        <f t="shared" si="40"/>
        <v>25-34</v>
      </c>
      <c r="K1294" s="17" t="str">
        <f t="shared" si="41"/>
        <v>0-2</v>
      </c>
    </row>
    <row r="1295" spans="1:11" x14ac:dyDescent="0.2">
      <c r="A1295" s="4">
        <v>37</v>
      </c>
      <c r="B1295" s="4">
        <v>8</v>
      </c>
      <c r="C1295" t="s">
        <v>16</v>
      </c>
      <c r="D1295" s="4">
        <v>1</v>
      </c>
      <c r="E1295" s="3">
        <v>0.77979176025837704</v>
      </c>
      <c r="F1295" s="4">
        <v>2</v>
      </c>
      <c r="G1295" s="2">
        <v>1274.53</v>
      </c>
      <c r="H1295" s="2">
        <v>637.26</v>
      </c>
      <c r="I1295" s="2">
        <v>1274.53</v>
      </c>
      <c r="J1295" s="2" t="str">
        <f t="shared" si="40"/>
        <v>35-44</v>
      </c>
      <c r="K1295" s="17" t="str">
        <f t="shared" si="41"/>
        <v>6-8</v>
      </c>
    </row>
    <row r="1296" spans="1:11" x14ac:dyDescent="0.2">
      <c r="A1296" s="4">
        <v>46</v>
      </c>
      <c r="B1296" s="4">
        <v>6</v>
      </c>
      <c r="C1296" t="s">
        <v>8</v>
      </c>
      <c r="D1296" s="4">
        <v>0</v>
      </c>
      <c r="E1296" s="3">
        <v>0.57656115840654798</v>
      </c>
      <c r="F1296" s="4">
        <v>1</v>
      </c>
      <c r="G1296" s="2">
        <v>618.66</v>
      </c>
      <c r="H1296" s="2">
        <v>618.66</v>
      </c>
      <c r="I1296" s="2">
        <v>618.66</v>
      </c>
      <c r="J1296" s="2" t="str">
        <f t="shared" si="40"/>
        <v>45-54</v>
      </c>
      <c r="K1296" s="17" t="str">
        <f t="shared" si="41"/>
        <v>6-8</v>
      </c>
    </row>
    <row r="1297" spans="1:11" x14ac:dyDescent="0.2">
      <c r="A1297" s="4">
        <v>47</v>
      </c>
      <c r="B1297" s="4">
        <v>4</v>
      </c>
      <c r="C1297" t="s">
        <v>10</v>
      </c>
      <c r="D1297" s="4">
        <v>0</v>
      </c>
      <c r="E1297" s="3">
        <v>0.52878398145548999</v>
      </c>
      <c r="F1297" s="4">
        <v>1</v>
      </c>
      <c r="G1297" s="2">
        <v>1014.69</v>
      </c>
      <c r="H1297" s="2">
        <v>1014.69</v>
      </c>
      <c r="I1297" s="2">
        <v>1014.69</v>
      </c>
      <c r="J1297" s="2" t="str">
        <f t="shared" si="40"/>
        <v>45-54</v>
      </c>
      <c r="K1297" s="17" t="str">
        <f t="shared" si="41"/>
        <v>3-5</v>
      </c>
    </row>
    <row r="1298" spans="1:11" x14ac:dyDescent="0.2">
      <c r="A1298" s="4">
        <v>44</v>
      </c>
      <c r="B1298" s="4">
        <v>9</v>
      </c>
      <c r="C1298" t="s">
        <v>16</v>
      </c>
      <c r="D1298" s="4">
        <v>0</v>
      </c>
      <c r="E1298" s="3">
        <v>0.79449210921302404</v>
      </c>
      <c r="F1298" s="4">
        <v>1</v>
      </c>
      <c r="G1298" s="2">
        <v>480.74</v>
      </c>
      <c r="H1298" s="2">
        <v>480.74</v>
      </c>
      <c r="I1298" s="2">
        <v>480.74</v>
      </c>
      <c r="J1298" s="2" t="str">
        <f t="shared" si="40"/>
        <v>35-44</v>
      </c>
      <c r="K1298" s="17" t="str">
        <f t="shared" si="41"/>
        <v>9-11</v>
      </c>
    </row>
    <row r="1299" spans="1:11" x14ac:dyDescent="0.2">
      <c r="A1299" s="4">
        <v>68</v>
      </c>
      <c r="B1299" s="4">
        <v>2</v>
      </c>
      <c r="C1299" t="s">
        <v>8</v>
      </c>
      <c r="D1299" s="4">
        <v>0</v>
      </c>
      <c r="E1299" s="3">
        <v>0.80243360914755602</v>
      </c>
      <c r="F1299" s="4">
        <v>1</v>
      </c>
      <c r="G1299" s="2">
        <v>662.44</v>
      </c>
      <c r="H1299" s="2">
        <v>662.44</v>
      </c>
      <c r="I1299" s="2">
        <v>662.44</v>
      </c>
      <c r="J1299" s="2" t="str">
        <f t="shared" si="40"/>
        <v>65-74</v>
      </c>
      <c r="K1299" s="17" t="str">
        <f t="shared" si="41"/>
        <v>0-2</v>
      </c>
    </row>
    <row r="1300" spans="1:11" x14ac:dyDescent="0.2">
      <c r="A1300" s="4">
        <v>19</v>
      </c>
      <c r="B1300" s="4">
        <v>14</v>
      </c>
      <c r="C1300" t="s">
        <v>8</v>
      </c>
      <c r="D1300" s="4">
        <v>2</v>
      </c>
      <c r="E1300" s="3">
        <v>0.544849010300823</v>
      </c>
      <c r="F1300" s="4">
        <v>1</v>
      </c>
      <c r="G1300" s="2">
        <v>777.41</v>
      </c>
      <c r="H1300" s="2">
        <v>777.41</v>
      </c>
      <c r="I1300" s="2">
        <v>777.41</v>
      </c>
      <c r="J1300" s="2" t="str">
        <f t="shared" si="40"/>
        <v>18-24</v>
      </c>
      <c r="K1300" s="17" t="str">
        <f t="shared" si="41"/>
        <v>12-15</v>
      </c>
    </row>
    <row r="1301" spans="1:11" x14ac:dyDescent="0.2">
      <c r="A1301" s="4">
        <v>89</v>
      </c>
      <c r="B1301" s="4">
        <v>11</v>
      </c>
      <c r="C1301" t="s">
        <v>8</v>
      </c>
      <c r="D1301" s="4">
        <v>0</v>
      </c>
      <c r="E1301" s="3">
        <v>0.91305750852916401</v>
      </c>
      <c r="F1301" s="4">
        <v>1</v>
      </c>
      <c r="G1301" s="2">
        <v>1184.71</v>
      </c>
      <c r="H1301" s="2">
        <v>1184.71</v>
      </c>
      <c r="I1301" s="2">
        <v>1184.71</v>
      </c>
      <c r="J1301" s="2" t="str">
        <f t="shared" si="40"/>
        <v>75-90</v>
      </c>
      <c r="K1301" s="17" t="str">
        <f t="shared" si="41"/>
        <v>9-11</v>
      </c>
    </row>
    <row r="1302" spans="1:11" x14ac:dyDescent="0.2">
      <c r="A1302" s="4">
        <v>57</v>
      </c>
      <c r="B1302" s="4">
        <v>3</v>
      </c>
      <c r="C1302" t="s">
        <v>16</v>
      </c>
      <c r="D1302" s="4">
        <v>1</v>
      </c>
      <c r="E1302" s="3">
        <v>0.802527838619426</v>
      </c>
      <c r="F1302" s="4">
        <v>1</v>
      </c>
      <c r="G1302" s="2">
        <v>432.45</v>
      </c>
      <c r="H1302" s="2">
        <v>432.45</v>
      </c>
      <c r="I1302" s="2">
        <v>432.45</v>
      </c>
      <c r="J1302" s="2" t="str">
        <f t="shared" si="40"/>
        <v>55-64</v>
      </c>
      <c r="K1302" s="17" t="str">
        <f t="shared" si="41"/>
        <v>3-5</v>
      </c>
    </row>
    <row r="1303" spans="1:11" x14ac:dyDescent="0.2">
      <c r="A1303" s="4">
        <v>88</v>
      </c>
      <c r="B1303" s="4">
        <v>15</v>
      </c>
      <c r="C1303" t="s">
        <v>16</v>
      </c>
      <c r="D1303" s="4">
        <v>1</v>
      </c>
      <c r="E1303" s="3">
        <v>0.91376401041634403</v>
      </c>
      <c r="F1303" s="4">
        <v>3</v>
      </c>
      <c r="G1303" s="2">
        <v>4454</v>
      </c>
      <c r="H1303" s="2">
        <v>1484.67</v>
      </c>
      <c r="I1303" s="2">
        <v>4454</v>
      </c>
      <c r="J1303" s="2" t="str">
        <f t="shared" si="40"/>
        <v>75-90</v>
      </c>
      <c r="K1303" s="17" t="str">
        <f t="shared" si="41"/>
        <v>12-15</v>
      </c>
    </row>
    <row r="1304" spans="1:11" x14ac:dyDescent="0.2">
      <c r="A1304" s="4">
        <v>54</v>
      </c>
      <c r="B1304" s="4">
        <v>13</v>
      </c>
      <c r="C1304" t="s">
        <v>8</v>
      </c>
      <c r="D1304" s="4">
        <v>0</v>
      </c>
      <c r="E1304" s="3">
        <v>0.87001046387013004</v>
      </c>
      <c r="F1304" s="4">
        <v>3</v>
      </c>
      <c r="G1304" s="2">
        <v>491.73</v>
      </c>
      <c r="H1304" s="2">
        <v>163.91</v>
      </c>
      <c r="I1304" s="2">
        <v>491.73</v>
      </c>
      <c r="J1304" s="2" t="str">
        <f t="shared" si="40"/>
        <v>45-54</v>
      </c>
      <c r="K1304" s="17" t="str">
        <f t="shared" si="41"/>
        <v>12-15</v>
      </c>
    </row>
    <row r="1305" spans="1:11" x14ac:dyDescent="0.2">
      <c r="A1305" s="4">
        <v>84</v>
      </c>
      <c r="B1305" s="4">
        <v>3</v>
      </c>
      <c r="C1305" t="s">
        <v>8</v>
      </c>
      <c r="D1305" s="4">
        <v>3</v>
      </c>
      <c r="E1305" s="3">
        <v>0.79257064498961005</v>
      </c>
      <c r="F1305" s="4">
        <v>1</v>
      </c>
      <c r="G1305" s="2">
        <v>2410.09</v>
      </c>
      <c r="H1305" s="2">
        <v>2410.09</v>
      </c>
      <c r="I1305" s="2">
        <v>2410.09</v>
      </c>
      <c r="J1305" s="2" t="str">
        <f t="shared" si="40"/>
        <v>75-90</v>
      </c>
      <c r="K1305" s="17" t="str">
        <f t="shared" si="41"/>
        <v>3-5</v>
      </c>
    </row>
    <row r="1306" spans="1:11" x14ac:dyDescent="0.2">
      <c r="A1306" s="4">
        <v>20</v>
      </c>
      <c r="B1306" s="4">
        <v>3</v>
      </c>
      <c r="C1306" t="s">
        <v>8</v>
      </c>
      <c r="D1306" s="4">
        <v>0</v>
      </c>
      <c r="E1306" s="3">
        <v>0.76997886050958197</v>
      </c>
      <c r="F1306" s="4">
        <v>1</v>
      </c>
      <c r="G1306" s="2">
        <v>227.36</v>
      </c>
      <c r="H1306" s="2">
        <v>227.36</v>
      </c>
      <c r="I1306" s="2">
        <v>227.36</v>
      </c>
      <c r="J1306" s="2" t="str">
        <f t="shared" si="40"/>
        <v>18-24</v>
      </c>
      <c r="K1306" s="17" t="str">
        <f t="shared" si="41"/>
        <v>3-5</v>
      </c>
    </row>
    <row r="1307" spans="1:11" x14ac:dyDescent="0.2">
      <c r="A1307" s="4">
        <v>80</v>
      </c>
      <c r="B1307" s="4">
        <v>11</v>
      </c>
      <c r="C1307" t="s">
        <v>16</v>
      </c>
      <c r="D1307" s="4">
        <v>0</v>
      </c>
      <c r="E1307" s="3">
        <v>0.66382627142593298</v>
      </c>
      <c r="F1307" s="4">
        <v>1</v>
      </c>
      <c r="G1307" s="2">
        <v>977.39</v>
      </c>
      <c r="H1307" s="2">
        <v>977.39</v>
      </c>
      <c r="I1307" s="2">
        <v>977.39</v>
      </c>
      <c r="J1307" s="2" t="str">
        <f t="shared" si="40"/>
        <v>75-90</v>
      </c>
      <c r="K1307" s="17" t="str">
        <f t="shared" si="41"/>
        <v>9-11</v>
      </c>
    </row>
    <row r="1308" spans="1:11" x14ac:dyDescent="0.2">
      <c r="A1308" s="4">
        <v>76</v>
      </c>
      <c r="B1308" s="4">
        <v>8</v>
      </c>
      <c r="C1308" t="s">
        <v>8</v>
      </c>
      <c r="D1308" s="4">
        <v>1</v>
      </c>
      <c r="E1308" s="3">
        <v>0.69827423151582502</v>
      </c>
      <c r="F1308" s="4">
        <v>1</v>
      </c>
      <c r="G1308" s="2">
        <v>2860.13</v>
      </c>
      <c r="H1308" s="2">
        <v>2860.13</v>
      </c>
      <c r="I1308" s="2">
        <v>2860.13</v>
      </c>
      <c r="J1308" s="2" t="str">
        <f t="shared" si="40"/>
        <v>75-90</v>
      </c>
      <c r="K1308" s="17" t="str">
        <f t="shared" si="41"/>
        <v>6-8</v>
      </c>
    </row>
    <row r="1309" spans="1:11" x14ac:dyDescent="0.2">
      <c r="A1309" s="4">
        <v>25</v>
      </c>
      <c r="B1309" s="4">
        <v>10</v>
      </c>
      <c r="C1309" t="s">
        <v>16</v>
      </c>
      <c r="D1309" s="4">
        <v>0</v>
      </c>
      <c r="E1309" s="3">
        <v>0.70256541913840898</v>
      </c>
      <c r="F1309" s="4">
        <v>1</v>
      </c>
      <c r="G1309" s="2">
        <v>344.43</v>
      </c>
      <c r="H1309" s="2">
        <v>344.43</v>
      </c>
      <c r="I1309" s="2">
        <v>344.43</v>
      </c>
      <c r="J1309" s="2" t="str">
        <f t="shared" si="40"/>
        <v>25-34</v>
      </c>
      <c r="K1309" s="17" t="str">
        <f t="shared" si="41"/>
        <v>9-11</v>
      </c>
    </row>
    <row r="1310" spans="1:11" x14ac:dyDescent="0.2">
      <c r="A1310" s="4">
        <v>78</v>
      </c>
      <c r="B1310" s="4">
        <v>3</v>
      </c>
      <c r="C1310" t="s">
        <v>10</v>
      </c>
      <c r="D1310" s="4">
        <v>1</v>
      </c>
      <c r="E1310" s="3">
        <v>0.78415802691597503</v>
      </c>
      <c r="F1310" s="4">
        <v>1</v>
      </c>
      <c r="G1310" s="2">
        <v>1593.31</v>
      </c>
      <c r="H1310" s="2">
        <v>1593.31</v>
      </c>
      <c r="I1310" s="2">
        <v>1593.31</v>
      </c>
      <c r="J1310" s="2" t="str">
        <f t="shared" si="40"/>
        <v>75-90</v>
      </c>
      <c r="K1310" s="17" t="str">
        <f t="shared" si="41"/>
        <v>3-5</v>
      </c>
    </row>
    <row r="1311" spans="1:11" x14ac:dyDescent="0.2">
      <c r="A1311" s="4">
        <v>34</v>
      </c>
      <c r="B1311" s="4">
        <v>12</v>
      </c>
      <c r="C1311" t="s">
        <v>8</v>
      </c>
      <c r="D1311" s="4">
        <v>1</v>
      </c>
      <c r="E1311" s="3">
        <v>0.79739160602912296</v>
      </c>
      <c r="F1311" s="4">
        <v>1</v>
      </c>
      <c r="G1311" s="2">
        <v>1299.27</v>
      </c>
      <c r="H1311" s="2">
        <v>1299.27</v>
      </c>
      <c r="I1311" s="2">
        <v>1299.27</v>
      </c>
      <c r="J1311" s="2" t="str">
        <f t="shared" si="40"/>
        <v>25-34</v>
      </c>
      <c r="K1311" s="17" t="str">
        <f t="shared" si="41"/>
        <v>12-15</v>
      </c>
    </row>
    <row r="1312" spans="1:11" x14ac:dyDescent="0.2">
      <c r="A1312" s="4">
        <v>60</v>
      </c>
      <c r="B1312" s="4">
        <v>9</v>
      </c>
      <c r="C1312" t="s">
        <v>10</v>
      </c>
      <c r="D1312" s="4">
        <v>0</v>
      </c>
      <c r="E1312" s="3">
        <v>0.91723386442754395</v>
      </c>
      <c r="F1312" s="4">
        <v>1</v>
      </c>
      <c r="G1312" s="2">
        <v>524.30999999999995</v>
      </c>
      <c r="H1312" s="2">
        <v>524.30999999999995</v>
      </c>
      <c r="I1312" s="2">
        <v>524.30999999999995</v>
      </c>
      <c r="J1312" s="2" t="str">
        <f t="shared" si="40"/>
        <v>55-64</v>
      </c>
      <c r="K1312" s="17" t="str">
        <f t="shared" si="41"/>
        <v>9-11</v>
      </c>
    </row>
    <row r="1313" spans="1:11" x14ac:dyDescent="0.2">
      <c r="A1313" s="4">
        <v>86</v>
      </c>
      <c r="B1313" s="4">
        <v>4</v>
      </c>
      <c r="C1313" t="s">
        <v>10</v>
      </c>
      <c r="D1313" s="4">
        <v>1</v>
      </c>
      <c r="E1313" s="3">
        <v>0.95906199177261398</v>
      </c>
      <c r="F1313" s="4">
        <v>2</v>
      </c>
      <c r="G1313" s="2">
        <v>4221.49</v>
      </c>
      <c r="H1313" s="2">
        <v>2110.75</v>
      </c>
      <c r="I1313" s="2">
        <v>4221.49</v>
      </c>
      <c r="J1313" s="2" t="str">
        <f t="shared" si="40"/>
        <v>75-90</v>
      </c>
      <c r="K1313" s="17" t="str">
        <f t="shared" si="41"/>
        <v>3-5</v>
      </c>
    </row>
    <row r="1314" spans="1:11" x14ac:dyDescent="0.2">
      <c r="A1314" s="4">
        <v>38</v>
      </c>
      <c r="B1314" s="4">
        <v>2</v>
      </c>
      <c r="C1314" t="s">
        <v>8</v>
      </c>
      <c r="D1314" s="4">
        <v>0</v>
      </c>
      <c r="E1314" s="3">
        <v>0.52348911564331502</v>
      </c>
      <c r="F1314" s="4">
        <v>1</v>
      </c>
      <c r="G1314" s="2">
        <v>596.59</v>
      </c>
      <c r="H1314" s="2">
        <v>596.59</v>
      </c>
      <c r="I1314" s="2">
        <v>596.59</v>
      </c>
      <c r="J1314" s="2" t="str">
        <f t="shared" si="40"/>
        <v>35-44</v>
      </c>
      <c r="K1314" s="17" t="str">
        <f t="shared" si="41"/>
        <v>0-2</v>
      </c>
    </row>
    <row r="1315" spans="1:11" x14ac:dyDescent="0.2">
      <c r="A1315" s="4">
        <v>78</v>
      </c>
      <c r="B1315" s="4">
        <v>2</v>
      </c>
      <c r="C1315" t="s">
        <v>8</v>
      </c>
      <c r="D1315" s="4">
        <v>1</v>
      </c>
      <c r="E1315" s="3">
        <v>0.81162007979582995</v>
      </c>
      <c r="F1315" s="4">
        <v>1</v>
      </c>
      <c r="G1315" s="2">
        <v>609.04</v>
      </c>
      <c r="H1315" s="2">
        <v>609.04</v>
      </c>
      <c r="I1315" s="2">
        <v>609.04</v>
      </c>
      <c r="J1315" s="2" t="str">
        <f t="shared" si="40"/>
        <v>75-90</v>
      </c>
      <c r="K1315" s="17" t="str">
        <f t="shared" si="41"/>
        <v>0-2</v>
      </c>
    </row>
    <row r="1316" spans="1:11" x14ac:dyDescent="0.2">
      <c r="A1316" s="4">
        <v>42</v>
      </c>
      <c r="B1316" s="4">
        <v>7</v>
      </c>
      <c r="C1316" t="s">
        <v>8</v>
      </c>
      <c r="D1316" s="4">
        <v>0</v>
      </c>
      <c r="E1316" s="3">
        <v>0.81355779303703502</v>
      </c>
      <c r="F1316" s="4">
        <v>1</v>
      </c>
      <c r="G1316" s="2">
        <v>352.09</v>
      </c>
      <c r="H1316" s="2">
        <v>352.09</v>
      </c>
      <c r="I1316" s="2">
        <v>352.09</v>
      </c>
      <c r="J1316" s="2" t="str">
        <f t="shared" si="40"/>
        <v>35-44</v>
      </c>
      <c r="K1316" s="17" t="str">
        <f t="shared" si="41"/>
        <v>6-8</v>
      </c>
    </row>
    <row r="1317" spans="1:11" x14ac:dyDescent="0.2">
      <c r="A1317" s="4">
        <v>36</v>
      </c>
      <c r="B1317" s="4">
        <v>5</v>
      </c>
      <c r="C1317" t="s">
        <v>10</v>
      </c>
      <c r="D1317" s="4">
        <v>0</v>
      </c>
      <c r="E1317" s="3">
        <v>0.95610220171511195</v>
      </c>
      <c r="F1317" s="4">
        <v>1</v>
      </c>
      <c r="G1317" s="2">
        <v>917.52</v>
      </c>
      <c r="H1317" s="2">
        <v>917.52</v>
      </c>
      <c r="I1317" s="2">
        <v>917.52</v>
      </c>
      <c r="J1317" s="2" t="str">
        <f t="shared" si="40"/>
        <v>35-44</v>
      </c>
      <c r="K1317" s="17" t="str">
        <f t="shared" si="41"/>
        <v>3-5</v>
      </c>
    </row>
    <row r="1318" spans="1:11" x14ac:dyDescent="0.2">
      <c r="A1318" s="4">
        <v>74</v>
      </c>
      <c r="B1318" s="4">
        <v>13</v>
      </c>
      <c r="C1318" t="s">
        <v>10</v>
      </c>
      <c r="D1318" s="4">
        <v>0</v>
      </c>
      <c r="E1318" s="3">
        <v>0.85580451064743102</v>
      </c>
      <c r="F1318" s="4">
        <v>1</v>
      </c>
      <c r="G1318" s="2">
        <v>795.6</v>
      </c>
      <c r="H1318" s="2">
        <v>795.6</v>
      </c>
      <c r="I1318" s="2">
        <v>795.6</v>
      </c>
      <c r="J1318" s="2" t="str">
        <f t="shared" si="40"/>
        <v>65-74</v>
      </c>
      <c r="K1318" s="17" t="str">
        <f t="shared" si="41"/>
        <v>12-15</v>
      </c>
    </row>
    <row r="1319" spans="1:11" x14ac:dyDescent="0.2">
      <c r="A1319" s="4">
        <v>84</v>
      </c>
      <c r="B1319" s="4">
        <v>11</v>
      </c>
      <c r="C1319" t="s">
        <v>16</v>
      </c>
      <c r="D1319" s="4">
        <v>0</v>
      </c>
      <c r="E1319" s="3">
        <v>0.86934452899731696</v>
      </c>
      <c r="F1319" s="4">
        <v>1</v>
      </c>
      <c r="G1319" s="2">
        <v>1636.15</v>
      </c>
      <c r="H1319" s="2">
        <v>1636.15</v>
      </c>
      <c r="I1319" s="2">
        <v>1636.15</v>
      </c>
      <c r="J1319" s="2" t="str">
        <f t="shared" si="40"/>
        <v>75-90</v>
      </c>
      <c r="K1319" s="17" t="str">
        <f t="shared" si="41"/>
        <v>9-11</v>
      </c>
    </row>
    <row r="1320" spans="1:11" x14ac:dyDescent="0.2">
      <c r="A1320" s="4">
        <v>19</v>
      </c>
      <c r="B1320" s="4">
        <v>11</v>
      </c>
      <c r="C1320" t="s">
        <v>10</v>
      </c>
      <c r="D1320" s="4">
        <v>1</v>
      </c>
      <c r="E1320" s="3">
        <v>0.95321029797196399</v>
      </c>
      <c r="F1320" s="4">
        <v>1</v>
      </c>
      <c r="G1320" s="2">
        <v>1240.5899999999999</v>
      </c>
      <c r="H1320" s="2">
        <v>1240.5899999999999</v>
      </c>
      <c r="I1320" s="2">
        <v>1240.5899999999999</v>
      </c>
      <c r="J1320" s="2" t="str">
        <f t="shared" si="40"/>
        <v>18-24</v>
      </c>
      <c r="K1320" s="17" t="str">
        <f t="shared" si="41"/>
        <v>9-11</v>
      </c>
    </row>
    <row r="1321" spans="1:11" x14ac:dyDescent="0.2">
      <c r="A1321" s="4">
        <v>30</v>
      </c>
      <c r="B1321" s="4">
        <v>5</v>
      </c>
      <c r="C1321" t="s">
        <v>8</v>
      </c>
      <c r="D1321" s="4">
        <v>1</v>
      </c>
      <c r="E1321" s="3">
        <v>0.82462776522152104</v>
      </c>
      <c r="F1321" s="4">
        <v>1</v>
      </c>
      <c r="G1321" s="2">
        <v>417.53</v>
      </c>
      <c r="H1321" s="2">
        <v>417.53</v>
      </c>
      <c r="I1321" s="2">
        <v>417.53</v>
      </c>
      <c r="J1321" s="2" t="str">
        <f t="shared" si="40"/>
        <v>25-34</v>
      </c>
      <c r="K1321" s="17" t="str">
        <f t="shared" si="41"/>
        <v>3-5</v>
      </c>
    </row>
    <row r="1322" spans="1:11" x14ac:dyDescent="0.2">
      <c r="A1322" s="4">
        <v>47</v>
      </c>
      <c r="B1322" s="4">
        <v>15</v>
      </c>
      <c r="C1322" t="s">
        <v>10</v>
      </c>
      <c r="D1322" s="4">
        <v>0</v>
      </c>
      <c r="E1322" s="3">
        <v>0.95989836659282401</v>
      </c>
      <c r="F1322" s="4">
        <v>2</v>
      </c>
      <c r="G1322" s="2">
        <v>934.17</v>
      </c>
      <c r="H1322" s="2">
        <v>467.08</v>
      </c>
      <c r="I1322" s="2">
        <v>934.17</v>
      </c>
      <c r="J1322" s="2" t="str">
        <f t="shared" si="40"/>
        <v>45-54</v>
      </c>
      <c r="K1322" s="17" t="str">
        <f t="shared" si="41"/>
        <v>12-15</v>
      </c>
    </row>
    <row r="1323" spans="1:11" x14ac:dyDescent="0.2">
      <c r="A1323" s="4">
        <v>86</v>
      </c>
      <c r="B1323" s="4">
        <v>8</v>
      </c>
      <c r="C1323" t="s">
        <v>10</v>
      </c>
      <c r="D1323" s="4">
        <v>1</v>
      </c>
      <c r="E1323" s="3">
        <v>0.96522183308843501</v>
      </c>
      <c r="F1323" s="4">
        <v>1</v>
      </c>
      <c r="G1323" s="2">
        <v>2278.9499999999998</v>
      </c>
      <c r="H1323" s="2">
        <v>2278.9499999999998</v>
      </c>
      <c r="I1323" s="2">
        <v>2278.9499999999998</v>
      </c>
      <c r="J1323" s="2" t="str">
        <f t="shared" si="40"/>
        <v>75-90</v>
      </c>
      <c r="K1323" s="17" t="str">
        <f t="shared" si="41"/>
        <v>6-8</v>
      </c>
    </row>
    <row r="1324" spans="1:11" x14ac:dyDescent="0.2">
      <c r="A1324" s="4">
        <v>28</v>
      </c>
      <c r="B1324" s="4">
        <v>1</v>
      </c>
      <c r="C1324" t="s">
        <v>8</v>
      </c>
      <c r="D1324" s="4">
        <v>0</v>
      </c>
      <c r="E1324" s="3">
        <v>0.95932610752060998</v>
      </c>
      <c r="F1324" s="4">
        <v>2</v>
      </c>
      <c r="G1324" s="2">
        <v>223.84</v>
      </c>
      <c r="H1324" s="2">
        <v>111.92</v>
      </c>
      <c r="I1324" s="2">
        <v>223.84</v>
      </c>
      <c r="J1324" s="2" t="str">
        <f t="shared" si="40"/>
        <v>25-34</v>
      </c>
      <c r="K1324" s="17" t="str">
        <f t="shared" si="41"/>
        <v>0-2</v>
      </c>
    </row>
    <row r="1325" spans="1:11" x14ac:dyDescent="0.2">
      <c r="A1325" s="4">
        <v>61</v>
      </c>
      <c r="B1325" s="4">
        <v>10</v>
      </c>
      <c r="C1325" t="s">
        <v>8</v>
      </c>
      <c r="D1325" s="4">
        <v>0</v>
      </c>
      <c r="E1325" s="3">
        <v>0.84398540470283501</v>
      </c>
      <c r="F1325" s="4">
        <v>1</v>
      </c>
      <c r="G1325" s="2">
        <v>1147.2</v>
      </c>
      <c r="H1325" s="2">
        <v>1147.2</v>
      </c>
      <c r="I1325" s="2">
        <v>1147.2</v>
      </c>
      <c r="J1325" s="2" t="str">
        <f t="shared" si="40"/>
        <v>55-64</v>
      </c>
      <c r="K1325" s="17" t="str">
        <f t="shared" si="41"/>
        <v>9-11</v>
      </c>
    </row>
    <row r="1326" spans="1:11" x14ac:dyDescent="0.2">
      <c r="A1326" s="4">
        <v>89</v>
      </c>
      <c r="B1326" s="4">
        <v>9</v>
      </c>
      <c r="C1326" t="s">
        <v>16</v>
      </c>
      <c r="D1326" s="4">
        <v>1</v>
      </c>
      <c r="E1326" s="3">
        <v>0.73963969841133803</v>
      </c>
      <c r="F1326" s="4">
        <v>1</v>
      </c>
      <c r="G1326" s="2">
        <v>1012.46</v>
      </c>
      <c r="H1326" s="2">
        <v>1012.46</v>
      </c>
      <c r="I1326" s="2">
        <v>1012.46</v>
      </c>
      <c r="J1326" s="2" t="str">
        <f t="shared" si="40"/>
        <v>75-90</v>
      </c>
      <c r="K1326" s="17" t="str">
        <f t="shared" si="41"/>
        <v>9-11</v>
      </c>
    </row>
    <row r="1327" spans="1:11" x14ac:dyDescent="0.2">
      <c r="A1327" s="4">
        <v>41</v>
      </c>
      <c r="B1327" s="4">
        <v>11</v>
      </c>
      <c r="C1327" t="s">
        <v>8</v>
      </c>
      <c r="D1327" s="4">
        <v>1</v>
      </c>
      <c r="E1327" s="3">
        <v>0.805961316335015</v>
      </c>
      <c r="F1327" s="4">
        <v>1</v>
      </c>
      <c r="G1327" s="2">
        <v>443.24</v>
      </c>
      <c r="H1327" s="2">
        <v>443.24</v>
      </c>
      <c r="I1327" s="2">
        <v>443.24</v>
      </c>
      <c r="J1327" s="2" t="str">
        <f t="shared" si="40"/>
        <v>35-44</v>
      </c>
      <c r="K1327" s="17" t="str">
        <f t="shared" si="41"/>
        <v>9-11</v>
      </c>
    </row>
    <row r="1328" spans="1:11" x14ac:dyDescent="0.2">
      <c r="A1328" s="4">
        <v>62</v>
      </c>
      <c r="B1328" s="4">
        <v>11</v>
      </c>
      <c r="C1328" t="s">
        <v>16</v>
      </c>
      <c r="D1328" s="4">
        <v>0</v>
      </c>
      <c r="E1328" s="3">
        <v>0.627922523184679</v>
      </c>
      <c r="F1328" s="4">
        <v>1</v>
      </c>
      <c r="G1328" s="2">
        <v>2272.04</v>
      </c>
      <c r="H1328" s="2">
        <v>2272.04</v>
      </c>
      <c r="I1328" s="2">
        <v>2272.04</v>
      </c>
      <c r="J1328" s="2" t="str">
        <f t="shared" si="40"/>
        <v>55-64</v>
      </c>
      <c r="K1328" s="17" t="str">
        <f t="shared" si="41"/>
        <v>9-11</v>
      </c>
    </row>
    <row r="1329" spans="1:11" x14ac:dyDescent="0.2">
      <c r="A1329" s="4">
        <v>76</v>
      </c>
      <c r="B1329" s="4">
        <v>8</v>
      </c>
      <c r="C1329" t="s">
        <v>8</v>
      </c>
      <c r="D1329" s="4">
        <v>1</v>
      </c>
      <c r="E1329" s="3">
        <v>0.76278659212402999</v>
      </c>
      <c r="F1329" s="4">
        <v>1</v>
      </c>
      <c r="G1329" s="2">
        <v>1319.36</v>
      </c>
      <c r="H1329" s="2">
        <v>1319.36</v>
      </c>
      <c r="I1329" s="2">
        <v>1319.36</v>
      </c>
      <c r="J1329" s="2" t="str">
        <f t="shared" si="40"/>
        <v>75-90</v>
      </c>
      <c r="K1329" s="17" t="str">
        <f t="shared" si="41"/>
        <v>6-8</v>
      </c>
    </row>
    <row r="1330" spans="1:11" x14ac:dyDescent="0.2">
      <c r="A1330" s="4">
        <v>82</v>
      </c>
      <c r="B1330" s="4">
        <v>2</v>
      </c>
      <c r="C1330" t="s">
        <v>16</v>
      </c>
      <c r="D1330" s="4">
        <v>0</v>
      </c>
      <c r="E1330" s="3">
        <v>0.83331679971888695</v>
      </c>
      <c r="F1330" s="4">
        <v>1</v>
      </c>
      <c r="G1330" s="2">
        <v>3146.19</v>
      </c>
      <c r="H1330" s="2">
        <v>3146.19</v>
      </c>
      <c r="I1330" s="2">
        <v>3146.19</v>
      </c>
      <c r="J1330" s="2" t="str">
        <f t="shared" si="40"/>
        <v>75-90</v>
      </c>
      <c r="K1330" s="17" t="str">
        <f t="shared" si="41"/>
        <v>0-2</v>
      </c>
    </row>
    <row r="1331" spans="1:11" x14ac:dyDescent="0.2">
      <c r="A1331" s="4">
        <v>59</v>
      </c>
      <c r="B1331" s="4">
        <v>12</v>
      </c>
      <c r="C1331" t="s">
        <v>10</v>
      </c>
      <c r="D1331" s="4">
        <v>1</v>
      </c>
      <c r="E1331" s="3">
        <v>0.792898638406768</v>
      </c>
      <c r="F1331" s="4">
        <v>1</v>
      </c>
      <c r="G1331" s="2">
        <v>3034.17</v>
      </c>
      <c r="H1331" s="2">
        <v>3034.17</v>
      </c>
      <c r="I1331" s="2">
        <v>3034.17</v>
      </c>
      <c r="J1331" s="2" t="str">
        <f t="shared" si="40"/>
        <v>55-64</v>
      </c>
      <c r="K1331" s="17" t="str">
        <f t="shared" si="41"/>
        <v>12-15</v>
      </c>
    </row>
    <row r="1332" spans="1:11" x14ac:dyDescent="0.2">
      <c r="A1332" s="4">
        <v>88</v>
      </c>
      <c r="B1332" s="4">
        <v>1</v>
      </c>
      <c r="C1332" t="s">
        <v>10</v>
      </c>
      <c r="D1332" s="4">
        <v>0</v>
      </c>
      <c r="E1332" s="3">
        <v>0.85257747268769901</v>
      </c>
      <c r="F1332" s="4">
        <v>1</v>
      </c>
      <c r="G1332" s="2">
        <v>2326.7399999999998</v>
      </c>
      <c r="H1332" s="2">
        <v>2326.7399999999998</v>
      </c>
      <c r="I1332" s="2">
        <v>2326.7399999999998</v>
      </c>
      <c r="J1332" s="2" t="str">
        <f t="shared" si="40"/>
        <v>75-90</v>
      </c>
      <c r="K1332" s="17" t="str">
        <f t="shared" si="41"/>
        <v>0-2</v>
      </c>
    </row>
    <row r="1333" spans="1:11" x14ac:dyDescent="0.2">
      <c r="A1333" s="4">
        <v>37</v>
      </c>
      <c r="B1333" s="4">
        <v>13</v>
      </c>
      <c r="C1333" t="s">
        <v>8</v>
      </c>
      <c r="D1333" s="4">
        <v>1</v>
      </c>
      <c r="E1333" s="3">
        <v>0.91589870175812405</v>
      </c>
      <c r="F1333" s="4">
        <v>1</v>
      </c>
      <c r="G1333" s="2">
        <v>716.63</v>
      </c>
      <c r="H1333" s="2">
        <v>716.63</v>
      </c>
      <c r="I1333" s="2">
        <v>716.63</v>
      </c>
      <c r="J1333" s="2" t="str">
        <f t="shared" si="40"/>
        <v>35-44</v>
      </c>
      <c r="K1333" s="17" t="str">
        <f t="shared" si="41"/>
        <v>12-15</v>
      </c>
    </row>
    <row r="1334" spans="1:11" x14ac:dyDescent="0.2">
      <c r="A1334" s="4">
        <v>37</v>
      </c>
      <c r="B1334" s="4">
        <v>7</v>
      </c>
      <c r="C1334" t="s">
        <v>10</v>
      </c>
      <c r="D1334" s="4">
        <v>0</v>
      </c>
      <c r="E1334" s="3">
        <v>0.85353478149045303</v>
      </c>
      <c r="F1334" s="4">
        <v>1</v>
      </c>
      <c r="G1334" s="2">
        <v>464.74</v>
      </c>
      <c r="H1334" s="2">
        <v>464.74</v>
      </c>
      <c r="I1334" s="2">
        <v>464.74</v>
      </c>
      <c r="J1334" s="2" t="str">
        <f t="shared" si="40"/>
        <v>35-44</v>
      </c>
      <c r="K1334" s="17" t="str">
        <f t="shared" si="41"/>
        <v>6-8</v>
      </c>
    </row>
    <row r="1335" spans="1:11" x14ac:dyDescent="0.2">
      <c r="A1335" s="4">
        <v>86</v>
      </c>
      <c r="B1335" s="4">
        <v>11</v>
      </c>
      <c r="C1335" t="s">
        <v>10</v>
      </c>
      <c r="D1335" s="4">
        <v>1</v>
      </c>
      <c r="E1335" s="3">
        <v>0.95910073420964204</v>
      </c>
      <c r="F1335" s="4">
        <v>1</v>
      </c>
      <c r="G1335" s="2">
        <v>3607.15</v>
      </c>
      <c r="H1335" s="2">
        <v>3607.15</v>
      </c>
      <c r="I1335" s="2">
        <v>3607.15</v>
      </c>
      <c r="J1335" s="2" t="str">
        <f t="shared" si="40"/>
        <v>75-90</v>
      </c>
      <c r="K1335" s="17" t="str">
        <f t="shared" si="41"/>
        <v>9-11</v>
      </c>
    </row>
    <row r="1336" spans="1:11" x14ac:dyDescent="0.2">
      <c r="A1336" s="4">
        <v>89</v>
      </c>
      <c r="B1336" s="4">
        <v>11</v>
      </c>
      <c r="C1336" t="s">
        <v>16</v>
      </c>
      <c r="D1336" s="4">
        <v>0</v>
      </c>
      <c r="E1336" s="3">
        <v>0.81422838207799897</v>
      </c>
      <c r="F1336" s="4">
        <v>1</v>
      </c>
      <c r="G1336" s="2">
        <v>3344.49</v>
      </c>
      <c r="H1336" s="2">
        <v>3344.49</v>
      </c>
      <c r="I1336" s="2">
        <v>3344.49</v>
      </c>
      <c r="J1336" s="2" t="str">
        <f t="shared" si="40"/>
        <v>75-90</v>
      </c>
      <c r="K1336" s="17" t="str">
        <f t="shared" si="41"/>
        <v>9-11</v>
      </c>
    </row>
    <row r="1337" spans="1:11" x14ac:dyDescent="0.2">
      <c r="A1337" s="4">
        <v>33</v>
      </c>
      <c r="B1337" s="4">
        <v>10</v>
      </c>
      <c r="C1337" t="s">
        <v>8</v>
      </c>
      <c r="D1337" s="4">
        <v>0</v>
      </c>
      <c r="E1337" s="3">
        <v>0.77468329737894204</v>
      </c>
      <c r="F1337" s="4">
        <v>2</v>
      </c>
      <c r="G1337" s="2">
        <v>411.4</v>
      </c>
      <c r="H1337" s="2">
        <v>205.7</v>
      </c>
      <c r="I1337" s="2">
        <v>411.4</v>
      </c>
      <c r="J1337" s="2" t="str">
        <f t="shared" si="40"/>
        <v>25-34</v>
      </c>
      <c r="K1337" s="17" t="str">
        <f t="shared" si="41"/>
        <v>9-11</v>
      </c>
    </row>
    <row r="1338" spans="1:11" x14ac:dyDescent="0.2">
      <c r="A1338" s="4">
        <v>72</v>
      </c>
      <c r="B1338" s="4">
        <v>7</v>
      </c>
      <c r="C1338" t="s">
        <v>8</v>
      </c>
      <c r="D1338" s="4">
        <v>0</v>
      </c>
      <c r="E1338" s="3">
        <v>0.677112589590251</v>
      </c>
      <c r="F1338" s="4">
        <v>1</v>
      </c>
      <c r="G1338" s="2">
        <v>1136.03</v>
      </c>
      <c r="H1338" s="2">
        <v>1136.03</v>
      </c>
      <c r="I1338" s="2">
        <v>1136.03</v>
      </c>
      <c r="J1338" s="2" t="str">
        <f t="shared" si="40"/>
        <v>65-74</v>
      </c>
      <c r="K1338" s="17" t="str">
        <f t="shared" si="41"/>
        <v>6-8</v>
      </c>
    </row>
    <row r="1339" spans="1:11" x14ac:dyDescent="0.2">
      <c r="A1339" s="4">
        <v>66</v>
      </c>
      <c r="B1339" s="4">
        <v>11</v>
      </c>
      <c r="C1339" t="s">
        <v>16</v>
      </c>
      <c r="D1339" s="4">
        <v>0</v>
      </c>
      <c r="E1339" s="3">
        <v>0.97625268076080796</v>
      </c>
      <c r="F1339" s="4">
        <v>2</v>
      </c>
      <c r="G1339" s="2">
        <v>783.78</v>
      </c>
      <c r="H1339" s="2">
        <v>391.89</v>
      </c>
      <c r="I1339" s="2">
        <v>783.78</v>
      </c>
      <c r="J1339" s="2" t="str">
        <f t="shared" si="40"/>
        <v>65-74</v>
      </c>
      <c r="K1339" s="17" t="str">
        <f t="shared" si="41"/>
        <v>9-11</v>
      </c>
    </row>
    <row r="1340" spans="1:11" x14ac:dyDescent="0.2">
      <c r="A1340" s="4">
        <v>62</v>
      </c>
      <c r="B1340" s="4">
        <v>1</v>
      </c>
      <c r="C1340" t="s">
        <v>10</v>
      </c>
      <c r="D1340" s="4">
        <v>3</v>
      </c>
      <c r="E1340" s="3">
        <v>0.75906941667199102</v>
      </c>
      <c r="F1340" s="4">
        <v>1</v>
      </c>
      <c r="G1340" s="2">
        <v>2671.03</v>
      </c>
      <c r="H1340" s="2">
        <v>2671.03</v>
      </c>
      <c r="I1340" s="2">
        <v>2671.03</v>
      </c>
      <c r="J1340" s="2" t="str">
        <f t="shared" si="40"/>
        <v>55-64</v>
      </c>
      <c r="K1340" s="17" t="str">
        <f t="shared" si="41"/>
        <v>0-2</v>
      </c>
    </row>
    <row r="1341" spans="1:11" x14ac:dyDescent="0.2">
      <c r="A1341" s="4">
        <v>46</v>
      </c>
      <c r="B1341" s="4">
        <v>14</v>
      </c>
      <c r="C1341" t="s">
        <v>16</v>
      </c>
      <c r="D1341" s="4">
        <v>1</v>
      </c>
      <c r="E1341" s="3">
        <v>0.72420861118007496</v>
      </c>
      <c r="F1341" s="4">
        <v>1</v>
      </c>
      <c r="G1341" s="2">
        <v>1577.12</v>
      </c>
      <c r="H1341" s="2">
        <v>1577.12</v>
      </c>
      <c r="I1341" s="2">
        <v>1577.12</v>
      </c>
      <c r="J1341" s="2" t="str">
        <f t="shared" si="40"/>
        <v>45-54</v>
      </c>
      <c r="K1341" s="17" t="str">
        <f t="shared" si="41"/>
        <v>12-15</v>
      </c>
    </row>
    <row r="1342" spans="1:11" x14ac:dyDescent="0.2">
      <c r="A1342" s="4">
        <v>81</v>
      </c>
      <c r="B1342" s="4">
        <v>6</v>
      </c>
      <c r="C1342" t="s">
        <v>8</v>
      </c>
      <c r="D1342" s="4">
        <v>2</v>
      </c>
      <c r="E1342" s="3">
        <v>0.73775904765352596</v>
      </c>
      <c r="F1342" s="4">
        <v>1</v>
      </c>
      <c r="G1342" s="2">
        <v>4350.49</v>
      </c>
      <c r="H1342" s="2">
        <v>4350.49</v>
      </c>
      <c r="I1342" s="2">
        <v>4350.49</v>
      </c>
      <c r="J1342" s="2" t="str">
        <f t="shared" si="40"/>
        <v>75-90</v>
      </c>
      <c r="K1342" s="17" t="str">
        <f t="shared" si="41"/>
        <v>6-8</v>
      </c>
    </row>
    <row r="1343" spans="1:11" x14ac:dyDescent="0.2">
      <c r="A1343" s="4">
        <v>53</v>
      </c>
      <c r="B1343" s="4">
        <v>7</v>
      </c>
      <c r="C1343" t="s">
        <v>10</v>
      </c>
      <c r="D1343" s="4">
        <v>1</v>
      </c>
      <c r="E1343" s="3">
        <v>0.80306803039275099</v>
      </c>
      <c r="F1343" s="4">
        <v>1</v>
      </c>
      <c r="G1343" s="2">
        <v>938.52</v>
      </c>
      <c r="H1343" s="2">
        <v>938.52</v>
      </c>
      <c r="I1343" s="2">
        <v>938.52</v>
      </c>
      <c r="J1343" s="2" t="str">
        <f t="shared" si="40"/>
        <v>45-54</v>
      </c>
      <c r="K1343" s="17" t="str">
        <f t="shared" si="41"/>
        <v>6-8</v>
      </c>
    </row>
    <row r="1344" spans="1:11" x14ac:dyDescent="0.2">
      <c r="A1344" s="4">
        <v>85</v>
      </c>
      <c r="B1344" s="4">
        <v>0</v>
      </c>
      <c r="C1344" t="s">
        <v>8</v>
      </c>
      <c r="D1344" s="4">
        <v>0</v>
      </c>
      <c r="E1344" s="3">
        <v>0.86009266448672905</v>
      </c>
      <c r="F1344" s="4">
        <v>1</v>
      </c>
      <c r="G1344" s="2">
        <v>710.17</v>
      </c>
      <c r="H1344" s="2">
        <v>710.17</v>
      </c>
      <c r="I1344" s="2">
        <v>710.17</v>
      </c>
      <c r="J1344" s="2" t="str">
        <f t="shared" si="40"/>
        <v>75-90</v>
      </c>
      <c r="K1344" s="17" t="str">
        <f t="shared" si="41"/>
        <v>0-2</v>
      </c>
    </row>
    <row r="1345" spans="1:11" x14ac:dyDescent="0.2">
      <c r="A1345" s="4">
        <v>67</v>
      </c>
      <c r="B1345" s="4">
        <v>11</v>
      </c>
      <c r="C1345" t="s">
        <v>8</v>
      </c>
      <c r="D1345" s="4">
        <v>0</v>
      </c>
      <c r="E1345" s="3">
        <v>0.51334022753872</v>
      </c>
      <c r="F1345" s="4">
        <v>1</v>
      </c>
      <c r="G1345" s="2">
        <v>1012.96</v>
      </c>
      <c r="H1345" s="2">
        <v>1012.96</v>
      </c>
      <c r="I1345" s="2">
        <v>1012.96</v>
      </c>
      <c r="J1345" s="2" t="str">
        <f t="shared" si="40"/>
        <v>65-74</v>
      </c>
      <c r="K1345" s="17" t="str">
        <f t="shared" si="41"/>
        <v>9-11</v>
      </c>
    </row>
    <row r="1346" spans="1:11" x14ac:dyDescent="0.2">
      <c r="A1346" s="4">
        <v>58</v>
      </c>
      <c r="B1346" s="4">
        <v>11</v>
      </c>
      <c r="C1346" t="s">
        <v>8</v>
      </c>
      <c r="D1346" s="4">
        <v>1</v>
      </c>
      <c r="E1346" s="3">
        <v>0.51551127783022799</v>
      </c>
      <c r="F1346" s="4">
        <v>1</v>
      </c>
      <c r="G1346" s="2">
        <v>2136.96</v>
      </c>
      <c r="H1346" s="2">
        <v>2136.96</v>
      </c>
      <c r="I1346" s="2">
        <v>2136.96</v>
      </c>
      <c r="J1346" s="2" t="str">
        <f t="shared" ref="J1346:J1409" si="42" xml:space="preserve"> IF(A1346&lt;25,"18-24",
 IF(A1346&lt;35,"25-34",
 IF(A1346&lt;45,"35-44",
 IF(A1346&lt;55,"45-54", IF(A1346&lt;65, "55-64", IF(A1346&lt;75, "65-74", "75-90"))))))</f>
        <v>55-64</v>
      </c>
      <c r="K1346" s="17" t="str">
        <f t="shared" ref="K1346:K1409" si="43" xml:space="preserve"> IF(B1346 &lt; 3, "0-2", IF(B1346 &lt; 6, "3-5", IF(B1346 &lt; 9, "6-8", IF(B1346 &lt; 12, "9-11", "12-15"))))</f>
        <v>9-11</v>
      </c>
    </row>
    <row r="1347" spans="1:11" x14ac:dyDescent="0.2">
      <c r="A1347" s="4">
        <v>89</v>
      </c>
      <c r="B1347" s="4">
        <v>10</v>
      </c>
      <c r="C1347" t="s">
        <v>10</v>
      </c>
      <c r="D1347" s="4">
        <v>0</v>
      </c>
      <c r="E1347" s="3">
        <v>0.93274365540128201</v>
      </c>
      <c r="F1347" s="4">
        <v>1</v>
      </c>
      <c r="G1347" s="2">
        <v>2751.4</v>
      </c>
      <c r="H1347" s="2">
        <v>2751.4</v>
      </c>
      <c r="I1347" s="2">
        <v>2751.4</v>
      </c>
      <c r="J1347" s="2" t="str">
        <f t="shared" si="42"/>
        <v>75-90</v>
      </c>
      <c r="K1347" s="17" t="str">
        <f t="shared" si="43"/>
        <v>9-11</v>
      </c>
    </row>
    <row r="1348" spans="1:11" x14ac:dyDescent="0.2">
      <c r="A1348" s="4">
        <v>79</v>
      </c>
      <c r="B1348" s="4">
        <v>5</v>
      </c>
      <c r="C1348" t="s">
        <v>16</v>
      </c>
      <c r="D1348" s="4">
        <v>0</v>
      </c>
      <c r="E1348" s="3">
        <v>0.71914840058889196</v>
      </c>
      <c r="F1348" s="4">
        <v>1</v>
      </c>
      <c r="G1348" s="2">
        <v>1034.49</v>
      </c>
      <c r="H1348" s="2">
        <v>1034.49</v>
      </c>
      <c r="I1348" s="2">
        <v>1034.49</v>
      </c>
      <c r="J1348" s="2" t="str">
        <f t="shared" si="42"/>
        <v>75-90</v>
      </c>
      <c r="K1348" s="17" t="str">
        <f t="shared" si="43"/>
        <v>3-5</v>
      </c>
    </row>
    <row r="1349" spans="1:11" x14ac:dyDescent="0.2">
      <c r="A1349" s="4">
        <v>60</v>
      </c>
      <c r="B1349" s="4">
        <v>3</v>
      </c>
      <c r="C1349" t="s">
        <v>16</v>
      </c>
      <c r="D1349" s="4">
        <v>0</v>
      </c>
      <c r="E1349" s="3">
        <v>0.85041003173682805</v>
      </c>
      <c r="F1349" s="4">
        <v>1</v>
      </c>
      <c r="G1349" s="2">
        <v>1284.79</v>
      </c>
      <c r="H1349" s="2">
        <v>1284.79</v>
      </c>
      <c r="I1349" s="2">
        <v>1284.79</v>
      </c>
      <c r="J1349" s="2" t="str">
        <f t="shared" si="42"/>
        <v>55-64</v>
      </c>
      <c r="K1349" s="17" t="str">
        <f t="shared" si="43"/>
        <v>3-5</v>
      </c>
    </row>
    <row r="1350" spans="1:11" x14ac:dyDescent="0.2">
      <c r="A1350" s="4">
        <v>40</v>
      </c>
      <c r="B1350" s="4">
        <v>2</v>
      </c>
      <c r="C1350" t="s">
        <v>16</v>
      </c>
      <c r="D1350" s="4">
        <v>1</v>
      </c>
      <c r="E1350" s="3">
        <v>0.82951990643050499</v>
      </c>
      <c r="F1350" s="4">
        <v>1</v>
      </c>
      <c r="G1350" s="2">
        <v>545.87</v>
      </c>
      <c r="H1350" s="2">
        <v>545.87</v>
      </c>
      <c r="I1350" s="2">
        <v>545.87</v>
      </c>
      <c r="J1350" s="2" t="str">
        <f t="shared" si="42"/>
        <v>35-44</v>
      </c>
      <c r="K1350" s="17" t="str">
        <f t="shared" si="43"/>
        <v>0-2</v>
      </c>
    </row>
    <row r="1351" spans="1:11" x14ac:dyDescent="0.2">
      <c r="A1351" s="4">
        <v>52</v>
      </c>
      <c r="B1351" s="4">
        <v>13</v>
      </c>
      <c r="C1351" t="s">
        <v>10</v>
      </c>
      <c r="D1351" s="4">
        <v>1</v>
      </c>
      <c r="E1351" s="3">
        <v>0.86918557994067702</v>
      </c>
      <c r="F1351" s="4">
        <v>1</v>
      </c>
      <c r="G1351" s="2">
        <v>861.05</v>
      </c>
      <c r="H1351" s="2">
        <v>861.05</v>
      </c>
      <c r="I1351" s="2">
        <v>861.05</v>
      </c>
      <c r="J1351" s="2" t="str">
        <f t="shared" si="42"/>
        <v>45-54</v>
      </c>
      <c r="K1351" s="17" t="str">
        <f t="shared" si="43"/>
        <v>12-15</v>
      </c>
    </row>
    <row r="1352" spans="1:11" x14ac:dyDescent="0.2">
      <c r="A1352" s="4">
        <v>72</v>
      </c>
      <c r="B1352" s="4">
        <v>13</v>
      </c>
      <c r="C1352" t="s">
        <v>8</v>
      </c>
      <c r="D1352" s="4">
        <v>1</v>
      </c>
      <c r="E1352" s="3">
        <v>0.57117137126624595</v>
      </c>
      <c r="F1352" s="4">
        <v>2</v>
      </c>
      <c r="G1352" s="2">
        <v>613.36</v>
      </c>
      <c r="H1352" s="2">
        <v>306.68</v>
      </c>
      <c r="I1352" s="2">
        <v>613.36</v>
      </c>
      <c r="J1352" s="2" t="str">
        <f t="shared" si="42"/>
        <v>65-74</v>
      </c>
      <c r="K1352" s="17" t="str">
        <f t="shared" si="43"/>
        <v>12-15</v>
      </c>
    </row>
    <row r="1353" spans="1:11" x14ac:dyDescent="0.2">
      <c r="A1353" s="4">
        <v>27</v>
      </c>
      <c r="B1353" s="4">
        <v>9</v>
      </c>
      <c r="C1353" t="s">
        <v>16</v>
      </c>
      <c r="D1353" s="4">
        <v>0</v>
      </c>
      <c r="E1353" s="3">
        <v>0.54303659033030305</v>
      </c>
      <c r="F1353" s="4">
        <v>1</v>
      </c>
      <c r="G1353" s="2">
        <v>676.94</v>
      </c>
      <c r="H1353" s="2">
        <v>676.94</v>
      </c>
      <c r="I1353" s="2">
        <v>676.94</v>
      </c>
      <c r="J1353" s="2" t="str">
        <f t="shared" si="42"/>
        <v>25-34</v>
      </c>
      <c r="K1353" s="17" t="str">
        <f t="shared" si="43"/>
        <v>9-11</v>
      </c>
    </row>
    <row r="1354" spans="1:11" x14ac:dyDescent="0.2">
      <c r="A1354" s="4">
        <v>60</v>
      </c>
      <c r="B1354" s="4">
        <v>10</v>
      </c>
      <c r="C1354" t="s">
        <v>10</v>
      </c>
      <c r="D1354" s="4">
        <v>0</v>
      </c>
      <c r="E1354" s="3">
        <v>0.94842770951800004</v>
      </c>
      <c r="F1354" s="4">
        <v>1</v>
      </c>
      <c r="G1354" s="2">
        <v>710.6</v>
      </c>
      <c r="H1354" s="2">
        <v>710.6</v>
      </c>
      <c r="I1354" s="2">
        <v>710.6</v>
      </c>
      <c r="J1354" s="2" t="str">
        <f t="shared" si="42"/>
        <v>55-64</v>
      </c>
      <c r="K1354" s="17" t="str">
        <f t="shared" si="43"/>
        <v>9-11</v>
      </c>
    </row>
    <row r="1355" spans="1:11" x14ac:dyDescent="0.2">
      <c r="A1355" s="4">
        <v>43</v>
      </c>
      <c r="B1355" s="4">
        <v>0</v>
      </c>
      <c r="C1355" t="s">
        <v>8</v>
      </c>
      <c r="D1355" s="4">
        <v>0</v>
      </c>
      <c r="E1355" s="3">
        <v>0.98962485860101901</v>
      </c>
      <c r="F1355" s="4">
        <v>1</v>
      </c>
      <c r="G1355" s="2">
        <v>193.49</v>
      </c>
      <c r="H1355" s="2">
        <v>193.49</v>
      </c>
      <c r="I1355" s="2">
        <v>193.49</v>
      </c>
      <c r="J1355" s="2" t="str">
        <f t="shared" si="42"/>
        <v>35-44</v>
      </c>
      <c r="K1355" s="17" t="str">
        <f t="shared" si="43"/>
        <v>0-2</v>
      </c>
    </row>
    <row r="1356" spans="1:11" x14ac:dyDescent="0.2">
      <c r="A1356" s="4">
        <v>37</v>
      </c>
      <c r="B1356" s="4">
        <v>10</v>
      </c>
      <c r="C1356" t="s">
        <v>10</v>
      </c>
      <c r="D1356" s="4">
        <v>0</v>
      </c>
      <c r="E1356" s="3">
        <v>0.538230462931097</v>
      </c>
      <c r="F1356" s="4">
        <v>2</v>
      </c>
      <c r="G1356" s="2">
        <v>1548.53</v>
      </c>
      <c r="H1356" s="2">
        <v>774.27</v>
      </c>
      <c r="I1356" s="2">
        <v>1548.53</v>
      </c>
      <c r="J1356" s="2" t="str">
        <f t="shared" si="42"/>
        <v>35-44</v>
      </c>
      <c r="K1356" s="17" t="str">
        <f t="shared" si="43"/>
        <v>9-11</v>
      </c>
    </row>
    <row r="1357" spans="1:11" x14ac:dyDescent="0.2">
      <c r="A1357" s="4">
        <v>75</v>
      </c>
      <c r="B1357" s="4">
        <v>6</v>
      </c>
      <c r="C1357" t="s">
        <v>8</v>
      </c>
      <c r="D1357" s="4">
        <v>0</v>
      </c>
      <c r="E1357" s="3">
        <v>0.93664481968153301</v>
      </c>
      <c r="F1357" s="4">
        <v>1</v>
      </c>
      <c r="G1357" s="2">
        <v>1140.71</v>
      </c>
      <c r="H1357" s="2">
        <v>1140.71</v>
      </c>
      <c r="I1357" s="2">
        <v>1140.71</v>
      </c>
      <c r="J1357" s="2" t="str">
        <f t="shared" si="42"/>
        <v>75-90</v>
      </c>
      <c r="K1357" s="17" t="str">
        <f t="shared" si="43"/>
        <v>6-8</v>
      </c>
    </row>
    <row r="1358" spans="1:11" x14ac:dyDescent="0.2">
      <c r="A1358" s="4">
        <v>38</v>
      </c>
      <c r="B1358" s="4">
        <v>11</v>
      </c>
      <c r="C1358" t="s">
        <v>16</v>
      </c>
      <c r="D1358" s="4">
        <v>0</v>
      </c>
      <c r="E1358" s="3">
        <v>0.96340916235931195</v>
      </c>
      <c r="F1358" s="4">
        <v>2</v>
      </c>
      <c r="G1358" s="2">
        <v>385.9</v>
      </c>
      <c r="H1358" s="2">
        <v>192.95</v>
      </c>
      <c r="I1358" s="2">
        <v>385.9</v>
      </c>
      <c r="J1358" s="2" t="str">
        <f t="shared" si="42"/>
        <v>35-44</v>
      </c>
      <c r="K1358" s="17" t="str">
        <f t="shared" si="43"/>
        <v>9-11</v>
      </c>
    </row>
    <row r="1359" spans="1:11" x14ac:dyDescent="0.2">
      <c r="A1359" s="4">
        <v>58</v>
      </c>
      <c r="B1359" s="4">
        <v>4</v>
      </c>
      <c r="C1359" t="s">
        <v>16</v>
      </c>
      <c r="D1359" s="4">
        <v>1</v>
      </c>
      <c r="E1359" s="3">
        <v>0.54860866710078005</v>
      </c>
      <c r="F1359" s="4">
        <v>1</v>
      </c>
      <c r="G1359" s="2">
        <v>3747</v>
      </c>
      <c r="H1359" s="2">
        <v>3747</v>
      </c>
      <c r="I1359" s="2">
        <v>3747</v>
      </c>
      <c r="J1359" s="2" t="str">
        <f t="shared" si="42"/>
        <v>55-64</v>
      </c>
      <c r="K1359" s="17" t="str">
        <f t="shared" si="43"/>
        <v>3-5</v>
      </c>
    </row>
    <row r="1360" spans="1:11" x14ac:dyDescent="0.2">
      <c r="A1360" s="4">
        <v>63</v>
      </c>
      <c r="B1360" s="4">
        <v>13</v>
      </c>
      <c r="C1360" t="s">
        <v>8</v>
      </c>
      <c r="D1360" s="4">
        <v>1</v>
      </c>
      <c r="E1360" s="3">
        <v>0.72022247663699102</v>
      </c>
      <c r="F1360" s="4">
        <v>1</v>
      </c>
      <c r="G1360" s="2">
        <v>1878.71</v>
      </c>
      <c r="H1360" s="2">
        <v>1878.71</v>
      </c>
      <c r="I1360" s="2">
        <v>1878.71</v>
      </c>
      <c r="J1360" s="2" t="str">
        <f t="shared" si="42"/>
        <v>55-64</v>
      </c>
      <c r="K1360" s="17" t="str">
        <f t="shared" si="43"/>
        <v>12-15</v>
      </c>
    </row>
    <row r="1361" spans="1:11" x14ac:dyDescent="0.2">
      <c r="A1361" s="4">
        <v>80</v>
      </c>
      <c r="B1361" s="4">
        <v>13</v>
      </c>
      <c r="C1361" t="s">
        <v>10</v>
      </c>
      <c r="D1361" s="4">
        <v>0</v>
      </c>
      <c r="E1361" s="3">
        <v>0.66389414272271097</v>
      </c>
      <c r="F1361" s="4">
        <v>1</v>
      </c>
      <c r="G1361" s="2">
        <v>2234.4699999999998</v>
      </c>
      <c r="H1361" s="2">
        <v>2234.4699999999998</v>
      </c>
      <c r="I1361" s="2">
        <v>2234.4699999999998</v>
      </c>
      <c r="J1361" s="2" t="str">
        <f t="shared" si="42"/>
        <v>75-90</v>
      </c>
      <c r="K1361" s="17" t="str">
        <f t="shared" si="43"/>
        <v>12-15</v>
      </c>
    </row>
    <row r="1362" spans="1:11" x14ac:dyDescent="0.2">
      <c r="A1362" s="4">
        <v>79</v>
      </c>
      <c r="B1362" s="4">
        <v>14</v>
      </c>
      <c r="C1362" t="s">
        <v>16</v>
      </c>
      <c r="D1362" s="4">
        <v>0</v>
      </c>
      <c r="E1362" s="3">
        <v>0.93926261411979795</v>
      </c>
      <c r="F1362" s="4">
        <v>1</v>
      </c>
      <c r="G1362" s="2">
        <v>1500.2</v>
      </c>
      <c r="H1362" s="2">
        <v>1500.2</v>
      </c>
      <c r="I1362" s="2">
        <v>1500.2</v>
      </c>
      <c r="J1362" s="2" t="str">
        <f t="shared" si="42"/>
        <v>75-90</v>
      </c>
      <c r="K1362" s="17" t="str">
        <f t="shared" si="43"/>
        <v>12-15</v>
      </c>
    </row>
    <row r="1363" spans="1:11" x14ac:dyDescent="0.2">
      <c r="A1363" s="4">
        <v>79</v>
      </c>
      <c r="B1363" s="4">
        <v>14</v>
      </c>
      <c r="C1363" t="s">
        <v>16</v>
      </c>
      <c r="D1363" s="4">
        <v>3</v>
      </c>
      <c r="E1363" s="3">
        <v>0.67151694395579398</v>
      </c>
      <c r="F1363" s="4">
        <v>2</v>
      </c>
      <c r="G1363" s="2">
        <v>13053.95</v>
      </c>
      <c r="H1363" s="2">
        <v>6526.98</v>
      </c>
      <c r="I1363" s="2">
        <v>13053.95</v>
      </c>
      <c r="J1363" s="2" t="str">
        <f t="shared" si="42"/>
        <v>75-90</v>
      </c>
      <c r="K1363" s="17" t="str">
        <f t="shared" si="43"/>
        <v>12-15</v>
      </c>
    </row>
    <row r="1364" spans="1:11" x14ac:dyDescent="0.2">
      <c r="A1364" s="4">
        <v>67</v>
      </c>
      <c r="B1364" s="4">
        <v>0</v>
      </c>
      <c r="C1364" t="s">
        <v>16</v>
      </c>
      <c r="D1364" s="4">
        <v>1</v>
      </c>
      <c r="E1364" s="3">
        <v>0.50877916195895501</v>
      </c>
      <c r="F1364" s="4">
        <v>1</v>
      </c>
      <c r="G1364" s="2">
        <v>1349.12</v>
      </c>
      <c r="H1364" s="2">
        <v>1349.12</v>
      </c>
      <c r="I1364" s="2">
        <v>1349.12</v>
      </c>
      <c r="J1364" s="2" t="str">
        <f t="shared" si="42"/>
        <v>65-74</v>
      </c>
      <c r="K1364" s="17" t="str">
        <f t="shared" si="43"/>
        <v>0-2</v>
      </c>
    </row>
    <row r="1365" spans="1:11" x14ac:dyDescent="0.2">
      <c r="A1365" s="4">
        <v>52</v>
      </c>
      <c r="B1365" s="4">
        <v>2</v>
      </c>
      <c r="C1365" t="s">
        <v>10</v>
      </c>
      <c r="D1365" s="4">
        <v>0</v>
      </c>
      <c r="E1365" s="3">
        <v>0.64042238949332397</v>
      </c>
      <c r="F1365" s="4">
        <v>1</v>
      </c>
      <c r="G1365" s="2">
        <v>507.48</v>
      </c>
      <c r="H1365" s="2">
        <v>507.48</v>
      </c>
      <c r="I1365" s="2">
        <v>507.48</v>
      </c>
      <c r="J1365" s="2" t="str">
        <f t="shared" si="42"/>
        <v>45-54</v>
      </c>
      <c r="K1365" s="17" t="str">
        <f t="shared" si="43"/>
        <v>0-2</v>
      </c>
    </row>
    <row r="1366" spans="1:11" x14ac:dyDescent="0.2">
      <c r="A1366" s="4">
        <v>21</v>
      </c>
      <c r="B1366" s="4">
        <v>2</v>
      </c>
      <c r="C1366" t="s">
        <v>16</v>
      </c>
      <c r="D1366" s="4">
        <v>1</v>
      </c>
      <c r="E1366" s="3">
        <v>0.79984339093789503</v>
      </c>
      <c r="F1366" s="4">
        <v>1</v>
      </c>
      <c r="G1366" s="2">
        <v>761.65</v>
      </c>
      <c r="H1366" s="2">
        <v>761.65</v>
      </c>
      <c r="I1366" s="2">
        <v>761.65</v>
      </c>
      <c r="J1366" s="2" t="str">
        <f t="shared" si="42"/>
        <v>18-24</v>
      </c>
      <c r="K1366" s="17" t="str">
        <f t="shared" si="43"/>
        <v>0-2</v>
      </c>
    </row>
    <row r="1367" spans="1:11" x14ac:dyDescent="0.2">
      <c r="A1367" s="4">
        <v>48</v>
      </c>
      <c r="B1367" s="4">
        <v>8</v>
      </c>
      <c r="C1367" t="s">
        <v>10</v>
      </c>
      <c r="D1367" s="4">
        <v>0</v>
      </c>
      <c r="E1367" s="3">
        <v>0.60384468897245802</v>
      </c>
      <c r="F1367" s="4">
        <v>1</v>
      </c>
      <c r="G1367" s="2">
        <v>920.04</v>
      </c>
      <c r="H1367" s="2">
        <v>920.04</v>
      </c>
      <c r="I1367" s="2">
        <v>920.04</v>
      </c>
      <c r="J1367" s="2" t="str">
        <f t="shared" si="42"/>
        <v>45-54</v>
      </c>
      <c r="K1367" s="17" t="str">
        <f t="shared" si="43"/>
        <v>6-8</v>
      </c>
    </row>
    <row r="1368" spans="1:11" x14ac:dyDescent="0.2">
      <c r="A1368" s="4">
        <v>43</v>
      </c>
      <c r="B1368" s="4">
        <v>13</v>
      </c>
      <c r="C1368" t="s">
        <v>10</v>
      </c>
      <c r="D1368" s="4">
        <v>0</v>
      </c>
      <c r="E1368" s="3">
        <v>0.70333289343398098</v>
      </c>
      <c r="F1368" s="4">
        <v>1</v>
      </c>
      <c r="G1368" s="2">
        <v>1557.43</v>
      </c>
      <c r="H1368" s="2">
        <v>1557.43</v>
      </c>
      <c r="I1368" s="2">
        <v>1557.43</v>
      </c>
      <c r="J1368" s="2" t="str">
        <f t="shared" si="42"/>
        <v>35-44</v>
      </c>
      <c r="K1368" s="17" t="str">
        <f t="shared" si="43"/>
        <v>12-15</v>
      </c>
    </row>
    <row r="1369" spans="1:11" x14ac:dyDescent="0.2">
      <c r="A1369" s="4">
        <v>85</v>
      </c>
      <c r="B1369" s="4">
        <v>3</v>
      </c>
      <c r="C1369" t="s">
        <v>8</v>
      </c>
      <c r="D1369" s="4">
        <v>0</v>
      </c>
      <c r="E1369" s="3">
        <v>0.984817120945081</v>
      </c>
      <c r="F1369" s="4">
        <v>1</v>
      </c>
      <c r="G1369" s="2">
        <v>1684.27</v>
      </c>
      <c r="H1369" s="2">
        <v>1684.27</v>
      </c>
      <c r="I1369" s="2">
        <v>1684.27</v>
      </c>
      <c r="J1369" s="2" t="str">
        <f t="shared" si="42"/>
        <v>75-90</v>
      </c>
      <c r="K1369" s="17" t="str">
        <f t="shared" si="43"/>
        <v>3-5</v>
      </c>
    </row>
    <row r="1370" spans="1:11" x14ac:dyDescent="0.2">
      <c r="A1370" s="4">
        <v>76</v>
      </c>
      <c r="B1370" s="4">
        <v>2</v>
      </c>
      <c r="C1370" t="s">
        <v>10</v>
      </c>
      <c r="D1370" s="4">
        <v>1</v>
      </c>
      <c r="E1370" s="3">
        <v>0.95104398252442501</v>
      </c>
      <c r="F1370" s="4">
        <v>1</v>
      </c>
      <c r="G1370" s="2">
        <v>2845.61</v>
      </c>
      <c r="H1370" s="2">
        <v>2845.61</v>
      </c>
      <c r="I1370" s="2">
        <v>2845.61</v>
      </c>
      <c r="J1370" s="2" t="str">
        <f t="shared" si="42"/>
        <v>75-90</v>
      </c>
      <c r="K1370" s="17" t="str">
        <f t="shared" si="43"/>
        <v>0-2</v>
      </c>
    </row>
    <row r="1371" spans="1:11" x14ac:dyDescent="0.2">
      <c r="A1371" s="4">
        <v>70</v>
      </c>
      <c r="B1371" s="4">
        <v>7</v>
      </c>
      <c r="C1371" t="s">
        <v>16</v>
      </c>
      <c r="D1371" s="4">
        <v>0</v>
      </c>
      <c r="E1371" s="3">
        <v>0.57685755391139504</v>
      </c>
      <c r="F1371" s="4">
        <v>1</v>
      </c>
      <c r="G1371" s="2">
        <v>1246.67</v>
      </c>
      <c r="H1371" s="2">
        <v>1246.67</v>
      </c>
      <c r="I1371" s="2">
        <v>1246.67</v>
      </c>
      <c r="J1371" s="2" t="str">
        <f t="shared" si="42"/>
        <v>65-74</v>
      </c>
      <c r="K1371" s="17" t="str">
        <f t="shared" si="43"/>
        <v>6-8</v>
      </c>
    </row>
    <row r="1372" spans="1:11" x14ac:dyDescent="0.2">
      <c r="A1372" s="4">
        <v>60</v>
      </c>
      <c r="B1372" s="4">
        <v>1</v>
      </c>
      <c r="C1372" t="s">
        <v>10</v>
      </c>
      <c r="D1372" s="4">
        <v>0</v>
      </c>
      <c r="E1372" s="3">
        <v>0.75635284895542998</v>
      </c>
      <c r="F1372" s="4">
        <v>1</v>
      </c>
      <c r="G1372" s="2">
        <v>145.47999999999999</v>
      </c>
      <c r="H1372" s="2">
        <v>145.47999999999999</v>
      </c>
      <c r="I1372" s="2">
        <v>145.47999999999999</v>
      </c>
      <c r="J1372" s="2" t="str">
        <f t="shared" si="42"/>
        <v>55-64</v>
      </c>
      <c r="K1372" s="17" t="str">
        <f t="shared" si="43"/>
        <v>0-2</v>
      </c>
    </row>
    <row r="1373" spans="1:11" x14ac:dyDescent="0.2">
      <c r="A1373" s="4">
        <v>61</v>
      </c>
      <c r="B1373" s="4">
        <v>9</v>
      </c>
      <c r="C1373" t="s">
        <v>8</v>
      </c>
      <c r="D1373" s="4">
        <v>2</v>
      </c>
      <c r="E1373" s="3">
        <v>0.92002004629466705</v>
      </c>
      <c r="F1373" s="4">
        <v>1</v>
      </c>
      <c r="G1373" s="2">
        <v>1079.55</v>
      </c>
      <c r="H1373" s="2">
        <v>1079.55</v>
      </c>
      <c r="I1373" s="2">
        <v>1079.55</v>
      </c>
      <c r="J1373" s="2" t="str">
        <f t="shared" si="42"/>
        <v>55-64</v>
      </c>
      <c r="K1373" s="17" t="str">
        <f t="shared" si="43"/>
        <v>9-11</v>
      </c>
    </row>
    <row r="1374" spans="1:11" x14ac:dyDescent="0.2">
      <c r="A1374" s="4">
        <v>80</v>
      </c>
      <c r="B1374" s="4">
        <v>3</v>
      </c>
      <c r="C1374" t="s">
        <v>8</v>
      </c>
      <c r="D1374" s="4">
        <v>1</v>
      </c>
      <c r="E1374" s="3">
        <v>0.66382228990551095</v>
      </c>
      <c r="F1374" s="4">
        <v>1</v>
      </c>
      <c r="G1374" s="2">
        <v>1114.71</v>
      </c>
      <c r="H1374" s="2">
        <v>1114.71</v>
      </c>
      <c r="I1374" s="2">
        <v>1114.71</v>
      </c>
      <c r="J1374" s="2" t="str">
        <f t="shared" si="42"/>
        <v>75-90</v>
      </c>
      <c r="K1374" s="17" t="str">
        <f t="shared" si="43"/>
        <v>3-5</v>
      </c>
    </row>
    <row r="1375" spans="1:11" x14ac:dyDescent="0.2">
      <c r="A1375" s="4">
        <v>30</v>
      </c>
      <c r="B1375" s="4">
        <v>13</v>
      </c>
      <c r="C1375" t="s">
        <v>8</v>
      </c>
      <c r="D1375" s="4">
        <v>0</v>
      </c>
      <c r="E1375" s="3">
        <v>0.54930352035444197</v>
      </c>
      <c r="F1375" s="4">
        <v>1</v>
      </c>
      <c r="G1375" s="2">
        <v>635.73</v>
      </c>
      <c r="H1375" s="2">
        <v>635.73</v>
      </c>
      <c r="I1375" s="2">
        <v>635.73</v>
      </c>
      <c r="J1375" s="2" t="str">
        <f t="shared" si="42"/>
        <v>25-34</v>
      </c>
      <c r="K1375" s="17" t="str">
        <f t="shared" si="43"/>
        <v>12-15</v>
      </c>
    </row>
    <row r="1376" spans="1:11" x14ac:dyDescent="0.2">
      <c r="A1376" s="4">
        <v>85</v>
      </c>
      <c r="B1376" s="4">
        <v>6</v>
      </c>
      <c r="C1376" t="s">
        <v>16</v>
      </c>
      <c r="D1376" s="4">
        <v>0</v>
      </c>
      <c r="E1376" s="3">
        <v>0.64042079029604804</v>
      </c>
      <c r="F1376" s="4">
        <v>1</v>
      </c>
      <c r="G1376" s="2">
        <v>1216.6199999999999</v>
      </c>
      <c r="H1376" s="2">
        <v>1216.6199999999999</v>
      </c>
      <c r="I1376" s="2">
        <v>1216.6199999999999</v>
      </c>
      <c r="J1376" s="2" t="str">
        <f t="shared" si="42"/>
        <v>75-90</v>
      </c>
      <c r="K1376" s="17" t="str">
        <f t="shared" si="43"/>
        <v>6-8</v>
      </c>
    </row>
    <row r="1377" spans="1:11" x14ac:dyDescent="0.2">
      <c r="A1377" s="4">
        <v>75</v>
      </c>
      <c r="B1377" s="4">
        <v>4</v>
      </c>
      <c r="C1377" t="s">
        <v>10</v>
      </c>
      <c r="D1377" s="4">
        <v>1</v>
      </c>
      <c r="E1377" s="3">
        <v>0.91558557120151796</v>
      </c>
      <c r="F1377" s="4">
        <v>1</v>
      </c>
      <c r="G1377" s="2">
        <v>1510.7</v>
      </c>
      <c r="H1377" s="2">
        <v>1510.7</v>
      </c>
      <c r="I1377" s="2">
        <v>1510.7</v>
      </c>
      <c r="J1377" s="2" t="str">
        <f t="shared" si="42"/>
        <v>75-90</v>
      </c>
      <c r="K1377" s="17" t="str">
        <f t="shared" si="43"/>
        <v>3-5</v>
      </c>
    </row>
    <row r="1378" spans="1:11" x14ac:dyDescent="0.2">
      <c r="A1378" s="4">
        <v>21</v>
      </c>
      <c r="B1378" s="4">
        <v>2</v>
      </c>
      <c r="C1378" t="s">
        <v>8</v>
      </c>
      <c r="D1378" s="4">
        <v>1</v>
      </c>
      <c r="E1378" s="3">
        <v>0.83914611791260496</v>
      </c>
      <c r="F1378" s="4">
        <v>1</v>
      </c>
      <c r="G1378" s="2">
        <v>282.64999999999998</v>
      </c>
      <c r="H1378" s="2">
        <v>282.64999999999998</v>
      </c>
      <c r="I1378" s="2">
        <v>282.64999999999998</v>
      </c>
      <c r="J1378" s="2" t="str">
        <f t="shared" si="42"/>
        <v>18-24</v>
      </c>
      <c r="K1378" s="17" t="str">
        <f t="shared" si="43"/>
        <v>0-2</v>
      </c>
    </row>
    <row r="1379" spans="1:11" x14ac:dyDescent="0.2">
      <c r="A1379" s="4">
        <v>38</v>
      </c>
      <c r="B1379" s="4">
        <v>6</v>
      </c>
      <c r="C1379" t="s">
        <v>16</v>
      </c>
      <c r="D1379" s="4">
        <v>0</v>
      </c>
      <c r="E1379" s="3">
        <v>0.70249809208325997</v>
      </c>
      <c r="F1379" s="4">
        <v>1</v>
      </c>
      <c r="G1379" s="2">
        <v>1228.29</v>
      </c>
      <c r="H1379" s="2">
        <v>1228.29</v>
      </c>
      <c r="I1379" s="2">
        <v>1228.29</v>
      </c>
      <c r="J1379" s="2" t="str">
        <f t="shared" si="42"/>
        <v>35-44</v>
      </c>
      <c r="K1379" s="17" t="str">
        <f t="shared" si="43"/>
        <v>6-8</v>
      </c>
    </row>
    <row r="1380" spans="1:11" x14ac:dyDescent="0.2">
      <c r="A1380" s="4">
        <v>70</v>
      </c>
      <c r="B1380" s="4">
        <v>11</v>
      </c>
      <c r="C1380" t="s">
        <v>8</v>
      </c>
      <c r="D1380" s="4">
        <v>0</v>
      </c>
      <c r="E1380" s="3">
        <v>0.87551219516899403</v>
      </c>
      <c r="F1380" s="4">
        <v>1</v>
      </c>
      <c r="G1380" s="2">
        <v>1516.76</v>
      </c>
      <c r="H1380" s="2">
        <v>1516.76</v>
      </c>
      <c r="I1380" s="2">
        <v>1516.76</v>
      </c>
      <c r="J1380" s="2" t="str">
        <f t="shared" si="42"/>
        <v>65-74</v>
      </c>
      <c r="K1380" s="17" t="str">
        <f t="shared" si="43"/>
        <v>9-11</v>
      </c>
    </row>
    <row r="1381" spans="1:11" x14ac:dyDescent="0.2">
      <c r="A1381" s="4">
        <v>46</v>
      </c>
      <c r="B1381" s="4">
        <v>14</v>
      </c>
      <c r="C1381" t="s">
        <v>8</v>
      </c>
      <c r="D1381" s="4">
        <v>0</v>
      </c>
      <c r="E1381" s="3">
        <v>0.58425691502634403</v>
      </c>
      <c r="F1381" s="4">
        <v>1</v>
      </c>
      <c r="G1381" s="2">
        <v>737.14</v>
      </c>
      <c r="H1381" s="2">
        <v>737.14</v>
      </c>
      <c r="I1381" s="2">
        <v>737.14</v>
      </c>
      <c r="J1381" s="2" t="str">
        <f t="shared" si="42"/>
        <v>45-54</v>
      </c>
      <c r="K1381" s="17" t="str">
        <f t="shared" si="43"/>
        <v>12-15</v>
      </c>
    </row>
    <row r="1382" spans="1:11" x14ac:dyDescent="0.2">
      <c r="A1382" s="4">
        <v>33</v>
      </c>
      <c r="B1382" s="4">
        <v>0</v>
      </c>
      <c r="C1382" t="s">
        <v>8</v>
      </c>
      <c r="D1382" s="4">
        <v>1</v>
      </c>
      <c r="E1382" s="3">
        <v>0.80111935478635099</v>
      </c>
      <c r="F1382" s="4">
        <v>1</v>
      </c>
      <c r="G1382" s="2">
        <v>318.56</v>
      </c>
      <c r="H1382" s="2">
        <v>318.56</v>
      </c>
      <c r="I1382" s="2">
        <v>318.56</v>
      </c>
      <c r="J1382" s="2" t="str">
        <f t="shared" si="42"/>
        <v>25-34</v>
      </c>
      <c r="K1382" s="17" t="str">
        <f t="shared" si="43"/>
        <v>0-2</v>
      </c>
    </row>
    <row r="1383" spans="1:11" x14ac:dyDescent="0.2">
      <c r="A1383" s="4">
        <v>69</v>
      </c>
      <c r="B1383" s="4">
        <v>13</v>
      </c>
      <c r="C1383" t="s">
        <v>16</v>
      </c>
      <c r="D1383" s="4">
        <v>1</v>
      </c>
      <c r="E1383" s="3">
        <v>0.63106457074172795</v>
      </c>
      <c r="F1383" s="4">
        <v>1</v>
      </c>
      <c r="G1383" s="2">
        <v>669.7</v>
      </c>
      <c r="H1383" s="2">
        <v>669.7</v>
      </c>
      <c r="I1383" s="2">
        <v>669.7</v>
      </c>
      <c r="J1383" s="2" t="str">
        <f t="shared" si="42"/>
        <v>65-74</v>
      </c>
      <c r="K1383" s="17" t="str">
        <f t="shared" si="43"/>
        <v>12-15</v>
      </c>
    </row>
    <row r="1384" spans="1:11" x14ac:dyDescent="0.2">
      <c r="A1384" s="4">
        <v>29</v>
      </c>
      <c r="B1384" s="4">
        <v>7</v>
      </c>
      <c r="C1384" t="s">
        <v>8</v>
      </c>
      <c r="D1384" s="4">
        <v>0</v>
      </c>
      <c r="E1384" s="3">
        <v>0.65270910016260997</v>
      </c>
      <c r="F1384" s="4">
        <v>1</v>
      </c>
      <c r="G1384" s="2">
        <v>381.17</v>
      </c>
      <c r="H1384" s="2">
        <v>381.17</v>
      </c>
      <c r="I1384" s="2">
        <v>381.17</v>
      </c>
      <c r="J1384" s="2" t="str">
        <f t="shared" si="42"/>
        <v>25-34</v>
      </c>
      <c r="K1384" s="17" t="str">
        <f t="shared" si="43"/>
        <v>6-8</v>
      </c>
    </row>
    <row r="1385" spans="1:11" x14ac:dyDescent="0.2">
      <c r="A1385" s="4">
        <v>76</v>
      </c>
      <c r="B1385" s="4">
        <v>13</v>
      </c>
      <c r="C1385" t="s">
        <v>8</v>
      </c>
      <c r="D1385" s="4">
        <v>0</v>
      </c>
      <c r="E1385" s="3">
        <v>0.85153752239420999</v>
      </c>
      <c r="F1385" s="4">
        <v>1</v>
      </c>
      <c r="G1385" s="2">
        <v>2195.96</v>
      </c>
      <c r="H1385" s="2">
        <v>2195.96</v>
      </c>
      <c r="I1385" s="2">
        <v>2195.96</v>
      </c>
      <c r="J1385" s="2" t="str">
        <f t="shared" si="42"/>
        <v>75-90</v>
      </c>
      <c r="K1385" s="17" t="str">
        <f t="shared" si="43"/>
        <v>12-15</v>
      </c>
    </row>
    <row r="1386" spans="1:11" x14ac:dyDescent="0.2">
      <c r="A1386" s="4">
        <v>62</v>
      </c>
      <c r="B1386" s="4">
        <v>10</v>
      </c>
      <c r="C1386" t="s">
        <v>16</v>
      </c>
      <c r="D1386" s="4">
        <v>0</v>
      </c>
      <c r="E1386" s="3">
        <v>0.74171811412088595</v>
      </c>
      <c r="F1386" s="4">
        <v>1</v>
      </c>
      <c r="G1386" s="2">
        <v>464.13</v>
      </c>
      <c r="H1386" s="2">
        <v>464.13</v>
      </c>
      <c r="I1386" s="2">
        <v>464.13</v>
      </c>
      <c r="J1386" s="2" t="str">
        <f t="shared" si="42"/>
        <v>55-64</v>
      </c>
      <c r="K1386" s="17" t="str">
        <f t="shared" si="43"/>
        <v>9-11</v>
      </c>
    </row>
    <row r="1387" spans="1:11" x14ac:dyDescent="0.2">
      <c r="A1387" s="4">
        <v>34</v>
      </c>
      <c r="B1387" s="4">
        <v>14</v>
      </c>
      <c r="C1387" t="s">
        <v>8</v>
      </c>
      <c r="D1387" s="4">
        <v>0</v>
      </c>
      <c r="E1387" s="3">
        <v>0.96637725154869303</v>
      </c>
      <c r="F1387" s="4">
        <v>2</v>
      </c>
      <c r="G1387" s="2">
        <v>357.61</v>
      </c>
      <c r="H1387" s="2">
        <v>178.8</v>
      </c>
      <c r="I1387" s="2">
        <v>357.61</v>
      </c>
      <c r="J1387" s="2" t="str">
        <f t="shared" si="42"/>
        <v>25-34</v>
      </c>
      <c r="K1387" s="17" t="str">
        <f t="shared" si="43"/>
        <v>12-15</v>
      </c>
    </row>
    <row r="1388" spans="1:11" x14ac:dyDescent="0.2">
      <c r="A1388" s="4">
        <v>27</v>
      </c>
      <c r="B1388" s="4">
        <v>8</v>
      </c>
      <c r="C1388" t="s">
        <v>8</v>
      </c>
      <c r="D1388" s="4">
        <v>0</v>
      </c>
      <c r="E1388" s="3">
        <v>0.89917220768984396</v>
      </c>
      <c r="F1388" s="4">
        <v>1</v>
      </c>
      <c r="G1388" s="2">
        <v>222.53</v>
      </c>
      <c r="H1388" s="2">
        <v>222.53</v>
      </c>
      <c r="I1388" s="2">
        <v>222.53</v>
      </c>
      <c r="J1388" s="2" t="str">
        <f t="shared" si="42"/>
        <v>25-34</v>
      </c>
      <c r="K1388" s="17" t="str">
        <f t="shared" si="43"/>
        <v>6-8</v>
      </c>
    </row>
    <row r="1389" spans="1:11" x14ac:dyDescent="0.2">
      <c r="A1389" s="4">
        <v>28</v>
      </c>
      <c r="B1389" s="4">
        <v>13</v>
      </c>
      <c r="C1389" t="s">
        <v>8</v>
      </c>
      <c r="D1389" s="4">
        <v>0</v>
      </c>
      <c r="E1389" s="3">
        <v>0.78879072470590506</v>
      </c>
      <c r="F1389" s="4">
        <v>2</v>
      </c>
      <c r="G1389" s="2">
        <v>367.72</v>
      </c>
      <c r="H1389" s="2">
        <v>183.86</v>
      </c>
      <c r="I1389" s="2">
        <v>367.72</v>
      </c>
      <c r="J1389" s="2" t="str">
        <f t="shared" si="42"/>
        <v>25-34</v>
      </c>
      <c r="K1389" s="17" t="str">
        <f t="shared" si="43"/>
        <v>12-15</v>
      </c>
    </row>
    <row r="1390" spans="1:11" x14ac:dyDescent="0.2">
      <c r="A1390" s="4">
        <v>39</v>
      </c>
      <c r="B1390" s="4">
        <v>14</v>
      </c>
      <c r="C1390" t="s">
        <v>8</v>
      </c>
      <c r="D1390" s="4">
        <v>0</v>
      </c>
      <c r="E1390" s="3">
        <v>0.65284612891264304</v>
      </c>
      <c r="F1390" s="4">
        <v>1</v>
      </c>
      <c r="G1390" s="2">
        <v>1324.99</v>
      </c>
      <c r="H1390" s="2">
        <v>1324.99</v>
      </c>
      <c r="I1390" s="2">
        <v>1324.99</v>
      </c>
      <c r="J1390" s="2" t="str">
        <f t="shared" si="42"/>
        <v>35-44</v>
      </c>
      <c r="K1390" s="17" t="str">
        <f t="shared" si="43"/>
        <v>12-15</v>
      </c>
    </row>
    <row r="1391" spans="1:11" x14ac:dyDescent="0.2">
      <c r="A1391" s="4">
        <v>89</v>
      </c>
      <c r="B1391" s="4">
        <v>7</v>
      </c>
      <c r="C1391" t="s">
        <v>8</v>
      </c>
      <c r="D1391" s="4">
        <v>0</v>
      </c>
      <c r="E1391" s="3">
        <v>0.61638999322895005</v>
      </c>
      <c r="F1391" s="4">
        <v>1</v>
      </c>
      <c r="G1391" s="2">
        <v>1970.21</v>
      </c>
      <c r="H1391" s="2">
        <v>1970.21</v>
      </c>
      <c r="I1391" s="2">
        <v>1970.21</v>
      </c>
      <c r="J1391" s="2" t="str">
        <f t="shared" si="42"/>
        <v>75-90</v>
      </c>
      <c r="K1391" s="17" t="str">
        <f t="shared" si="43"/>
        <v>6-8</v>
      </c>
    </row>
    <row r="1392" spans="1:11" x14ac:dyDescent="0.2">
      <c r="A1392" s="4">
        <v>19</v>
      </c>
      <c r="B1392" s="4">
        <v>3</v>
      </c>
      <c r="C1392" t="s">
        <v>8</v>
      </c>
      <c r="D1392" s="4">
        <v>0</v>
      </c>
      <c r="E1392" s="3">
        <v>0.88396240305155505</v>
      </c>
      <c r="F1392" s="4">
        <v>1</v>
      </c>
      <c r="G1392" s="2">
        <v>322.82</v>
      </c>
      <c r="H1392" s="2">
        <v>322.82</v>
      </c>
      <c r="I1392" s="2">
        <v>322.82</v>
      </c>
      <c r="J1392" s="2" t="str">
        <f t="shared" si="42"/>
        <v>18-24</v>
      </c>
      <c r="K1392" s="17" t="str">
        <f t="shared" si="43"/>
        <v>3-5</v>
      </c>
    </row>
    <row r="1393" spans="1:11" x14ac:dyDescent="0.2">
      <c r="A1393" s="4">
        <v>50</v>
      </c>
      <c r="B1393" s="4">
        <v>14</v>
      </c>
      <c r="C1393" t="s">
        <v>8</v>
      </c>
      <c r="D1393" s="4">
        <v>0</v>
      </c>
      <c r="E1393" s="3">
        <v>0.63126941793598201</v>
      </c>
      <c r="F1393" s="4">
        <v>1</v>
      </c>
      <c r="G1393" s="2">
        <v>903.27</v>
      </c>
      <c r="H1393" s="2">
        <v>903.27</v>
      </c>
      <c r="I1393" s="2">
        <v>903.27</v>
      </c>
      <c r="J1393" s="2" t="str">
        <f t="shared" si="42"/>
        <v>45-54</v>
      </c>
      <c r="K1393" s="17" t="str">
        <f t="shared" si="43"/>
        <v>12-15</v>
      </c>
    </row>
    <row r="1394" spans="1:11" x14ac:dyDescent="0.2">
      <c r="A1394" s="4">
        <v>33</v>
      </c>
      <c r="B1394" s="4">
        <v>8</v>
      </c>
      <c r="C1394" t="s">
        <v>10</v>
      </c>
      <c r="D1394" s="4">
        <v>1</v>
      </c>
      <c r="E1394" s="3">
        <v>0.51853532984387096</v>
      </c>
      <c r="F1394" s="4">
        <v>1</v>
      </c>
      <c r="G1394" s="2">
        <v>1895.71</v>
      </c>
      <c r="H1394" s="2">
        <v>1895.71</v>
      </c>
      <c r="I1394" s="2">
        <v>1895.71</v>
      </c>
      <c r="J1394" s="2" t="str">
        <f t="shared" si="42"/>
        <v>25-34</v>
      </c>
      <c r="K1394" s="17" t="str">
        <f t="shared" si="43"/>
        <v>6-8</v>
      </c>
    </row>
    <row r="1395" spans="1:11" x14ac:dyDescent="0.2">
      <c r="A1395" s="4">
        <v>80</v>
      </c>
      <c r="B1395" s="4">
        <v>11</v>
      </c>
      <c r="C1395" t="s">
        <v>16</v>
      </c>
      <c r="D1395" s="4">
        <v>0</v>
      </c>
      <c r="E1395" s="3">
        <v>0.71234956732951105</v>
      </c>
      <c r="F1395" s="4">
        <v>1</v>
      </c>
      <c r="G1395" s="2">
        <v>1180.1199999999999</v>
      </c>
      <c r="H1395" s="2">
        <v>1180.1199999999999</v>
      </c>
      <c r="I1395" s="2">
        <v>1180.1199999999999</v>
      </c>
      <c r="J1395" s="2" t="str">
        <f t="shared" si="42"/>
        <v>75-90</v>
      </c>
      <c r="K1395" s="17" t="str">
        <f t="shared" si="43"/>
        <v>9-11</v>
      </c>
    </row>
    <row r="1396" spans="1:11" x14ac:dyDescent="0.2">
      <c r="A1396" s="4">
        <v>69</v>
      </c>
      <c r="B1396" s="4">
        <v>10</v>
      </c>
      <c r="C1396" t="s">
        <v>8</v>
      </c>
      <c r="D1396" s="4">
        <v>1</v>
      </c>
      <c r="E1396" s="3">
        <v>0.83125959429889895</v>
      </c>
      <c r="F1396" s="4">
        <v>1</v>
      </c>
      <c r="G1396" s="2">
        <v>2227.12</v>
      </c>
      <c r="H1396" s="2">
        <v>2227.12</v>
      </c>
      <c r="I1396" s="2">
        <v>2227.12</v>
      </c>
      <c r="J1396" s="2" t="str">
        <f t="shared" si="42"/>
        <v>65-74</v>
      </c>
      <c r="K1396" s="17" t="str">
        <f t="shared" si="43"/>
        <v>9-11</v>
      </c>
    </row>
    <row r="1397" spans="1:11" x14ac:dyDescent="0.2">
      <c r="A1397" s="4">
        <v>65</v>
      </c>
      <c r="B1397" s="4">
        <v>6</v>
      </c>
      <c r="C1397" t="s">
        <v>8</v>
      </c>
      <c r="D1397" s="4">
        <v>0</v>
      </c>
      <c r="E1397" s="3">
        <v>0.80842638621106699</v>
      </c>
      <c r="F1397" s="4">
        <v>1</v>
      </c>
      <c r="G1397" s="2">
        <v>360.18</v>
      </c>
      <c r="H1397" s="2">
        <v>360.18</v>
      </c>
      <c r="I1397" s="2">
        <v>360.18</v>
      </c>
      <c r="J1397" s="2" t="str">
        <f t="shared" si="42"/>
        <v>65-74</v>
      </c>
      <c r="K1397" s="17" t="str">
        <f t="shared" si="43"/>
        <v>6-8</v>
      </c>
    </row>
    <row r="1398" spans="1:11" x14ac:dyDescent="0.2">
      <c r="A1398" s="4">
        <v>73</v>
      </c>
      <c r="B1398" s="4">
        <v>10</v>
      </c>
      <c r="C1398" t="s">
        <v>8</v>
      </c>
      <c r="D1398" s="4">
        <v>0</v>
      </c>
      <c r="E1398" s="3">
        <v>0.88355129642877706</v>
      </c>
      <c r="F1398" s="4">
        <v>2</v>
      </c>
      <c r="G1398" s="2">
        <v>899.26</v>
      </c>
      <c r="H1398" s="2">
        <v>449.63</v>
      </c>
      <c r="I1398" s="2">
        <v>899.26</v>
      </c>
      <c r="J1398" s="2" t="str">
        <f t="shared" si="42"/>
        <v>65-74</v>
      </c>
      <c r="K1398" s="17" t="str">
        <f t="shared" si="43"/>
        <v>9-11</v>
      </c>
    </row>
    <row r="1399" spans="1:11" x14ac:dyDescent="0.2">
      <c r="A1399" s="4">
        <v>81</v>
      </c>
      <c r="B1399" s="4">
        <v>13</v>
      </c>
      <c r="C1399" t="s">
        <v>8</v>
      </c>
      <c r="D1399" s="4">
        <v>2</v>
      </c>
      <c r="E1399" s="3">
        <v>0.89492879365570799</v>
      </c>
      <c r="F1399" s="4">
        <v>1</v>
      </c>
      <c r="G1399" s="2">
        <v>5852.48</v>
      </c>
      <c r="H1399" s="2">
        <v>5852.48</v>
      </c>
      <c r="I1399" s="2">
        <v>5852.48</v>
      </c>
      <c r="J1399" s="2" t="str">
        <f t="shared" si="42"/>
        <v>75-90</v>
      </c>
      <c r="K1399" s="17" t="str">
        <f t="shared" si="43"/>
        <v>12-15</v>
      </c>
    </row>
    <row r="1400" spans="1:11" x14ac:dyDescent="0.2">
      <c r="A1400" s="4">
        <v>60</v>
      </c>
      <c r="B1400" s="4">
        <v>10</v>
      </c>
      <c r="C1400" t="s">
        <v>8</v>
      </c>
      <c r="D1400" s="4">
        <v>0</v>
      </c>
      <c r="E1400" s="3">
        <v>0.78475199104286697</v>
      </c>
      <c r="F1400" s="4">
        <v>1</v>
      </c>
      <c r="G1400" s="2">
        <v>1875.36</v>
      </c>
      <c r="H1400" s="2">
        <v>1875.36</v>
      </c>
      <c r="I1400" s="2">
        <v>1875.36</v>
      </c>
      <c r="J1400" s="2" t="str">
        <f t="shared" si="42"/>
        <v>55-64</v>
      </c>
      <c r="K1400" s="17" t="str">
        <f t="shared" si="43"/>
        <v>9-11</v>
      </c>
    </row>
    <row r="1401" spans="1:11" x14ac:dyDescent="0.2">
      <c r="A1401" s="4">
        <v>62</v>
      </c>
      <c r="B1401" s="4">
        <v>2</v>
      </c>
      <c r="C1401" t="s">
        <v>8</v>
      </c>
      <c r="D1401" s="4">
        <v>0</v>
      </c>
      <c r="E1401" s="3">
        <v>0.79215213586576305</v>
      </c>
      <c r="F1401" s="4">
        <v>1</v>
      </c>
      <c r="G1401" s="2">
        <v>702.37</v>
      </c>
      <c r="H1401" s="2">
        <v>702.37</v>
      </c>
      <c r="I1401" s="2">
        <v>702.37</v>
      </c>
      <c r="J1401" s="2" t="str">
        <f t="shared" si="42"/>
        <v>55-64</v>
      </c>
      <c r="K1401" s="17" t="str">
        <f t="shared" si="43"/>
        <v>0-2</v>
      </c>
    </row>
    <row r="1402" spans="1:11" x14ac:dyDescent="0.2">
      <c r="A1402" s="4">
        <v>78</v>
      </c>
      <c r="B1402" s="4">
        <v>3</v>
      </c>
      <c r="C1402" t="s">
        <v>10</v>
      </c>
      <c r="D1402" s="4">
        <v>1</v>
      </c>
      <c r="E1402" s="3">
        <v>0.54304429958574496</v>
      </c>
      <c r="F1402" s="4">
        <v>1</v>
      </c>
      <c r="G1402" s="2">
        <v>3559.37</v>
      </c>
      <c r="H1402" s="2">
        <v>3559.37</v>
      </c>
      <c r="I1402" s="2">
        <v>3559.37</v>
      </c>
      <c r="J1402" s="2" t="str">
        <f t="shared" si="42"/>
        <v>75-90</v>
      </c>
      <c r="K1402" s="17" t="str">
        <f t="shared" si="43"/>
        <v>3-5</v>
      </c>
    </row>
    <row r="1403" spans="1:11" x14ac:dyDescent="0.2">
      <c r="A1403" s="4">
        <v>22</v>
      </c>
      <c r="B1403" s="4">
        <v>3</v>
      </c>
      <c r="C1403" t="s">
        <v>8</v>
      </c>
      <c r="D1403" s="4">
        <v>0</v>
      </c>
      <c r="E1403" s="3">
        <v>0.83107013476546898</v>
      </c>
      <c r="F1403" s="4">
        <v>1</v>
      </c>
      <c r="G1403" s="2">
        <v>448.14</v>
      </c>
      <c r="H1403" s="2">
        <v>448.14</v>
      </c>
      <c r="I1403" s="2">
        <v>448.14</v>
      </c>
      <c r="J1403" s="2" t="str">
        <f t="shared" si="42"/>
        <v>18-24</v>
      </c>
      <c r="K1403" s="17" t="str">
        <f t="shared" si="43"/>
        <v>3-5</v>
      </c>
    </row>
    <row r="1404" spans="1:11" x14ac:dyDescent="0.2">
      <c r="A1404" s="4">
        <v>77</v>
      </c>
      <c r="B1404" s="4">
        <v>10</v>
      </c>
      <c r="C1404" t="s">
        <v>8</v>
      </c>
      <c r="D1404" s="4">
        <v>0</v>
      </c>
      <c r="E1404" s="3">
        <v>0.85649616795126304</v>
      </c>
      <c r="F1404" s="4">
        <v>1</v>
      </c>
      <c r="G1404" s="2">
        <v>1161.92</v>
      </c>
      <c r="H1404" s="2">
        <v>1161.92</v>
      </c>
      <c r="I1404" s="2">
        <v>1161.92</v>
      </c>
      <c r="J1404" s="2" t="str">
        <f t="shared" si="42"/>
        <v>75-90</v>
      </c>
      <c r="K1404" s="17" t="str">
        <f t="shared" si="43"/>
        <v>9-11</v>
      </c>
    </row>
    <row r="1405" spans="1:11" x14ac:dyDescent="0.2">
      <c r="A1405" s="4">
        <v>47</v>
      </c>
      <c r="B1405" s="4">
        <v>9</v>
      </c>
      <c r="C1405" t="s">
        <v>10</v>
      </c>
      <c r="D1405" s="4">
        <v>1</v>
      </c>
      <c r="E1405" s="3">
        <v>0.70229252579156298</v>
      </c>
      <c r="F1405" s="4">
        <v>1</v>
      </c>
      <c r="G1405" s="2">
        <v>553.82000000000005</v>
      </c>
      <c r="H1405" s="2">
        <v>553.82000000000005</v>
      </c>
      <c r="I1405" s="2">
        <v>553.82000000000005</v>
      </c>
      <c r="J1405" s="2" t="str">
        <f t="shared" si="42"/>
        <v>45-54</v>
      </c>
      <c r="K1405" s="17" t="str">
        <f t="shared" si="43"/>
        <v>9-11</v>
      </c>
    </row>
    <row r="1406" spans="1:11" x14ac:dyDescent="0.2">
      <c r="A1406" s="4">
        <v>42</v>
      </c>
      <c r="B1406" s="4">
        <v>9</v>
      </c>
      <c r="C1406" t="s">
        <v>8</v>
      </c>
      <c r="D1406" s="4">
        <v>0</v>
      </c>
      <c r="E1406" s="3">
        <v>0.81525162700563703</v>
      </c>
      <c r="F1406" s="4">
        <v>1</v>
      </c>
      <c r="G1406" s="2">
        <v>333.67</v>
      </c>
      <c r="H1406" s="2">
        <v>333.67</v>
      </c>
      <c r="I1406" s="2">
        <v>333.67</v>
      </c>
      <c r="J1406" s="2" t="str">
        <f t="shared" si="42"/>
        <v>35-44</v>
      </c>
      <c r="K1406" s="17" t="str">
        <f t="shared" si="43"/>
        <v>9-11</v>
      </c>
    </row>
    <row r="1407" spans="1:11" x14ac:dyDescent="0.2">
      <c r="A1407" s="4">
        <v>34</v>
      </c>
      <c r="B1407" s="4">
        <v>7</v>
      </c>
      <c r="C1407" t="s">
        <v>8</v>
      </c>
      <c r="D1407" s="4">
        <v>0</v>
      </c>
      <c r="E1407" s="3">
        <v>0.97321924462448806</v>
      </c>
      <c r="F1407" s="4">
        <v>1</v>
      </c>
      <c r="G1407" s="2">
        <v>198.85</v>
      </c>
      <c r="H1407" s="2">
        <v>198.85</v>
      </c>
      <c r="I1407" s="2">
        <v>198.85</v>
      </c>
      <c r="J1407" s="2" t="str">
        <f t="shared" si="42"/>
        <v>25-34</v>
      </c>
      <c r="K1407" s="17" t="str">
        <f t="shared" si="43"/>
        <v>6-8</v>
      </c>
    </row>
    <row r="1408" spans="1:11" x14ac:dyDescent="0.2">
      <c r="A1408" s="4">
        <v>44</v>
      </c>
      <c r="B1408" s="4">
        <v>5</v>
      </c>
      <c r="C1408" t="s">
        <v>8</v>
      </c>
      <c r="D1408" s="4">
        <v>0</v>
      </c>
      <c r="E1408" s="3">
        <v>0.51431919133756299</v>
      </c>
      <c r="F1408" s="4">
        <v>1</v>
      </c>
      <c r="G1408" s="2">
        <v>845.55</v>
      </c>
      <c r="H1408" s="2">
        <v>845.55</v>
      </c>
      <c r="I1408" s="2">
        <v>845.55</v>
      </c>
      <c r="J1408" s="2" t="str">
        <f t="shared" si="42"/>
        <v>35-44</v>
      </c>
      <c r="K1408" s="17" t="str">
        <f t="shared" si="43"/>
        <v>3-5</v>
      </c>
    </row>
    <row r="1409" spans="1:11" x14ac:dyDescent="0.2">
      <c r="A1409" s="4">
        <v>49</v>
      </c>
      <c r="B1409" s="4">
        <v>7</v>
      </c>
      <c r="C1409" t="s">
        <v>16</v>
      </c>
      <c r="D1409" s="4">
        <v>0</v>
      </c>
      <c r="E1409" s="3">
        <v>0.74780894583091095</v>
      </c>
      <c r="F1409" s="4">
        <v>1</v>
      </c>
      <c r="G1409" s="2">
        <v>444.98</v>
      </c>
      <c r="H1409" s="2">
        <v>444.98</v>
      </c>
      <c r="I1409" s="2">
        <v>444.98</v>
      </c>
      <c r="J1409" s="2" t="str">
        <f t="shared" si="42"/>
        <v>45-54</v>
      </c>
      <c r="K1409" s="17" t="str">
        <f t="shared" si="43"/>
        <v>6-8</v>
      </c>
    </row>
    <row r="1410" spans="1:11" x14ac:dyDescent="0.2">
      <c r="A1410" s="4">
        <v>62</v>
      </c>
      <c r="B1410" s="4">
        <v>11</v>
      </c>
      <c r="C1410" t="s">
        <v>8</v>
      </c>
      <c r="D1410" s="4">
        <v>2</v>
      </c>
      <c r="E1410" s="3">
        <v>0.94122221833094999</v>
      </c>
      <c r="F1410" s="4">
        <v>1</v>
      </c>
      <c r="G1410" s="2">
        <v>1930.39</v>
      </c>
      <c r="H1410" s="2">
        <v>1930.39</v>
      </c>
      <c r="I1410" s="2">
        <v>1930.39</v>
      </c>
      <c r="J1410" s="2" t="str">
        <f t="shared" ref="J1410:J1473" si="44" xml:space="preserve"> IF(A1410&lt;25,"18-24",
 IF(A1410&lt;35,"25-34",
 IF(A1410&lt;45,"35-44",
 IF(A1410&lt;55,"45-54", IF(A1410&lt;65, "55-64", IF(A1410&lt;75, "65-74", "75-90"))))))</f>
        <v>55-64</v>
      </c>
      <c r="K1410" s="17" t="str">
        <f t="shared" ref="K1410:K1473" si="45" xml:space="preserve"> IF(B1410 &lt; 3, "0-2", IF(B1410 &lt; 6, "3-5", IF(B1410 &lt; 9, "6-8", IF(B1410 &lt; 12, "9-11", "12-15"))))</f>
        <v>9-11</v>
      </c>
    </row>
    <row r="1411" spans="1:11" x14ac:dyDescent="0.2">
      <c r="A1411" s="4">
        <v>43</v>
      </c>
      <c r="B1411" s="4">
        <v>13</v>
      </c>
      <c r="C1411" t="s">
        <v>8</v>
      </c>
      <c r="D1411" s="4">
        <v>0</v>
      </c>
      <c r="E1411" s="3">
        <v>0.54568920051679004</v>
      </c>
      <c r="F1411" s="4">
        <v>1</v>
      </c>
      <c r="G1411" s="2">
        <v>629.5</v>
      </c>
      <c r="H1411" s="2">
        <v>629.5</v>
      </c>
      <c r="I1411" s="2">
        <v>629.5</v>
      </c>
      <c r="J1411" s="2" t="str">
        <f t="shared" si="44"/>
        <v>35-44</v>
      </c>
      <c r="K1411" s="17" t="str">
        <f t="shared" si="45"/>
        <v>12-15</v>
      </c>
    </row>
    <row r="1412" spans="1:11" x14ac:dyDescent="0.2">
      <c r="A1412" s="4">
        <v>41</v>
      </c>
      <c r="B1412" s="4">
        <v>7</v>
      </c>
      <c r="C1412" t="s">
        <v>16</v>
      </c>
      <c r="D1412" s="4">
        <v>0</v>
      </c>
      <c r="E1412" s="3">
        <v>0.77794474258553203</v>
      </c>
      <c r="F1412" s="4">
        <v>1</v>
      </c>
      <c r="G1412" s="2">
        <v>509.95</v>
      </c>
      <c r="H1412" s="2">
        <v>509.95</v>
      </c>
      <c r="I1412" s="2">
        <v>509.95</v>
      </c>
      <c r="J1412" s="2" t="str">
        <f t="shared" si="44"/>
        <v>35-44</v>
      </c>
      <c r="K1412" s="17" t="str">
        <f t="shared" si="45"/>
        <v>6-8</v>
      </c>
    </row>
    <row r="1413" spans="1:11" x14ac:dyDescent="0.2">
      <c r="A1413" s="4">
        <v>75</v>
      </c>
      <c r="B1413" s="4">
        <v>3</v>
      </c>
      <c r="C1413" t="s">
        <v>8</v>
      </c>
      <c r="D1413" s="4">
        <v>1</v>
      </c>
      <c r="E1413" s="3">
        <v>0.92211999441496995</v>
      </c>
      <c r="F1413" s="4">
        <v>1</v>
      </c>
      <c r="G1413" s="2">
        <v>878.75</v>
      </c>
      <c r="H1413" s="2">
        <v>878.75</v>
      </c>
      <c r="I1413" s="2">
        <v>878.75</v>
      </c>
      <c r="J1413" s="2" t="str">
        <f t="shared" si="44"/>
        <v>75-90</v>
      </c>
      <c r="K1413" s="17" t="str">
        <f t="shared" si="45"/>
        <v>3-5</v>
      </c>
    </row>
    <row r="1414" spans="1:11" x14ac:dyDescent="0.2">
      <c r="A1414" s="4">
        <v>31</v>
      </c>
      <c r="B1414" s="4">
        <v>7</v>
      </c>
      <c r="C1414" t="s">
        <v>10</v>
      </c>
      <c r="D1414" s="4">
        <v>0</v>
      </c>
      <c r="E1414" s="3">
        <v>0.91610855888575304</v>
      </c>
      <c r="F1414" s="4">
        <v>1</v>
      </c>
      <c r="G1414" s="2">
        <v>524.23</v>
      </c>
      <c r="H1414" s="2">
        <v>524.23</v>
      </c>
      <c r="I1414" s="2">
        <v>524.23</v>
      </c>
      <c r="J1414" s="2" t="str">
        <f t="shared" si="44"/>
        <v>25-34</v>
      </c>
      <c r="K1414" s="17" t="str">
        <f t="shared" si="45"/>
        <v>6-8</v>
      </c>
    </row>
    <row r="1415" spans="1:11" x14ac:dyDescent="0.2">
      <c r="A1415" s="4">
        <v>76</v>
      </c>
      <c r="B1415" s="4">
        <v>12</v>
      </c>
      <c r="C1415" t="s">
        <v>8</v>
      </c>
      <c r="D1415" s="4">
        <v>0</v>
      </c>
      <c r="E1415" s="3">
        <v>0.91814607009291604</v>
      </c>
      <c r="F1415" s="4">
        <v>2</v>
      </c>
      <c r="G1415" s="2">
        <v>1008.29</v>
      </c>
      <c r="H1415" s="2">
        <v>504.15</v>
      </c>
      <c r="I1415" s="2">
        <v>1008.29</v>
      </c>
      <c r="J1415" s="2" t="str">
        <f t="shared" si="44"/>
        <v>75-90</v>
      </c>
      <c r="K1415" s="17" t="str">
        <f t="shared" si="45"/>
        <v>12-15</v>
      </c>
    </row>
    <row r="1416" spans="1:11" x14ac:dyDescent="0.2">
      <c r="A1416" s="4">
        <v>21</v>
      </c>
      <c r="B1416" s="4">
        <v>13</v>
      </c>
      <c r="C1416" t="s">
        <v>8</v>
      </c>
      <c r="D1416" s="4">
        <v>0</v>
      </c>
      <c r="E1416" s="3">
        <v>0.535844565485604</v>
      </c>
      <c r="F1416" s="4">
        <v>3</v>
      </c>
      <c r="G1416" s="2">
        <v>413.51</v>
      </c>
      <c r="H1416" s="2">
        <v>137.84</v>
      </c>
      <c r="I1416" s="2">
        <v>413.51</v>
      </c>
      <c r="J1416" s="2" t="str">
        <f t="shared" si="44"/>
        <v>18-24</v>
      </c>
      <c r="K1416" s="17" t="str">
        <f t="shared" si="45"/>
        <v>12-15</v>
      </c>
    </row>
    <row r="1417" spans="1:11" x14ac:dyDescent="0.2">
      <c r="A1417" s="4">
        <v>41</v>
      </c>
      <c r="B1417" s="4">
        <v>15</v>
      </c>
      <c r="C1417" t="s">
        <v>8</v>
      </c>
      <c r="D1417" s="4">
        <v>1</v>
      </c>
      <c r="E1417" s="3">
        <v>0.52121205383446101</v>
      </c>
      <c r="F1417" s="4">
        <v>1</v>
      </c>
      <c r="G1417" s="2">
        <v>830.34</v>
      </c>
      <c r="H1417" s="2">
        <v>830.34</v>
      </c>
      <c r="I1417" s="2">
        <v>830.34</v>
      </c>
      <c r="J1417" s="2" t="str">
        <f t="shared" si="44"/>
        <v>35-44</v>
      </c>
      <c r="K1417" s="17" t="str">
        <f t="shared" si="45"/>
        <v>12-15</v>
      </c>
    </row>
    <row r="1418" spans="1:11" x14ac:dyDescent="0.2">
      <c r="A1418" s="4">
        <v>47</v>
      </c>
      <c r="B1418" s="4">
        <v>14</v>
      </c>
      <c r="C1418" t="s">
        <v>16</v>
      </c>
      <c r="D1418" s="4">
        <v>2</v>
      </c>
      <c r="E1418" s="3">
        <v>0.53333027905318897</v>
      </c>
      <c r="F1418" s="4">
        <v>1</v>
      </c>
      <c r="G1418" s="2">
        <v>1554.61</v>
      </c>
      <c r="H1418" s="2">
        <v>1554.61</v>
      </c>
      <c r="I1418" s="2">
        <v>1554.61</v>
      </c>
      <c r="J1418" s="2" t="str">
        <f t="shared" si="44"/>
        <v>45-54</v>
      </c>
      <c r="K1418" s="17" t="str">
        <f t="shared" si="45"/>
        <v>12-15</v>
      </c>
    </row>
    <row r="1419" spans="1:11" x14ac:dyDescent="0.2">
      <c r="A1419" s="4">
        <v>49</v>
      </c>
      <c r="B1419" s="4">
        <v>6</v>
      </c>
      <c r="C1419" t="s">
        <v>16</v>
      </c>
      <c r="D1419" s="4">
        <v>0</v>
      </c>
      <c r="E1419" s="3">
        <v>0.94662134093232497</v>
      </c>
      <c r="F1419" s="4">
        <v>1</v>
      </c>
      <c r="G1419" s="2">
        <v>339.82</v>
      </c>
      <c r="H1419" s="2">
        <v>339.82</v>
      </c>
      <c r="I1419" s="2">
        <v>339.82</v>
      </c>
      <c r="J1419" s="2" t="str">
        <f t="shared" si="44"/>
        <v>45-54</v>
      </c>
      <c r="K1419" s="17" t="str">
        <f t="shared" si="45"/>
        <v>6-8</v>
      </c>
    </row>
    <row r="1420" spans="1:11" x14ac:dyDescent="0.2">
      <c r="A1420" s="4">
        <v>79</v>
      </c>
      <c r="B1420" s="4">
        <v>1</v>
      </c>
      <c r="C1420" t="s">
        <v>8</v>
      </c>
      <c r="D1420" s="4">
        <v>1</v>
      </c>
      <c r="E1420" s="3">
        <v>0.82405564759392302</v>
      </c>
      <c r="F1420" s="4">
        <v>2</v>
      </c>
      <c r="G1420" s="2">
        <v>933.55</v>
      </c>
      <c r="H1420" s="2">
        <v>466.78</v>
      </c>
      <c r="I1420" s="2">
        <v>933.55</v>
      </c>
      <c r="J1420" s="2" t="str">
        <f t="shared" si="44"/>
        <v>75-90</v>
      </c>
      <c r="K1420" s="17" t="str">
        <f t="shared" si="45"/>
        <v>0-2</v>
      </c>
    </row>
    <row r="1421" spans="1:11" x14ac:dyDescent="0.2">
      <c r="A1421" s="4">
        <v>86</v>
      </c>
      <c r="B1421" s="4">
        <v>1</v>
      </c>
      <c r="C1421" t="s">
        <v>8</v>
      </c>
      <c r="D1421" s="4">
        <v>0</v>
      </c>
      <c r="E1421" s="3">
        <v>0.845100387348793</v>
      </c>
      <c r="F1421" s="4">
        <v>1</v>
      </c>
      <c r="G1421" s="2">
        <v>1080.73</v>
      </c>
      <c r="H1421" s="2">
        <v>1080.73</v>
      </c>
      <c r="I1421" s="2">
        <v>1080.73</v>
      </c>
      <c r="J1421" s="2" t="str">
        <f t="shared" si="44"/>
        <v>75-90</v>
      </c>
      <c r="K1421" s="17" t="str">
        <f t="shared" si="45"/>
        <v>0-2</v>
      </c>
    </row>
    <row r="1422" spans="1:11" x14ac:dyDescent="0.2">
      <c r="A1422" s="4">
        <v>55</v>
      </c>
      <c r="B1422" s="4">
        <v>13</v>
      </c>
      <c r="C1422" t="s">
        <v>8</v>
      </c>
      <c r="D1422" s="4">
        <v>0</v>
      </c>
      <c r="E1422" s="3">
        <v>0.97643180657178197</v>
      </c>
      <c r="F1422" s="4">
        <v>1</v>
      </c>
      <c r="G1422" s="2">
        <v>513.97</v>
      </c>
      <c r="H1422" s="2">
        <v>513.97</v>
      </c>
      <c r="I1422" s="2">
        <v>513.97</v>
      </c>
      <c r="J1422" s="2" t="str">
        <f t="shared" si="44"/>
        <v>55-64</v>
      </c>
      <c r="K1422" s="17" t="str">
        <f t="shared" si="45"/>
        <v>12-15</v>
      </c>
    </row>
    <row r="1423" spans="1:11" x14ac:dyDescent="0.2">
      <c r="A1423" s="4">
        <v>28</v>
      </c>
      <c r="B1423" s="4">
        <v>15</v>
      </c>
      <c r="C1423" t="s">
        <v>10</v>
      </c>
      <c r="D1423" s="4">
        <v>0</v>
      </c>
      <c r="E1423" s="3">
        <v>0.662620042799972</v>
      </c>
      <c r="F1423" s="4">
        <v>1</v>
      </c>
      <c r="G1423" s="2">
        <v>1034.4100000000001</v>
      </c>
      <c r="H1423" s="2">
        <v>1034.4100000000001</v>
      </c>
      <c r="I1423" s="2">
        <v>1034.4100000000001</v>
      </c>
      <c r="J1423" s="2" t="str">
        <f t="shared" si="44"/>
        <v>25-34</v>
      </c>
      <c r="K1423" s="17" t="str">
        <f t="shared" si="45"/>
        <v>12-15</v>
      </c>
    </row>
    <row r="1424" spans="1:11" x14ac:dyDescent="0.2">
      <c r="A1424" s="4">
        <v>65</v>
      </c>
      <c r="B1424" s="4">
        <v>10</v>
      </c>
      <c r="C1424" t="s">
        <v>16</v>
      </c>
      <c r="D1424" s="4">
        <v>0</v>
      </c>
      <c r="E1424" s="3">
        <v>0.78990993497427597</v>
      </c>
      <c r="F1424" s="4">
        <v>2</v>
      </c>
      <c r="G1424" s="2">
        <v>906.08</v>
      </c>
      <c r="H1424" s="2">
        <v>453.04</v>
      </c>
      <c r="I1424" s="2">
        <v>906.08</v>
      </c>
      <c r="J1424" s="2" t="str">
        <f t="shared" si="44"/>
        <v>65-74</v>
      </c>
      <c r="K1424" s="17" t="str">
        <f t="shared" si="45"/>
        <v>9-11</v>
      </c>
    </row>
    <row r="1425" spans="1:11" x14ac:dyDescent="0.2">
      <c r="A1425" s="4">
        <v>71</v>
      </c>
      <c r="B1425" s="4">
        <v>9</v>
      </c>
      <c r="C1425" t="s">
        <v>10</v>
      </c>
      <c r="D1425" s="4">
        <v>0</v>
      </c>
      <c r="E1425" s="3">
        <v>0.66582243458833501</v>
      </c>
      <c r="F1425" s="4">
        <v>1</v>
      </c>
      <c r="G1425" s="2">
        <v>1505.02</v>
      </c>
      <c r="H1425" s="2">
        <v>1505.02</v>
      </c>
      <c r="I1425" s="2">
        <v>1505.02</v>
      </c>
      <c r="J1425" s="2" t="str">
        <f t="shared" si="44"/>
        <v>65-74</v>
      </c>
      <c r="K1425" s="17" t="str">
        <f t="shared" si="45"/>
        <v>9-11</v>
      </c>
    </row>
    <row r="1426" spans="1:11" x14ac:dyDescent="0.2">
      <c r="A1426" s="4">
        <v>70</v>
      </c>
      <c r="B1426" s="4">
        <v>7</v>
      </c>
      <c r="C1426" t="s">
        <v>16</v>
      </c>
      <c r="D1426" s="4">
        <v>0</v>
      </c>
      <c r="E1426" s="3">
        <v>0.87748467992059898</v>
      </c>
      <c r="F1426" s="4">
        <v>1</v>
      </c>
      <c r="G1426" s="2">
        <v>588.27</v>
      </c>
      <c r="H1426" s="2">
        <v>588.27</v>
      </c>
      <c r="I1426" s="2">
        <v>588.27</v>
      </c>
      <c r="J1426" s="2" t="str">
        <f t="shared" si="44"/>
        <v>65-74</v>
      </c>
      <c r="K1426" s="17" t="str">
        <f t="shared" si="45"/>
        <v>6-8</v>
      </c>
    </row>
    <row r="1427" spans="1:11" x14ac:dyDescent="0.2">
      <c r="A1427" s="4">
        <v>39</v>
      </c>
      <c r="B1427" s="4">
        <v>7</v>
      </c>
      <c r="C1427" t="s">
        <v>8</v>
      </c>
      <c r="D1427" s="4">
        <v>0</v>
      </c>
      <c r="E1427" s="3">
        <v>0.70316384348552696</v>
      </c>
      <c r="F1427" s="4">
        <v>1</v>
      </c>
      <c r="G1427" s="2">
        <v>556.39</v>
      </c>
      <c r="H1427" s="2">
        <v>556.39</v>
      </c>
      <c r="I1427" s="2">
        <v>556.39</v>
      </c>
      <c r="J1427" s="2" t="str">
        <f t="shared" si="44"/>
        <v>35-44</v>
      </c>
      <c r="K1427" s="17" t="str">
        <f t="shared" si="45"/>
        <v>6-8</v>
      </c>
    </row>
    <row r="1428" spans="1:11" x14ac:dyDescent="0.2">
      <c r="A1428" s="4">
        <v>90</v>
      </c>
      <c r="B1428" s="4">
        <v>1</v>
      </c>
      <c r="C1428" t="s">
        <v>16</v>
      </c>
      <c r="D1428" s="4">
        <v>0</v>
      </c>
      <c r="E1428" s="3">
        <v>0.57084966928232495</v>
      </c>
      <c r="F1428" s="4">
        <v>1</v>
      </c>
      <c r="G1428" s="2">
        <v>1676.74</v>
      </c>
      <c r="H1428" s="2">
        <v>1676.74</v>
      </c>
      <c r="I1428" s="2">
        <v>1676.74</v>
      </c>
      <c r="J1428" s="2" t="str">
        <f t="shared" si="44"/>
        <v>75-90</v>
      </c>
      <c r="K1428" s="17" t="str">
        <f t="shared" si="45"/>
        <v>0-2</v>
      </c>
    </row>
    <row r="1429" spans="1:11" x14ac:dyDescent="0.2">
      <c r="A1429" s="4">
        <v>86</v>
      </c>
      <c r="B1429" s="4">
        <v>5</v>
      </c>
      <c r="C1429" t="s">
        <v>16</v>
      </c>
      <c r="D1429" s="4">
        <v>0</v>
      </c>
      <c r="E1429" s="3">
        <v>0.70249636122025505</v>
      </c>
      <c r="F1429" s="4">
        <v>1</v>
      </c>
      <c r="G1429" s="2">
        <v>1188.5899999999999</v>
      </c>
      <c r="H1429" s="2">
        <v>1188.5899999999999</v>
      </c>
      <c r="I1429" s="2">
        <v>1188.5899999999999</v>
      </c>
      <c r="J1429" s="2" t="str">
        <f t="shared" si="44"/>
        <v>75-90</v>
      </c>
      <c r="K1429" s="17" t="str">
        <f t="shared" si="45"/>
        <v>3-5</v>
      </c>
    </row>
    <row r="1430" spans="1:11" x14ac:dyDescent="0.2">
      <c r="A1430" s="4">
        <v>87</v>
      </c>
      <c r="B1430" s="4">
        <v>5</v>
      </c>
      <c r="C1430" t="s">
        <v>16</v>
      </c>
      <c r="D1430" s="4">
        <v>2</v>
      </c>
      <c r="E1430" s="3">
        <v>0.67895761178806402</v>
      </c>
      <c r="F1430" s="4">
        <v>2</v>
      </c>
      <c r="G1430" s="2">
        <v>5477.2</v>
      </c>
      <c r="H1430" s="2">
        <v>2738.6</v>
      </c>
      <c r="I1430" s="2">
        <v>5477.2</v>
      </c>
      <c r="J1430" s="2" t="str">
        <f t="shared" si="44"/>
        <v>75-90</v>
      </c>
      <c r="K1430" s="17" t="str">
        <f t="shared" si="45"/>
        <v>3-5</v>
      </c>
    </row>
    <row r="1431" spans="1:11" x14ac:dyDescent="0.2">
      <c r="A1431" s="4">
        <v>87</v>
      </c>
      <c r="B1431" s="4">
        <v>11</v>
      </c>
      <c r="C1431" t="s">
        <v>8</v>
      </c>
      <c r="D1431" s="4">
        <v>1</v>
      </c>
      <c r="E1431" s="3">
        <v>0.80742320779245302</v>
      </c>
      <c r="F1431" s="4">
        <v>1</v>
      </c>
      <c r="G1431" s="2">
        <v>2664.2</v>
      </c>
      <c r="H1431" s="2">
        <v>2664.2</v>
      </c>
      <c r="I1431" s="2">
        <v>2664.2</v>
      </c>
      <c r="J1431" s="2" t="str">
        <f t="shared" si="44"/>
        <v>75-90</v>
      </c>
      <c r="K1431" s="17" t="str">
        <f t="shared" si="45"/>
        <v>9-11</v>
      </c>
    </row>
    <row r="1432" spans="1:11" x14ac:dyDescent="0.2">
      <c r="A1432" s="4">
        <v>25</v>
      </c>
      <c r="B1432" s="4">
        <v>14</v>
      </c>
      <c r="C1432" t="s">
        <v>16</v>
      </c>
      <c r="D1432" s="4">
        <v>1</v>
      </c>
      <c r="E1432" s="3">
        <v>0.57149248837958999</v>
      </c>
      <c r="F1432" s="4">
        <v>1</v>
      </c>
      <c r="G1432" s="2">
        <v>1876.05</v>
      </c>
      <c r="H1432" s="2">
        <v>1876.05</v>
      </c>
      <c r="I1432" s="2">
        <v>1876.05</v>
      </c>
      <c r="J1432" s="2" t="str">
        <f t="shared" si="44"/>
        <v>25-34</v>
      </c>
      <c r="K1432" s="17" t="str">
        <f t="shared" si="45"/>
        <v>12-15</v>
      </c>
    </row>
    <row r="1433" spans="1:11" x14ac:dyDescent="0.2">
      <c r="A1433" s="4">
        <v>19</v>
      </c>
      <c r="B1433" s="4">
        <v>12</v>
      </c>
      <c r="C1433" t="s">
        <v>10</v>
      </c>
      <c r="D1433" s="4">
        <v>3</v>
      </c>
      <c r="E1433" s="3">
        <v>0.80353848857339505</v>
      </c>
      <c r="F1433" s="4">
        <v>1</v>
      </c>
      <c r="G1433" s="2">
        <v>779.11</v>
      </c>
      <c r="H1433" s="2">
        <v>779.11</v>
      </c>
      <c r="I1433" s="2">
        <v>779.11</v>
      </c>
      <c r="J1433" s="2" t="str">
        <f t="shared" si="44"/>
        <v>18-24</v>
      </c>
      <c r="K1433" s="17" t="str">
        <f t="shared" si="45"/>
        <v>12-15</v>
      </c>
    </row>
    <row r="1434" spans="1:11" x14ac:dyDescent="0.2">
      <c r="A1434" s="4">
        <v>45</v>
      </c>
      <c r="B1434" s="4">
        <v>2</v>
      </c>
      <c r="C1434" t="s">
        <v>8</v>
      </c>
      <c r="D1434" s="4">
        <v>0</v>
      </c>
      <c r="E1434" s="3">
        <v>0.603973313351162</v>
      </c>
      <c r="F1434" s="4">
        <v>1</v>
      </c>
      <c r="G1434" s="2">
        <v>325.16000000000003</v>
      </c>
      <c r="H1434" s="2">
        <v>325.16000000000003</v>
      </c>
      <c r="I1434" s="2">
        <v>325.16000000000003</v>
      </c>
      <c r="J1434" s="2" t="str">
        <f t="shared" si="44"/>
        <v>45-54</v>
      </c>
      <c r="K1434" s="17" t="str">
        <f t="shared" si="45"/>
        <v>0-2</v>
      </c>
    </row>
    <row r="1435" spans="1:11" x14ac:dyDescent="0.2">
      <c r="A1435" s="4">
        <v>63</v>
      </c>
      <c r="B1435" s="4">
        <v>6</v>
      </c>
      <c r="C1435" t="s">
        <v>8</v>
      </c>
      <c r="D1435" s="4">
        <v>1</v>
      </c>
      <c r="E1435" s="3">
        <v>0.99096571642439801</v>
      </c>
      <c r="F1435" s="4">
        <v>1</v>
      </c>
      <c r="G1435" s="2">
        <v>1636.93</v>
      </c>
      <c r="H1435" s="2">
        <v>1636.93</v>
      </c>
      <c r="I1435" s="2">
        <v>1636.93</v>
      </c>
      <c r="J1435" s="2" t="str">
        <f t="shared" si="44"/>
        <v>55-64</v>
      </c>
      <c r="K1435" s="17" t="str">
        <f t="shared" si="45"/>
        <v>6-8</v>
      </c>
    </row>
    <row r="1436" spans="1:11" x14ac:dyDescent="0.2">
      <c r="A1436" s="4">
        <v>59</v>
      </c>
      <c r="B1436" s="4">
        <v>9</v>
      </c>
      <c r="C1436" t="s">
        <v>8</v>
      </c>
      <c r="D1436" s="4">
        <v>0</v>
      </c>
      <c r="E1436" s="3">
        <v>0.78993955824989803</v>
      </c>
      <c r="F1436" s="4">
        <v>1</v>
      </c>
      <c r="G1436" s="2">
        <v>2296.88</v>
      </c>
      <c r="H1436" s="2">
        <v>2296.88</v>
      </c>
      <c r="I1436" s="2">
        <v>2296.88</v>
      </c>
      <c r="J1436" s="2" t="str">
        <f t="shared" si="44"/>
        <v>55-64</v>
      </c>
      <c r="K1436" s="17" t="str">
        <f t="shared" si="45"/>
        <v>9-11</v>
      </c>
    </row>
    <row r="1437" spans="1:11" x14ac:dyDescent="0.2">
      <c r="A1437" s="4">
        <v>39</v>
      </c>
      <c r="B1437" s="4">
        <v>7</v>
      </c>
      <c r="C1437" t="s">
        <v>10</v>
      </c>
      <c r="D1437" s="4">
        <v>0</v>
      </c>
      <c r="E1437" s="3">
        <v>0.95236716710496705</v>
      </c>
      <c r="F1437" s="4">
        <v>1</v>
      </c>
      <c r="G1437" s="2">
        <v>524.52</v>
      </c>
      <c r="H1437" s="2">
        <v>524.52</v>
      </c>
      <c r="I1437" s="2">
        <v>524.52</v>
      </c>
      <c r="J1437" s="2" t="str">
        <f t="shared" si="44"/>
        <v>35-44</v>
      </c>
      <c r="K1437" s="17" t="str">
        <f t="shared" si="45"/>
        <v>6-8</v>
      </c>
    </row>
    <row r="1438" spans="1:11" x14ac:dyDescent="0.2">
      <c r="A1438" s="4">
        <v>60</v>
      </c>
      <c r="B1438" s="4">
        <v>10</v>
      </c>
      <c r="C1438" t="s">
        <v>10</v>
      </c>
      <c r="D1438" s="4">
        <v>1</v>
      </c>
      <c r="E1438" s="3">
        <v>0.86589006753638398</v>
      </c>
      <c r="F1438" s="4">
        <v>1</v>
      </c>
      <c r="G1438" s="2">
        <v>1427.83</v>
      </c>
      <c r="H1438" s="2">
        <v>1427.83</v>
      </c>
      <c r="I1438" s="2">
        <v>1427.83</v>
      </c>
      <c r="J1438" s="2" t="str">
        <f t="shared" si="44"/>
        <v>55-64</v>
      </c>
      <c r="K1438" s="17" t="str">
        <f t="shared" si="45"/>
        <v>9-11</v>
      </c>
    </row>
    <row r="1439" spans="1:11" x14ac:dyDescent="0.2">
      <c r="A1439" s="4">
        <v>20</v>
      </c>
      <c r="B1439" s="4">
        <v>14</v>
      </c>
      <c r="C1439" t="s">
        <v>8</v>
      </c>
      <c r="D1439" s="4">
        <v>1</v>
      </c>
      <c r="E1439" s="3">
        <v>0.60313230799511097</v>
      </c>
      <c r="F1439" s="4">
        <v>1</v>
      </c>
      <c r="G1439" s="2">
        <v>397.84</v>
      </c>
      <c r="H1439" s="2">
        <v>397.84</v>
      </c>
      <c r="I1439" s="2">
        <v>397.84</v>
      </c>
      <c r="J1439" s="2" t="str">
        <f t="shared" si="44"/>
        <v>18-24</v>
      </c>
      <c r="K1439" s="17" t="str">
        <f t="shared" si="45"/>
        <v>12-15</v>
      </c>
    </row>
    <row r="1440" spans="1:11" x14ac:dyDescent="0.2">
      <c r="A1440" s="4">
        <v>65</v>
      </c>
      <c r="B1440" s="4">
        <v>7</v>
      </c>
      <c r="C1440" t="s">
        <v>8</v>
      </c>
      <c r="D1440" s="4">
        <v>0</v>
      </c>
      <c r="E1440" s="3">
        <v>0.94535719708073895</v>
      </c>
      <c r="F1440" s="4">
        <v>1</v>
      </c>
      <c r="G1440" s="2">
        <v>1221.68</v>
      </c>
      <c r="H1440" s="2">
        <v>1221.68</v>
      </c>
      <c r="I1440" s="2">
        <v>1221.68</v>
      </c>
      <c r="J1440" s="2" t="str">
        <f t="shared" si="44"/>
        <v>65-74</v>
      </c>
      <c r="K1440" s="17" t="str">
        <f t="shared" si="45"/>
        <v>6-8</v>
      </c>
    </row>
    <row r="1441" spans="1:11" x14ac:dyDescent="0.2">
      <c r="A1441" s="4">
        <v>22</v>
      </c>
      <c r="B1441" s="4">
        <v>10</v>
      </c>
      <c r="C1441" t="s">
        <v>16</v>
      </c>
      <c r="D1441" s="4">
        <v>0</v>
      </c>
      <c r="E1441" s="3">
        <v>0.648756310692988</v>
      </c>
      <c r="F1441" s="4">
        <v>1</v>
      </c>
      <c r="G1441" s="2">
        <v>301.45999999999998</v>
      </c>
      <c r="H1441" s="2">
        <v>301.45999999999998</v>
      </c>
      <c r="I1441" s="2">
        <v>301.45999999999998</v>
      </c>
      <c r="J1441" s="2" t="str">
        <f t="shared" si="44"/>
        <v>18-24</v>
      </c>
      <c r="K1441" s="17" t="str">
        <f t="shared" si="45"/>
        <v>9-11</v>
      </c>
    </row>
    <row r="1442" spans="1:11" x14ac:dyDescent="0.2">
      <c r="A1442" s="4">
        <v>49</v>
      </c>
      <c r="B1442" s="4">
        <v>12</v>
      </c>
      <c r="C1442" t="s">
        <v>8</v>
      </c>
      <c r="D1442" s="4">
        <v>0</v>
      </c>
      <c r="E1442" s="3">
        <v>0.64465821615885899</v>
      </c>
      <c r="F1442" s="4">
        <v>1</v>
      </c>
      <c r="G1442" s="2">
        <v>713.45</v>
      </c>
      <c r="H1442" s="2">
        <v>713.45</v>
      </c>
      <c r="I1442" s="2">
        <v>713.45</v>
      </c>
      <c r="J1442" s="2" t="str">
        <f t="shared" si="44"/>
        <v>45-54</v>
      </c>
      <c r="K1442" s="17" t="str">
        <f t="shared" si="45"/>
        <v>12-15</v>
      </c>
    </row>
    <row r="1443" spans="1:11" x14ac:dyDescent="0.2">
      <c r="A1443" s="4">
        <v>41</v>
      </c>
      <c r="B1443" s="4">
        <v>12</v>
      </c>
      <c r="C1443" t="s">
        <v>8</v>
      </c>
      <c r="D1443" s="4">
        <v>1</v>
      </c>
      <c r="E1443" s="3">
        <v>0.92275993083603702</v>
      </c>
      <c r="F1443" s="4">
        <v>1</v>
      </c>
      <c r="G1443" s="2">
        <v>1829.85</v>
      </c>
      <c r="H1443" s="2">
        <v>1829.85</v>
      </c>
      <c r="I1443" s="2">
        <v>1829.85</v>
      </c>
      <c r="J1443" s="2" t="str">
        <f t="shared" si="44"/>
        <v>35-44</v>
      </c>
      <c r="K1443" s="17" t="str">
        <f t="shared" si="45"/>
        <v>12-15</v>
      </c>
    </row>
    <row r="1444" spans="1:11" x14ac:dyDescent="0.2">
      <c r="A1444" s="4">
        <v>80</v>
      </c>
      <c r="B1444" s="4">
        <v>1</v>
      </c>
      <c r="C1444" t="s">
        <v>16</v>
      </c>
      <c r="D1444" s="4">
        <v>1</v>
      </c>
      <c r="E1444" s="3">
        <v>0.73680376238189604</v>
      </c>
      <c r="F1444" s="4">
        <v>1</v>
      </c>
      <c r="G1444" s="2">
        <v>1850.74</v>
      </c>
      <c r="H1444" s="2">
        <v>1850.74</v>
      </c>
      <c r="I1444" s="2">
        <v>1850.74</v>
      </c>
      <c r="J1444" s="2" t="str">
        <f t="shared" si="44"/>
        <v>75-90</v>
      </c>
      <c r="K1444" s="17" t="str">
        <f t="shared" si="45"/>
        <v>0-2</v>
      </c>
    </row>
    <row r="1445" spans="1:11" x14ac:dyDescent="0.2">
      <c r="A1445" s="4">
        <v>42</v>
      </c>
      <c r="B1445" s="4">
        <v>13</v>
      </c>
      <c r="C1445" t="s">
        <v>8</v>
      </c>
      <c r="D1445" s="4">
        <v>1</v>
      </c>
      <c r="E1445" s="3">
        <v>0.95420046069193598</v>
      </c>
      <c r="F1445" s="4">
        <v>1</v>
      </c>
      <c r="G1445" s="2">
        <v>1202.06</v>
      </c>
      <c r="H1445" s="2">
        <v>1202.06</v>
      </c>
      <c r="I1445" s="2">
        <v>1202.06</v>
      </c>
      <c r="J1445" s="2" t="str">
        <f t="shared" si="44"/>
        <v>35-44</v>
      </c>
      <c r="K1445" s="17" t="str">
        <f t="shared" si="45"/>
        <v>12-15</v>
      </c>
    </row>
    <row r="1446" spans="1:11" x14ac:dyDescent="0.2">
      <c r="A1446" s="4">
        <v>79</v>
      </c>
      <c r="B1446" s="4">
        <v>9</v>
      </c>
      <c r="C1446" t="s">
        <v>10</v>
      </c>
      <c r="D1446" s="4">
        <v>0</v>
      </c>
      <c r="E1446" s="3">
        <v>0.84826234565116498</v>
      </c>
      <c r="F1446" s="4">
        <v>1</v>
      </c>
      <c r="G1446" s="2">
        <v>1631.44</v>
      </c>
      <c r="H1446" s="2">
        <v>1631.44</v>
      </c>
      <c r="I1446" s="2">
        <v>1631.44</v>
      </c>
      <c r="J1446" s="2" t="str">
        <f t="shared" si="44"/>
        <v>75-90</v>
      </c>
      <c r="K1446" s="17" t="str">
        <f t="shared" si="45"/>
        <v>9-11</v>
      </c>
    </row>
    <row r="1447" spans="1:11" x14ac:dyDescent="0.2">
      <c r="A1447" s="4">
        <v>40</v>
      </c>
      <c r="B1447" s="4">
        <v>5</v>
      </c>
      <c r="C1447" t="s">
        <v>8</v>
      </c>
      <c r="D1447" s="4">
        <v>2</v>
      </c>
      <c r="E1447" s="3">
        <v>0.80337867117486905</v>
      </c>
      <c r="F1447" s="4">
        <v>1</v>
      </c>
      <c r="G1447" s="2">
        <v>1266.3399999999999</v>
      </c>
      <c r="H1447" s="2">
        <v>1266.3399999999999</v>
      </c>
      <c r="I1447" s="2">
        <v>1266.3399999999999</v>
      </c>
      <c r="J1447" s="2" t="str">
        <f t="shared" si="44"/>
        <v>35-44</v>
      </c>
      <c r="K1447" s="17" t="str">
        <f t="shared" si="45"/>
        <v>3-5</v>
      </c>
    </row>
    <row r="1448" spans="1:11" x14ac:dyDescent="0.2">
      <c r="A1448" s="4">
        <v>56</v>
      </c>
      <c r="B1448" s="4">
        <v>10</v>
      </c>
      <c r="C1448" t="s">
        <v>10</v>
      </c>
      <c r="D1448" s="4">
        <v>0</v>
      </c>
      <c r="E1448" s="3">
        <v>0.86048030050005797</v>
      </c>
      <c r="F1448" s="4">
        <v>1</v>
      </c>
      <c r="G1448" s="2">
        <v>855.1</v>
      </c>
      <c r="H1448" s="2">
        <v>855.1</v>
      </c>
      <c r="I1448" s="2">
        <v>855.1</v>
      </c>
      <c r="J1448" s="2" t="str">
        <f t="shared" si="44"/>
        <v>55-64</v>
      </c>
      <c r="K1448" s="17" t="str">
        <f t="shared" si="45"/>
        <v>9-11</v>
      </c>
    </row>
    <row r="1449" spans="1:11" x14ac:dyDescent="0.2">
      <c r="A1449" s="4">
        <v>45</v>
      </c>
      <c r="B1449" s="4">
        <v>5</v>
      </c>
      <c r="C1449" t="s">
        <v>16</v>
      </c>
      <c r="D1449" s="4">
        <v>1</v>
      </c>
      <c r="E1449" s="3">
        <v>0.79430417495313999</v>
      </c>
      <c r="F1449" s="4">
        <v>2</v>
      </c>
      <c r="G1449" s="2">
        <v>1009.44</v>
      </c>
      <c r="H1449" s="2">
        <v>504.72</v>
      </c>
      <c r="I1449" s="2">
        <v>1009.44</v>
      </c>
      <c r="J1449" s="2" t="str">
        <f t="shared" si="44"/>
        <v>45-54</v>
      </c>
      <c r="K1449" s="17" t="str">
        <f t="shared" si="45"/>
        <v>3-5</v>
      </c>
    </row>
    <row r="1450" spans="1:11" x14ac:dyDescent="0.2">
      <c r="A1450" s="4">
        <v>79</v>
      </c>
      <c r="B1450" s="4">
        <v>7</v>
      </c>
      <c r="C1450" t="s">
        <v>8</v>
      </c>
      <c r="D1450" s="4">
        <v>2</v>
      </c>
      <c r="E1450" s="3">
        <v>0.68418983300216496</v>
      </c>
      <c r="F1450" s="4">
        <v>2</v>
      </c>
      <c r="G1450" s="2">
        <v>2292.29</v>
      </c>
      <c r="H1450" s="2">
        <v>1146.1500000000001</v>
      </c>
      <c r="I1450" s="2">
        <v>2292.29</v>
      </c>
      <c r="J1450" s="2" t="str">
        <f t="shared" si="44"/>
        <v>75-90</v>
      </c>
      <c r="K1450" s="17" t="str">
        <f t="shared" si="45"/>
        <v>6-8</v>
      </c>
    </row>
    <row r="1451" spans="1:11" x14ac:dyDescent="0.2">
      <c r="A1451" s="4">
        <v>67</v>
      </c>
      <c r="B1451" s="4">
        <v>4</v>
      </c>
      <c r="C1451" t="s">
        <v>8</v>
      </c>
      <c r="D1451" s="4">
        <v>0</v>
      </c>
      <c r="E1451" s="3">
        <v>0.71755005815066397</v>
      </c>
      <c r="F1451" s="4">
        <v>1</v>
      </c>
      <c r="G1451" s="2">
        <v>273.69</v>
      </c>
      <c r="H1451" s="2">
        <v>273.69</v>
      </c>
      <c r="I1451" s="2">
        <v>273.69</v>
      </c>
      <c r="J1451" s="2" t="str">
        <f t="shared" si="44"/>
        <v>65-74</v>
      </c>
      <c r="K1451" s="17" t="str">
        <f t="shared" si="45"/>
        <v>3-5</v>
      </c>
    </row>
    <row r="1452" spans="1:11" x14ac:dyDescent="0.2">
      <c r="A1452" s="4">
        <v>76</v>
      </c>
      <c r="B1452" s="4">
        <v>2</v>
      </c>
      <c r="C1452" t="s">
        <v>10</v>
      </c>
      <c r="D1452" s="4">
        <v>1</v>
      </c>
      <c r="E1452" s="3">
        <v>0.54054103977978196</v>
      </c>
      <c r="F1452" s="4">
        <v>1</v>
      </c>
      <c r="G1452" s="2">
        <v>821.82</v>
      </c>
      <c r="H1452" s="2">
        <v>821.82</v>
      </c>
      <c r="I1452" s="2">
        <v>821.82</v>
      </c>
      <c r="J1452" s="2" t="str">
        <f t="shared" si="44"/>
        <v>75-90</v>
      </c>
      <c r="K1452" s="17" t="str">
        <f t="shared" si="45"/>
        <v>0-2</v>
      </c>
    </row>
    <row r="1453" spans="1:11" x14ac:dyDescent="0.2">
      <c r="A1453" s="4">
        <v>32</v>
      </c>
      <c r="B1453" s="4">
        <v>3</v>
      </c>
      <c r="C1453" t="s">
        <v>8</v>
      </c>
      <c r="D1453" s="4">
        <v>0</v>
      </c>
      <c r="E1453" s="3">
        <v>0.99448324774857599</v>
      </c>
      <c r="F1453" s="4">
        <v>1</v>
      </c>
      <c r="G1453" s="2">
        <v>192.45</v>
      </c>
      <c r="H1453" s="2">
        <v>192.45</v>
      </c>
      <c r="I1453" s="2">
        <v>192.45</v>
      </c>
      <c r="J1453" s="2" t="str">
        <f t="shared" si="44"/>
        <v>25-34</v>
      </c>
      <c r="K1453" s="17" t="str">
        <f t="shared" si="45"/>
        <v>3-5</v>
      </c>
    </row>
    <row r="1454" spans="1:11" x14ac:dyDescent="0.2">
      <c r="A1454" s="4">
        <v>77</v>
      </c>
      <c r="B1454" s="4">
        <v>13</v>
      </c>
      <c r="C1454" t="s">
        <v>16</v>
      </c>
      <c r="D1454" s="4">
        <v>1</v>
      </c>
      <c r="E1454" s="3">
        <v>0.67676542582921695</v>
      </c>
      <c r="F1454" s="4">
        <v>3</v>
      </c>
      <c r="G1454" s="2">
        <v>1870.79</v>
      </c>
      <c r="H1454" s="2">
        <v>623.6</v>
      </c>
      <c r="I1454" s="2">
        <v>1870.79</v>
      </c>
      <c r="J1454" s="2" t="str">
        <f t="shared" si="44"/>
        <v>75-90</v>
      </c>
      <c r="K1454" s="17" t="str">
        <f t="shared" si="45"/>
        <v>12-15</v>
      </c>
    </row>
    <row r="1455" spans="1:11" x14ac:dyDescent="0.2">
      <c r="A1455" s="4">
        <v>78</v>
      </c>
      <c r="B1455" s="4">
        <v>6</v>
      </c>
      <c r="C1455" t="s">
        <v>8</v>
      </c>
      <c r="D1455" s="4">
        <v>0</v>
      </c>
      <c r="E1455" s="3">
        <v>0.96650560072157499</v>
      </c>
      <c r="F1455" s="4">
        <v>2</v>
      </c>
      <c r="G1455" s="2">
        <v>756.06</v>
      </c>
      <c r="H1455" s="2">
        <v>378.03</v>
      </c>
      <c r="I1455" s="2">
        <v>756.06</v>
      </c>
      <c r="J1455" s="2" t="str">
        <f t="shared" si="44"/>
        <v>75-90</v>
      </c>
      <c r="K1455" s="17" t="str">
        <f t="shared" si="45"/>
        <v>6-8</v>
      </c>
    </row>
    <row r="1456" spans="1:11" x14ac:dyDescent="0.2">
      <c r="A1456" s="4">
        <v>57</v>
      </c>
      <c r="B1456" s="4">
        <v>7</v>
      </c>
      <c r="C1456" t="s">
        <v>8</v>
      </c>
      <c r="D1456" s="4">
        <v>0</v>
      </c>
      <c r="E1456" s="3">
        <v>0.74065135954879202</v>
      </c>
      <c r="F1456" s="4">
        <v>1</v>
      </c>
      <c r="G1456" s="2">
        <v>834.17</v>
      </c>
      <c r="H1456" s="2">
        <v>834.17</v>
      </c>
      <c r="I1456" s="2">
        <v>834.17</v>
      </c>
      <c r="J1456" s="2" t="str">
        <f t="shared" si="44"/>
        <v>55-64</v>
      </c>
      <c r="K1456" s="17" t="str">
        <f t="shared" si="45"/>
        <v>6-8</v>
      </c>
    </row>
    <row r="1457" spans="1:11" x14ac:dyDescent="0.2">
      <c r="A1457" s="4">
        <v>65</v>
      </c>
      <c r="B1457" s="4">
        <v>9</v>
      </c>
      <c r="C1457" t="s">
        <v>16</v>
      </c>
      <c r="D1457" s="4">
        <v>0</v>
      </c>
      <c r="E1457" s="3">
        <v>0.88177588069811497</v>
      </c>
      <c r="F1457" s="4">
        <v>1</v>
      </c>
      <c r="G1457" s="2">
        <v>1046.44</v>
      </c>
      <c r="H1457" s="2">
        <v>1046.44</v>
      </c>
      <c r="I1457" s="2">
        <v>1046.44</v>
      </c>
      <c r="J1457" s="2" t="str">
        <f t="shared" si="44"/>
        <v>65-74</v>
      </c>
      <c r="K1457" s="17" t="str">
        <f t="shared" si="45"/>
        <v>9-11</v>
      </c>
    </row>
    <row r="1458" spans="1:11" x14ac:dyDescent="0.2">
      <c r="A1458" s="4">
        <v>60</v>
      </c>
      <c r="B1458" s="4">
        <v>14</v>
      </c>
      <c r="C1458" t="s">
        <v>8</v>
      </c>
      <c r="D1458" s="4">
        <v>0</v>
      </c>
      <c r="E1458" s="3">
        <v>0.61127283587120496</v>
      </c>
      <c r="F1458" s="4">
        <v>1</v>
      </c>
      <c r="G1458" s="2">
        <v>1673.3</v>
      </c>
      <c r="H1458" s="2">
        <v>1673.3</v>
      </c>
      <c r="I1458" s="2">
        <v>1673.3</v>
      </c>
      <c r="J1458" s="2" t="str">
        <f t="shared" si="44"/>
        <v>55-64</v>
      </c>
      <c r="K1458" s="17" t="str">
        <f t="shared" si="45"/>
        <v>12-15</v>
      </c>
    </row>
    <row r="1459" spans="1:11" x14ac:dyDescent="0.2">
      <c r="A1459" s="4">
        <v>48</v>
      </c>
      <c r="B1459" s="4">
        <v>3</v>
      </c>
      <c r="C1459" t="s">
        <v>8</v>
      </c>
      <c r="D1459" s="4">
        <v>0</v>
      </c>
      <c r="E1459" s="3">
        <v>0.92892500420566604</v>
      </c>
      <c r="F1459" s="4">
        <v>1</v>
      </c>
      <c r="G1459" s="2">
        <v>405.9</v>
      </c>
      <c r="H1459" s="2">
        <v>405.9</v>
      </c>
      <c r="I1459" s="2">
        <v>405.9</v>
      </c>
      <c r="J1459" s="2" t="str">
        <f t="shared" si="44"/>
        <v>45-54</v>
      </c>
      <c r="K1459" s="17" t="str">
        <f t="shared" si="45"/>
        <v>3-5</v>
      </c>
    </row>
    <row r="1460" spans="1:11" x14ac:dyDescent="0.2">
      <c r="A1460" s="4">
        <v>64</v>
      </c>
      <c r="B1460" s="4">
        <v>2</v>
      </c>
      <c r="C1460" t="s">
        <v>8</v>
      </c>
      <c r="D1460" s="4">
        <v>0</v>
      </c>
      <c r="E1460" s="3">
        <v>0.84370218508411199</v>
      </c>
      <c r="F1460" s="4">
        <v>1</v>
      </c>
      <c r="G1460" s="2">
        <v>823.19</v>
      </c>
      <c r="H1460" s="2">
        <v>823.19</v>
      </c>
      <c r="I1460" s="2">
        <v>823.19</v>
      </c>
      <c r="J1460" s="2" t="str">
        <f t="shared" si="44"/>
        <v>55-64</v>
      </c>
      <c r="K1460" s="17" t="str">
        <f t="shared" si="45"/>
        <v>0-2</v>
      </c>
    </row>
    <row r="1461" spans="1:11" x14ac:dyDescent="0.2">
      <c r="A1461" s="4">
        <v>59</v>
      </c>
      <c r="B1461" s="4">
        <v>11</v>
      </c>
      <c r="C1461" t="s">
        <v>8</v>
      </c>
      <c r="D1461" s="4">
        <v>0</v>
      </c>
      <c r="E1461" s="3">
        <v>0.96711019286885902</v>
      </c>
      <c r="F1461" s="4">
        <v>1</v>
      </c>
      <c r="G1461" s="2">
        <v>2150.6799999999998</v>
      </c>
      <c r="H1461" s="2">
        <v>2150.6799999999998</v>
      </c>
      <c r="I1461" s="2">
        <v>2150.6799999999998</v>
      </c>
      <c r="J1461" s="2" t="str">
        <f t="shared" si="44"/>
        <v>55-64</v>
      </c>
      <c r="K1461" s="17" t="str">
        <f t="shared" si="45"/>
        <v>9-11</v>
      </c>
    </row>
    <row r="1462" spans="1:11" x14ac:dyDescent="0.2">
      <c r="A1462" s="4">
        <v>59</v>
      </c>
      <c r="B1462" s="4">
        <v>7</v>
      </c>
      <c r="C1462" t="s">
        <v>8</v>
      </c>
      <c r="D1462" s="4">
        <v>0</v>
      </c>
      <c r="E1462" s="3">
        <v>0.93854768120218102</v>
      </c>
      <c r="F1462" s="4">
        <v>2</v>
      </c>
      <c r="G1462" s="2">
        <v>1884.02</v>
      </c>
      <c r="H1462" s="2">
        <v>942.01</v>
      </c>
      <c r="I1462" s="2">
        <v>1884.02</v>
      </c>
      <c r="J1462" s="2" t="str">
        <f t="shared" si="44"/>
        <v>55-64</v>
      </c>
      <c r="K1462" s="17" t="str">
        <f t="shared" si="45"/>
        <v>6-8</v>
      </c>
    </row>
    <row r="1463" spans="1:11" x14ac:dyDescent="0.2">
      <c r="A1463" s="4">
        <v>89</v>
      </c>
      <c r="B1463" s="4">
        <v>14</v>
      </c>
      <c r="C1463" t="s">
        <v>10</v>
      </c>
      <c r="D1463" s="4">
        <v>1</v>
      </c>
      <c r="E1463" s="3">
        <v>0.82926467293873396</v>
      </c>
      <c r="F1463" s="4">
        <v>2</v>
      </c>
      <c r="G1463" s="2">
        <v>2386.9699999999998</v>
      </c>
      <c r="H1463" s="2">
        <v>1193.49</v>
      </c>
      <c r="I1463" s="2">
        <v>2386.9699999999998</v>
      </c>
      <c r="J1463" s="2" t="str">
        <f t="shared" si="44"/>
        <v>75-90</v>
      </c>
      <c r="K1463" s="17" t="str">
        <f t="shared" si="45"/>
        <v>12-15</v>
      </c>
    </row>
    <row r="1464" spans="1:11" x14ac:dyDescent="0.2">
      <c r="A1464" s="4">
        <v>90</v>
      </c>
      <c r="B1464" s="4">
        <v>7</v>
      </c>
      <c r="C1464" t="s">
        <v>16</v>
      </c>
      <c r="D1464" s="4">
        <v>1</v>
      </c>
      <c r="E1464" s="3">
        <v>0.708173536229879</v>
      </c>
      <c r="F1464" s="4">
        <v>1</v>
      </c>
      <c r="G1464" s="2">
        <v>3169.61</v>
      </c>
      <c r="H1464" s="2">
        <v>3169.61</v>
      </c>
      <c r="I1464" s="2">
        <v>3169.61</v>
      </c>
      <c r="J1464" s="2" t="str">
        <f t="shared" si="44"/>
        <v>75-90</v>
      </c>
      <c r="K1464" s="17" t="str">
        <f t="shared" si="45"/>
        <v>6-8</v>
      </c>
    </row>
    <row r="1465" spans="1:11" x14ac:dyDescent="0.2">
      <c r="A1465" s="4">
        <v>68</v>
      </c>
      <c r="B1465" s="4">
        <v>9</v>
      </c>
      <c r="C1465" t="s">
        <v>8</v>
      </c>
      <c r="D1465" s="4">
        <v>0</v>
      </c>
      <c r="E1465" s="3">
        <v>0.92641281813848797</v>
      </c>
      <c r="F1465" s="4">
        <v>1</v>
      </c>
      <c r="G1465" s="2">
        <v>469.91</v>
      </c>
      <c r="H1465" s="2">
        <v>469.91</v>
      </c>
      <c r="I1465" s="2">
        <v>469.91</v>
      </c>
      <c r="J1465" s="2" t="str">
        <f t="shared" si="44"/>
        <v>65-74</v>
      </c>
      <c r="K1465" s="17" t="str">
        <f t="shared" si="45"/>
        <v>9-11</v>
      </c>
    </row>
    <row r="1466" spans="1:11" x14ac:dyDescent="0.2">
      <c r="A1466" s="4">
        <v>36</v>
      </c>
      <c r="B1466" s="4">
        <v>2</v>
      </c>
      <c r="C1466" t="s">
        <v>8</v>
      </c>
      <c r="D1466" s="4">
        <v>1</v>
      </c>
      <c r="E1466" s="3">
        <v>0.93173803563695401</v>
      </c>
      <c r="F1466" s="4">
        <v>1</v>
      </c>
      <c r="G1466" s="2">
        <v>393.52</v>
      </c>
      <c r="H1466" s="2">
        <v>393.52</v>
      </c>
      <c r="I1466" s="2">
        <v>393.52</v>
      </c>
      <c r="J1466" s="2" t="str">
        <f t="shared" si="44"/>
        <v>35-44</v>
      </c>
      <c r="K1466" s="17" t="str">
        <f t="shared" si="45"/>
        <v>0-2</v>
      </c>
    </row>
    <row r="1467" spans="1:11" x14ac:dyDescent="0.2">
      <c r="A1467" s="4">
        <v>33</v>
      </c>
      <c r="B1467" s="4">
        <v>14</v>
      </c>
      <c r="C1467" t="s">
        <v>10</v>
      </c>
      <c r="D1467" s="4">
        <v>0</v>
      </c>
      <c r="E1467" s="3">
        <v>0.75733129249419995</v>
      </c>
      <c r="F1467" s="4">
        <v>2</v>
      </c>
      <c r="G1467" s="2">
        <v>627.51</v>
      </c>
      <c r="H1467" s="2">
        <v>313.76</v>
      </c>
      <c r="I1467" s="2">
        <v>627.51</v>
      </c>
      <c r="J1467" s="2" t="str">
        <f t="shared" si="44"/>
        <v>25-34</v>
      </c>
      <c r="K1467" s="17" t="str">
        <f t="shared" si="45"/>
        <v>12-15</v>
      </c>
    </row>
    <row r="1468" spans="1:11" x14ac:dyDescent="0.2">
      <c r="A1468" s="4">
        <v>57</v>
      </c>
      <c r="B1468" s="4">
        <v>10</v>
      </c>
      <c r="C1468" t="s">
        <v>8</v>
      </c>
      <c r="D1468" s="4">
        <v>0</v>
      </c>
      <c r="E1468" s="3">
        <v>0.56417708401568201</v>
      </c>
      <c r="F1468" s="4">
        <v>1</v>
      </c>
      <c r="G1468" s="2">
        <v>820.41</v>
      </c>
      <c r="H1468" s="2">
        <v>820.41</v>
      </c>
      <c r="I1468" s="2">
        <v>820.41</v>
      </c>
      <c r="J1468" s="2" t="str">
        <f t="shared" si="44"/>
        <v>55-64</v>
      </c>
      <c r="K1468" s="17" t="str">
        <f t="shared" si="45"/>
        <v>9-11</v>
      </c>
    </row>
    <row r="1469" spans="1:11" x14ac:dyDescent="0.2">
      <c r="A1469" s="4">
        <v>65</v>
      </c>
      <c r="B1469" s="4">
        <v>9</v>
      </c>
      <c r="C1469" t="s">
        <v>10</v>
      </c>
      <c r="D1469" s="4">
        <v>0</v>
      </c>
      <c r="E1469" s="3">
        <v>0.66501127625815604</v>
      </c>
      <c r="F1469" s="4">
        <v>1</v>
      </c>
      <c r="G1469" s="2">
        <v>1170.8</v>
      </c>
      <c r="H1469" s="2">
        <v>1170.8</v>
      </c>
      <c r="I1469" s="2">
        <v>1170.8</v>
      </c>
      <c r="J1469" s="2" t="str">
        <f t="shared" si="44"/>
        <v>65-74</v>
      </c>
      <c r="K1469" s="17" t="str">
        <f t="shared" si="45"/>
        <v>9-11</v>
      </c>
    </row>
    <row r="1470" spans="1:11" x14ac:dyDescent="0.2">
      <c r="A1470" s="4">
        <v>73</v>
      </c>
      <c r="B1470" s="4">
        <v>10</v>
      </c>
      <c r="C1470" t="s">
        <v>16</v>
      </c>
      <c r="D1470" s="4">
        <v>0</v>
      </c>
      <c r="E1470" s="3">
        <v>0.70909124717581995</v>
      </c>
      <c r="F1470" s="4">
        <v>1</v>
      </c>
      <c r="G1470" s="2">
        <v>1723.57</v>
      </c>
      <c r="H1470" s="2">
        <v>1723.57</v>
      </c>
      <c r="I1470" s="2">
        <v>1723.57</v>
      </c>
      <c r="J1470" s="2" t="str">
        <f t="shared" si="44"/>
        <v>65-74</v>
      </c>
      <c r="K1470" s="17" t="str">
        <f t="shared" si="45"/>
        <v>9-11</v>
      </c>
    </row>
    <row r="1471" spans="1:11" x14ac:dyDescent="0.2">
      <c r="A1471" s="4">
        <v>73</v>
      </c>
      <c r="B1471" s="4">
        <v>10</v>
      </c>
      <c r="C1471" t="s">
        <v>16</v>
      </c>
      <c r="D1471" s="4">
        <v>0</v>
      </c>
      <c r="E1471" s="3">
        <v>0.91384383745025799</v>
      </c>
      <c r="F1471" s="4">
        <v>1</v>
      </c>
      <c r="G1471" s="2">
        <v>1225.6199999999999</v>
      </c>
      <c r="H1471" s="2">
        <v>1225.6199999999999</v>
      </c>
      <c r="I1471" s="2">
        <v>1225.6199999999999</v>
      </c>
      <c r="J1471" s="2" t="str">
        <f t="shared" si="44"/>
        <v>65-74</v>
      </c>
      <c r="K1471" s="17" t="str">
        <f t="shared" si="45"/>
        <v>9-11</v>
      </c>
    </row>
    <row r="1472" spans="1:11" x14ac:dyDescent="0.2">
      <c r="A1472" s="4">
        <v>69</v>
      </c>
      <c r="B1472" s="4">
        <v>13</v>
      </c>
      <c r="C1472" t="s">
        <v>8</v>
      </c>
      <c r="D1472" s="4">
        <v>0</v>
      </c>
      <c r="E1472" s="3">
        <v>0.97244976798538096</v>
      </c>
      <c r="F1472" s="4">
        <v>4</v>
      </c>
      <c r="G1472" s="2">
        <v>783.4</v>
      </c>
      <c r="H1472" s="2">
        <v>195.85</v>
      </c>
      <c r="I1472" s="2">
        <v>783.4</v>
      </c>
      <c r="J1472" s="2" t="str">
        <f t="shared" si="44"/>
        <v>65-74</v>
      </c>
      <c r="K1472" s="17" t="str">
        <f t="shared" si="45"/>
        <v>12-15</v>
      </c>
    </row>
    <row r="1473" spans="1:11" x14ac:dyDescent="0.2">
      <c r="A1473" s="4">
        <v>50</v>
      </c>
      <c r="B1473" s="4">
        <v>6</v>
      </c>
      <c r="C1473" t="s">
        <v>16</v>
      </c>
      <c r="D1473" s="4">
        <v>2</v>
      </c>
      <c r="E1473" s="3">
        <v>0.86103360145352803</v>
      </c>
      <c r="F1473" s="4">
        <v>1</v>
      </c>
      <c r="G1473" s="2">
        <v>1494.6</v>
      </c>
      <c r="H1473" s="2">
        <v>1494.6</v>
      </c>
      <c r="I1473" s="2">
        <v>1494.6</v>
      </c>
      <c r="J1473" s="2" t="str">
        <f t="shared" si="44"/>
        <v>45-54</v>
      </c>
      <c r="K1473" s="17" t="str">
        <f t="shared" si="45"/>
        <v>6-8</v>
      </c>
    </row>
    <row r="1474" spans="1:11" x14ac:dyDescent="0.2">
      <c r="A1474" s="4">
        <v>70</v>
      </c>
      <c r="B1474" s="4">
        <v>14</v>
      </c>
      <c r="C1474" t="s">
        <v>8</v>
      </c>
      <c r="D1474" s="4">
        <v>0</v>
      </c>
      <c r="E1474" s="3">
        <v>0.62392392079345904</v>
      </c>
      <c r="F1474" s="4">
        <v>1</v>
      </c>
      <c r="G1474" s="2">
        <v>1422.71</v>
      </c>
      <c r="H1474" s="2">
        <v>1422.71</v>
      </c>
      <c r="I1474" s="2">
        <v>1422.71</v>
      </c>
      <c r="J1474" s="2" t="str">
        <f t="shared" ref="J1474:J1537" si="46" xml:space="preserve"> IF(A1474&lt;25,"18-24",
 IF(A1474&lt;35,"25-34",
 IF(A1474&lt;45,"35-44",
 IF(A1474&lt;55,"45-54", IF(A1474&lt;65, "55-64", IF(A1474&lt;75, "65-74", "75-90"))))))</f>
        <v>65-74</v>
      </c>
      <c r="K1474" s="17" t="str">
        <f t="shared" ref="K1474:K1537" si="47" xml:space="preserve"> IF(B1474 &lt; 3, "0-2", IF(B1474 &lt; 6, "3-5", IF(B1474 &lt; 9, "6-8", IF(B1474 &lt; 12, "9-11", "12-15"))))</f>
        <v>12-15</v>
      </c>
    </row>
    <row r="1475" spans="1:11" x14ac:dyDescent="0.2">
      <c r="A1475" s="4">
        <v>43</v>
      </c>
      <c r="B1475" s="4">
        <v>8</v>
      </c>
      <c r="C1475" t="s">
        <v>16</v>
      </c>
      <c r="D1475" s="4">
        <v>1</v>
      </c>
      <c r="E1475" s="3">
        <v>0.98930901975836605</v>
      </c>
      <c r="F1475" s="4">
        <v>2</v>
      </c>
      <c r="G1475" s="2">
        <v>1411.48</v>
      </c>
      <c r="H1475" s="2">
        <v>705.74</v>
      </c>
      <c r="I1475" s="2">
        <v>1411.48</v>
      </c>
      <c r="J1475" s="2" t="str">
        <f t="shared" si="46"/>
        <v>35-44</v>
      </c>
      <c r="K1475" s="17" t="str">
        <f t="shared" si="47"/>
        <v>6-8</v>
      </c>
    </row>
    <row r="1476" spans="1:11" x14ac:dyDescent="0.2">
      <c r="A1476" s="4">
        <v>85</v>
      </c>
      <c r="B1476" s="4">
        <v>15</v>
      </c>
      <c r="C1476" t="s">
        <v>8</v>
      </c>
      <c r="D1476" s="4">
        <v>0</v>
      </c>
      <c r="E1476" s="3">
        <v>0.92723346792627104</v>
      </c>
      <c r="F1476" s="4">
        <v>3</v>
      </c>
      <c r="G1476" s="2">
        <v>1673.01</v>
      </c>
      <c r="H1476" s="2">
        <v>557.66999999999996</v>
      </c>
      <c r="I1476" s="2">
        <v>1673.01</v>
      </c>
      <c r="J1476" s="2" t="str">
        <f t="shared" si="46"/>
        <v>75-90</v>
      </c>
      <c r="K1476" s="17" t="str">
        <f t="shared" si="47"/>
        <v>12-15</v>
      </c>
    </row>
    <row r="1477" spans="1:11" x14ac:dyDescent="0.2">
      <c r="A1477" s="4">
        <v>62</v>
      </c>
      <c r="B1477" s="4">
        <v>10</v>
      </c>
      <c r="C1477" t="s">
        <v>8</v>
      </c>
      <c r="D1477" s="4">
        <v>0</v>
      </c>
      <c r="E1477" s="3">
        <v>0.85410587978549302</v>
      </c>
      <c r="F1477" s="4">
        <v>1</v>
      </c>
      <c r="G1477" s="2">
        <v>483.05</v>
      </c>
      <c r="H1477" s="2">
        <v>483.05</v>
      </c>
      <c r="I1477" s="2">
        <v>483.05</v>
      </c>
      <c r="J1477" s="2" t="str">
        <f t="shared" si="46"/>
        <v>55-64</v>
      </c>
      <c r="K1477" s="17" t="str">
        <f t="shared" si="47"/>
        <v>9-11</v>
      </c>
    </row>
    <row r="1478" spans="1:11" x14ac:dyDescent="0.2">
      <c r="A1478" s="4">
        <v>47</v>
      </c>
      <c r="B1478" s="4">
        <v>13</v>
      </c>
      <c r="C1478" t="s">
        <v>8</v>
      </c>
      <c r="D1478" s="4">
        <v>1</v>
      </c>
      <c r="E1478" s="3">
        <v>0.81076916295569401</v>
      </c>
      <c r="F1478" s="4">
        <v>1</v>
      </c>
      <c r="G1478" s="2">
        <v>1396.4</v>
      </c>
      <c r="H1478" s="2">
        <v>1396.4</v>
      </c>
      <c r="I1478" s="2">
        <v>1396.4</v>
      </c>
      <c r="J1478" s="2" t="str">
        <f t="shared" si="46"/>
        <v>45-54</v>
      </c>
      <c r="K1478" s="17" t="str">
        <f t="shared" si="47"/>
        <v>12-15</v>
      </c>
    </row>
    <row r="1479" spans="1:11" x14ac:dyDescent="0.2">
      <c r="A1479" s="4">
        <v>30</v>
      </c>
      <c r="B1479" s="4">
        <v>14</v>
      </c>
      <c r="C1479" t="s">
        <v>10</v>
      </c>
      <c r="D1479" s="4">
        <v>0</v>
      </c>
      <c r="E1479" s="3">
        <v>0.53174051095265895</v>
      </c>
      <c r="F1479" s="4">
        <v>1</v>
      </c>
      <c r="G1479" s="2">
        <v>862.24</v>
      </c>
      <c r="H1479" s="2">
        <v>862.24</v>
      </c>
      <c r="I1479" s="2">
        <v>862.24</v>
      </c>
      <c r="J1479" s="2" t="str">
        <f t="shared" si="46"/>
        <v>25-34</v>
      </c>
      <c r="K1479" s="17" t="str">
        <f t="shared" si="47"/>
        <v>12-15</v>
      </c>
    </row>
    <row r="1480" spans="1:11" x14ac:dyDescent="0.2">
      <c r="A1480" s="4">
        <v>84</v>
      </c>
      <c r="B1480" s="4">
        <v>11</v>
      </c>
      <c r="C1480" t="s">
        <v>10</v>
      </c>
      <c r="D1480" s="4">
        <v>0</v>
      </c>
      <c r="E1480" s="3">
        <v>0.63305345433764204</v>
      </c>
      <c r="F1480" s="4">
        <v>1</v>
      </c>
      <c r="G1480" s="2">
        <v>1172.6400000000001</v>
      </c>
      <c r="H1480" s="2">
        <v>1172.6400000000001</v>
      </c>
      <c r="I1480" s="2">
        <v>1172.6400000000001</v>
      </c>
      <c r="J1480" s="2" t="str">
        <f t="shared" si="46"/>
        <v>75-90</v>
      </c>
      <c r="K1480" s="17" t="str">
        <f t="shared" si="47"/>
        <v>9-11</v>
      </c>
    </row>
    <row r="1481" spans="1:11" x14ac:dyDescent="0.2">
      <c r="A1481" s="4">
        <v>81</v>
      </c>
      <c r="B1481" s="4">
        <v>8</v>
      </c>
      <c r="C1481" t="s">
        <v>8</v>
      </c>
      <c r="D1481" s="4">
        <v>1</v>
      </c>
      <c r="E1481" s="3">
        <v>0.66360210988204904</v>
      </c>
      <c r="F1481" s="4">
        <v>1</v>
      </c>
      <c r="G1481" s="2">
        <v>2832.17</v>
      </c>
      <c r="H1481" s="2">
        <v>2832.17</v>
      </c>
      <c r="I1481" s="2">
        <v>2832.17</v>
      </c>
      <c r="J1481" s="2" t="str">
        <f t="shared" si="46"/>
        <v>75-90</v>
      </c>
      <c r="K1481" s="17" t="str">
        <f t="shared" si="47"/>
        <v>6-8</v>
      </c>
    </row>
    <row r="1482" spans="1:11" x14ac:dyDescent="0.2">
      <c r="A1482" s="4">
        <v>62</v>
      </c>
      <c r="B1482" s="4">
        <v>12</v>
      </c>
      <c r="C1482" t="s">
        <v>8</v>
      </c>
      <c r="D1482" s="4">
        <v>0</v>
      </c>
      <c r="E1482" s="3">
        <v>0.71194561931770295</v>
      </c>
      <c r="F1482" s="4">
        <v>2</v>
      </c>
      <c r="G1482" s="2">
        <v>1240.31</v>
      </c>
      <c r="H1482" s="2">
        <v>620.16</v>
      </c>
      <c r="I1482" s="2">
        <v>1240.31</v>
      </c>
      <c r="J1482" s="2" t="str">
        <f t="shared" si="46"/>
        <v>55-64</v>
      </c>
      <c r="K1482" s="17" t="str">
        <f t="shared" si="47"/>
        <v>12-15</v>
      </c>
    </row>
    <row r="1483" spans="1:11" x14ac:dyDescent="0.2">
      <c r="A1483" s="4">
        <v>68</v>
      </c>
      <c r="B1483" s="4">
        <v>14</v>
      </c>
      <c r="C1483" t="s">
        <v>8</v>
      </c>
      <c r="D1483" s="4">
        <v>0</v>
      </c>
      <c r="E1483" s="3">
        <v>0.67687444447074097</v>
      </c>
      <c r="F1483" s="4">
        <v>1</v>
      </c>
      <c r="G1483" s="2">
        <v>2647.62</v>
      </c>
      <c r="H1483" s="2">
        <v>2647.62</v>
      </c>
      <c r="I1483" s="2">
        <v>2647.62</v>
      </c>
      <c r="J1483" s="2" t="str">
        <f t="shared" si="46"/>
        <v>65-74</v>
      </c>
      <c r="K1483" s="17" t="str">
        <f t="shared" si="47"/>
        <v>12-15</v>
      </c>
    </row>
    <row r="1484" spans="1:11" x14ac:dyDescent="0.2">
      <c r="A1484" s="4">
        <v>54</v>
      </c>
      <c r="B1484" s="4">
        <v>15</v>
      </c>
      <c r="C1484" t="s">
        <v>8</v>
      </c>
      <c r="D1484" s="4">
        <v>1</v>
      </c>
      <c r="E1484" s="3">
        <v>0.98951301479246501</v>
      </c>
      <c r="F1484" s="4">
        <v>1</v>
      </c>
      <c r="G1484" s="2">
        <v>2310.1799999999998</v>
      </c>
      <c r="H1484" s="2">
        <v>2310.1799999999998</v>
      </c>
      <c r="I1484" s="2">
        <v>2310.1799999999998</v>
      </c>
      <c r="J1484" s="2" t="str">
        <f t="shared" si="46"/>
        <v>45-54</v>
      </c>
      <c r="K1484" s="17" t="str">
        <f t="shared" si="47"/>
        <v>12-15</v>
      </c>
    </row>
    <row r="1485" spans="1:11" x14ac:dyDescent="0.2">
      <c r="A1485" s="4">
        <v>48</v>
      </c>
      <c r="B1485" s="4">
        <v>9</v>
      </c>
      <c r="C1485" t="s">
        <v>8</v>
      </c>
      <c r="D1485" s="4">
        <v>2</v>
      </c>
      <c r="E1485" s="3">
        <v>0.64195877150632397</v>
      </c>
      <c r="F1485" s="4">
        <v>1</v>
      </c>
      <c r="G1485" s="2">
        <v>645.83000000000004</v>
      </c>
      <c r="H1485" s="2">
        <v>645.83000000000004</v>
      </c>
      <c r="I1485" s="2">
        <v>645.83000000000004</v>
      </c>
      <c r="J1485" s="2" t="str">
        <f t="shared" si="46"/>
        <v>45-54</v>
      </c>
      <c r="K1485" s="17" t="str">
        <f t="shared" si="47"/>
        <v>9-11</v>
      </c>
    </row>
    <row r="1486" spans="1:11" x14ac:dyDescent="0.2">
      <c r="A1486" s="4">
        <v>60</v>
      </c>
      <c r="B1486" s="4">
        <v>7</v>
      </c>
      <c r="C1486" t="s">
        <v>10</v>
      </c>
      <c r="D1486" s="4">
        <v>0</v>
      </c>
      <c r="E1486" s="3">
        <v>0.92309838696382895</v>
      </c>
      <c r="F1486" s="4">
        <v>1</v>
      </c>
      <c r="G1486" s="2">
        <v>802.81</v>
      </c>
      <c r="H1486" s="2">
        <v>802.81</v>
      </c>
      <c r="I1486" s="2">
        <v>802.81</v>
      </c>
      <c r="J1486" s="2" t="str">
        <f t="shared" si="46"/>
        <v>55-64</v>
      </c>
      <c r="K1486" s="17" t="str">
        <f t="shared" si="47"/>
        <v>6-8</v>
      </c>
    </row>
    <row r="1487" spans="1:11" x14ac:dyDescent="0.2">
      <c r="A1487" s="4">
        <v>29</v>
      </c>
      <c r="B1487" s="4">
        <v>15</v>
      </c>
      <c r="C1487" t="s">
        <v>8</v>
      </c>
      <c r="D1487" s="4">
        <v>0</v>
      </c>
      <c r="E1487" s="3">
        <v>0.56936759781092405</v>
      </c>
      <c r="F1487" s="4">
        <v>1</v>
      </c>
      <c r="G1487" s="2">
        <v>1112.3599999999999</v>
      </c>
      <c r="H1487" s="2">
        <v>1112.3599999999999</v>
      </c>
      <c r="I1487" s="2">
        <v>1112.3599999999999</v>
      </c>
      <c r="J1487" s="2" t="str">
        <f t="shared" si="46"/>
        <v>25-34</v>
      </c>
      <c r="K1487" s="17" t="str">
        <f t="shared" si="47"/>
        <v>12-15</v>
      </c>
    </row>
    <row r="1488" spans="1:11" x14ac:dyDescent="0.2">
      <c r="A1488" s="4">
        <v>38</v>
      </c>
      <c r="B1488" s="4">
        <v>9</v>
      </c>
      <c r="C1488" t="s">
        <v>10</v>
      </c>
      <c r="D1488" s="4">
        <v>2</v>
      </c>
      <c r="E1488" s="3">
        <v>0.94741150643676497</v>
      </c>
      <c r="F1488" s="4">
        <v>1</v>
      </c>
      <c r="G1488" s="2">
        <v>1502.54</v>
      </c>
      <c r="H1488" s="2">
        <v>1502.54</v>
      </c>
      <c r="I1488" s="2">
        <v>1502.54</v>
      </c>
      <c r="J1488" s="2" t="str">
        <f t="shared" si="46"/>
        <v>35-44</v>
      </c>
      <c r="K1488" s="17" t="str">
        <f t="shared" si="47"/>
        <v>9-11</v>
      </c>
    </row>
    <row r="1489" spans="1:11" x14ac:dyDescent="0.2">
      <c r="A1489" s="4">
        <v>55</v>
      </c>
      <c r="B1489" s="4">
        <v>11</v>
      </c>
      <c r="C1489" t="s">
        <v>8</v>
      </c>
      <c r="D1489" s="4">
        <v>0</v>
      </c>
      <c r="E1489" s="3">
        <v>0.95665970805566802</v>
      </c>
      <c r="F1489" s="4">
        <v>1</v>
      </c>
      <c r="G1489" s="2">
        <v>1121.25</v>
      </c>
      <c r="H1489" s="2">
        <v>1121.25</v>
      </c>
      <c r="I1489" s="2">
        <v>1121.25</v>
      </c>
      <c r="J1489" s="2" t="str">
        <f t="shared" si="46"/>
        <v>55-64</v>
      </c>
      <c r="K1489" s="17" t="str">
        <f t="shared" si="47"/>
        <v>9-11</v>
      </c>
    </row>
    <row r="1490" spans="1:11" x14ac:dyDescent="0.2">
      <c r="A1490" s="4">
        <v>84</v>
      </c>
      <c r="B1490" s="4">
        <v>13</v>
      </c>
      <c r="C1490" t="s">
        <v>10</v>
      </c>
      <c r="D1490" s="4">
        <v>0</v>
      </c>
      <c r="E1490" s="3">
        <v>0.80767150351312</v>
      </c>
      <c r="F1490" s="4">
        <v>3</v>
      </c>
      <c r="G1490" s="2">
        <v>2522.23</v>
      </c>
      <c r="H1490" s="2">
        <v>840.74</v>
      </c>
      <c r="I1490" s="2">
        <v>2522.23</v>
      </c>
      <c r="J1490" s="2" t="str">
        <f t="shared" si="46"/>
        <v>75-90</v>
      </c>
      <c r="K1490" s="17" t="str">
        <f t="shared" si="47"/>
        <v>12-15</v>
      </c>
    </row>
    <row r="1491" spans="1:11" x14ac:dyDescent="0.2">
      <c r="A1491" s="4">
        <v>29</v>
      </c>
      <c r="B1491" s="4">
        <v>2</v>
      </c>
      <c r="C1491" t="s">
        <v>8</v>
      </c>
      <c r="D1491" s="4">
        <v>0</v>
      </c>
      <c r="E1491" s="3">
        <v>0.960295171709731</v>
      </c>
      <c r="F1491" s="4">
        <v>1</v>
      </c>
      <c r="G1491" s="2">
        <v>207.73</v>
      </c>
      <c r="H1491" s="2">
        <v>207.73</v>
      </c>
      <c r="I1491" s="2">
        <v>207.73</v>
      </c>
      <c r="J1491" s="2" t="str">
        <f t="shared" si="46"/>
        <v>25-34</v>
      </c>
      <c r="K1491" s="17" t="str">
        <f t="shared" si="47"/>
        <v>0-2</v>
      </c>
    </row>
    <row r="1492" spans="1:11" x14ac:dyDescent="0.2">
      <c r="A1492" s="4">
        <v>66</v>
      </c>
      <c r="B1492" s="4">
        <v>13</v>
      </c>
      <c r="C1492" t="s">
        <v>8</v>
      </c>
      <c r="D1492" s="4">
        <v>0</v>
      </c>
      <c r="E1492" s="3">
        <v>0.64299133408348996</v>
      </c>
      <c r="F1492" s="4">
        <v>1</v>
      </c>
      <c r="G1492" s="2">
        <v>1021.77</v>
      </c>
      <c r="H1492" s="2">
        <v>1021.77</v>
      </c>
      <c r="I1492" s="2">
        <v>1021.77</v>
      </c>
      <c r="J1492" s="2" t="str">
        <f t="shared" si="46"/>
        <v>65-74</v>
      </c>
      <c r="K1492" s="17" t="str">
        <f t="shared" si="47"/>
        <v>12-15</v>
      </c>
    </row>
    <row r="1493" spans="1:11" x14ac:dyDescent="0.2">
      <c r="A1493" s="4">
        <v>66</v>
      </c>
      <c r="B1493" s="4">
        <v>14</v>
      </c>
      <c r="C1493" t="s">
        <v>8</v>
      </c>
      <c r="D1493" s="4">
        <v>0</v>
      </c>
      <c r="E1493" s="3">
        <v>0.81412425218149997</v>
      </c>
      <c r="F1493" s="4">
        <v>1</v>
      </c>
      <c r="G1493" s="2">
        <v>815.45</v>
      </c>
      <c r="H1493" s="2">
        <v>815.45</v>
      </c>
      <c r="I1493" s="2">
        <v>815.45</v>
      </c>
      <c r="J1493" s="2" t="str">
        <f t="shared" si="46"/>
        <v>65-74</v>
      </c>
      <c r="K1493" s="17" t="str">
        <f t="shared" si="47"/>
        <v>12-15</v>
      </c>
    </row>
    <row r="1494" spans="1:11" x14ac:dyDescent="0.2">
      <c r="A1494" s="4">
        <v>22</v>
      </c>
      <c r="B1494" s="4">
        <v>14</v>
      </c>
      <c r="C1494" t="s">
        <v>8</v>
      </c>
      <c r="D1494" s="4">
        <v>2</v>
      </c>
      <c r="E1494" s="3">
        <v>0.76965308748185601</v>
      </c>
      <c r="F1494" s="4">
        <v>1</v>
      </c>
      <c r="G1494" s="2">
        <v>855.06</v>
      </c>
      <c r="H1494" s="2">
        <v>855.06</v>
      </c>
      <c r="I1494" s="2">
        <v>855.06</v>
      </c>
      <c r="J1494" s="2" t="str">
        <f t="shared" si="46"/>
        <v>18-24</v>
      </c>
      <c r="K1494" s="17" t="str">
        <f t="shared" si="47"/>
        <v>12-15</v>
      </c>
    </row>
    <row r="1495" spans="1:11" x14ac:dyDescent="0.2">
      <c r="A1495" s="4">
        <v>47</v>
      </c>
      <c r="B1495" s="4">
        <v>14</v>
      </c>
      <c r="C1495" t="s">
        <v>8</v>
      </c>
      <c r="D1495" s="4">
        <v>0</v>
      </c>
      <c r="E1495" s="3">
        <v>0.75621516513638198</v>
      </c>
      <c r="F1495" s="4">
        <v>2</v>
      </c>
      <c r="G1495" s="2">
        <v>603.16</v>
      </c>
      <c r="H1495" s="2">
        <v>301.58</v>
      </c>
      <c r="I1495" s="2">
        <v>603.16</v>
      </c>
      <c r="J1495" s="2" t="str">
        <f t="shared" si="46"/>
        <v>45-54</v>
      </c>
      <c r="K1495" s="17" t="str">
        <f t="shared" si="47"/>
        <v>12-15</v>
      </c>
    </row>
    <row r="1496" spans="1:11" x14ac:dyDescent="0.2">
      <c r="A1496" s="4">
        <v>20</v>
      </c>
      <c r="B1496" s="4">
        <v>6</v>
      </c>
      <c r="C1496" t="s">
        <v>10</v>
      </c>
      <c r="D1496" s="4">
        <v>1</v>
      </c>
      <c r="E1496" s="3">
        <v>0.62395234359428298</v>
      </c>
      <c r="F1496" s="4">
        <v>1</v>
      </c>
      <c r="G1496" s="2">
        <v>303.99</v>
      </c>
      <c r="H1496" s="2">
        <v>303.99</v>
      </c>
      <c r="I1496" s="2">
        <v>303.99</v>
      </c>
      <c r="J1496" s="2" t="str">
        <f t="shared" si="46"/>
        <v>18-24</v>
      </c>
      <c r="K1496" s="17" t="str">
        <f t="shared" si="47"/>
        <v>6-8</v>
      </c>
    </row>
    <row r="1497" spans="1:11" x14ac:dyDescent="0.2">
      <c r="A1497" s="4">
        <v>65</v>
      </c>
      <c r="B1497" s="4">
        <v>7</v>
      </c>
      <c r="C1497" t="s">
        <v>16</v>
      </c>
      <c r="D1497" s="4">
        <v>0</v>
      </c>
      <c r="E1497" s="3">
        <v>0.87790453829802595</v>
      </c>
      <c r="F1497" s="4">
        <v>1</v>
      </c>
      <c r="G1497" s="2">
        <v>1605.1</v>
      </c>
      <c r="H1497" s="2">
        <v>1605.1</v>
      </c>
      <c r="I1497" s="2">
        <v>1605.1</v>
      </c>
      <c r="J1497" s="2" t="str">
        <f t="shared" si="46"/>
        <v>65-74</v>
      </c>
      <c r="K1497" s="17" t="str">
        <f t="shared" si="47"/>
        <v>6-8</v>
      </c>
    </row>
    <row r="1498" spans="1:11" x14ac:dyDescent="0.2">
      <c r="A1498" s="4">
        <v>46</v>
      </c>
      <c r="B1498" s="4">
        <v>11</v>
      </c>
      <c r="C1498" t="s">
        <v>8</v>
      </c>
      <c r="D1498" s="4">
        <v>0</v>
      </c>
      <c r="E1498" s="3">
        <v>0.66946056101005502</v>
      </c>
      <c r="F1498" s="4">
        <v>1</v>
      </c>
      <c r="G1498" s="2">
        <v>433.68</v>
      </c>
      <c r="H1498" s="2">
        <v>433.68</v>
      </c>
      <c r="I1498" s="2">
        <v>433.68</v>
      </c>
      <c r="J1498" s="2" t="str">
        <f t="shared" si="46"/>
        <v>45-54</v>
      </c>
      <c r="K1498" s="17" t="str">
        <f t="shared" si="47"/>
        <v>9-11</v>
      </c>
    </row>
    <row r="1499" spans="1:11" x14ac:dyDescent="0.2">
      <c r="A1499" s="4">
        <v>63</v>
      </c>
      <c r="B1499" s="4">
        <v>12</v>
      </c>
      <c r="C1499" t="s">
        <v>10</v>
      </c>
      <c r="D1499" s="4">
        <v>0</v>
      </c>
      <c r="E1499" s="3">
        <v>0.67018015822395705</v>
      </c>
      <c r="F1499" s="4">
        <v>1</v>
      </c>
      <c r="G1499" s="2">
        <v>826.03</v>
      </c>
      <c r="H1499" s="2">
        <v>826.03</v>
      </c>
      <c r="I1499" s="2">
        <v>826.03</v>
      </c>
      <c r="J1499" s="2" t="str">
        <f t="shared" si="46"/>
        <v>55-64</v>
      </c>
      <c r="K1499" s="17" t="str">
        <f t="shared" si="47"/>
        <v>12-15</v>
      </c>
    </row>
    <row r="1500" spans="1:11" x14ac:dyDescent="0.2">
      <c r="A1500" s="4">
        <v>73</v>
      </c>
      <c r="B1500" s="4">
        <v>5</v>
      </c>
      <c r="C1500" t="s">
        <v>10</v>
      </c>
      <c r="D1500" s="4">
        <v>0</v>
      </c>
      <c r="E1500" s="3">
        <v>0.77253457321785401</v>
      </c>
      <c r="F1500" s="4">
        <v>1</v>
      </c>
      <c r="G1500" s="2">
        <v>1089.1199999999999</v>
      </c>
      <c r="H1500" s="2">
        <v>1089.1199999999999</v>
      </c>
      <c r="I1500" s="2">
        <v>1089.1199999999999</v>
      </c>
      <c r="J1500" s="2" t="str">
        <f t="shared" si="46"/>
        <v>65-74</v>
      </c>
      <c r="K1500" s="17" t="str">
        <f t="shared" si="47"/>
        <v>3-5</v>
      </c>
    </row>
    <row r="1501" spans="1:11" x14ac:dyDescent="0.2">
      <c r="A1501" s="4">
        <v>66</v>
      </c>
      <c r="B1501" s="4">
        <v>5</v>
      </c>
      <c r="C1501" t="s">
        <v>8</v>
      </c>
      <c r="D1501" s="4">
        <v>1</v>
      </c>
      <c r="E1501" s="3">
        <v>0.72389577794820104</v>
      </c>
      <c r="F1501" s="4">
        <v>1</v>
      </c>
      <c r="G1501" s="2">
        <v>997.97</v>
      </c>
      <c r="H1501" s="2">
        <v>997.97</v>
      </c>
      <c r="I1501" s="2">
        <v>997.97</v>
      </c>
      <c r="J1501" s="2" t="str">
        <f t="shared" si="46"/>
        <v>65-74</v>
      </c>
      <c r="K1501" s="17" t="str">
        <f t="shared" si="47"/>
        <v>3-5</v>
      </c>
    </row>
    <row r="1502" spans="1:11" x14ac:dyDescent="0.2">
      <c r="A1502" s="4">
        <v>70</v>
      </c>
      <c r="B1502" s="4">
        <v>3</v>
      </c>
      <c r="C1502" t="s">
        <v>8</v>
      </c>
      <c r="D1502" s="4">
        <v>0</v>
      </c>
      <c r="E1502" s="3">
        <v>0.70288237871136505</v>
      </c>
      <c r="F1502" s="4">
        <v>1</v>
      </c>
      <c r="G1502" s="2">
        <v>427.09</v>
      </c>
      <c r="H1502" s="2">
        <v>427.09</v>
      </c>
      <c r="I1502" s="2">
        <v>427.09</v>
      </c>
      <c r="J1502" s="2" t="str">
        <f t="shared" si="46"/>
        <v>65-74</v>
      </c>
      <c r="K1502" s="17" t="str">
        <f t="shared" si="47"/>
        <v>3-5</v>
      </c>
    </row>
    <row r="1503" spans="1:11" x14ac:dyDescent="0.2">
      <c r="A1503" s="4">
        <v>65</v>
      </c>
      <c r="B1503" s="4">
        <v>4</v>
      </c>
      <c r="C1503" t="s">
        <v>16</v>
      </c>
      <c r="D1503" s="4">
        <v>0</v>
      </c>
      <c r="E1503" s="3">
        <v>0.74859553005080703</v>
      </c>
      <c r="F1503" s="4">
        <v>1</v>
      </c>
      <c r="G1503" s="2">
        <v>393.75</v>
      </c>
      <c r="H1503" s="2">
        <v>393.75</v>
      </c>
      <c r="I1503" s="2">
        <v>393.75</v>
      </c>
      <c r="J1503" s="2" t="str">
        <f t="shared" si="46"/>
        <v>65-74</v>
      </c>
      <c r="K1503" s="17" t="str">
        <f t="shared" si="47"/>
        <v>3-5</v>
      </c>
    </row>
    <row r="1504" spans="1:11" x14ac:dyDescent="0.2">
      <c r="A1504" s="4">
        <v>84</v>
      </c>
      <c r="B1504" s="4">
        <v>3</v>
      </c>
      <c r="C1504" t="s">
        <v>16</v>
      </c>
      <c r="D1504" s="4">
        <v>0</v>
      </c>
      <c r="E1504" s="3">
        <v>0.80961816816125098</v>
      </c>
      <c r="F1504" s="4">
        <v>1</v>
      </c>
      <c r="G1504" s="2">
        <v>1491.3</v>
      </c>
      <c r="H1504" s="2">
        <v>1491.3</v>
      </c>
      <c r="I1504" s="2">
        <v>1491.3</v>
      </c>
      <c r="J1504" s="2" t="str">
        <f t="shared" si="46"/>
        <v>75-90</v>
      </c>
      <c r="K1504" s="17" t="str">
        <f t="shared" si="47"/>
        <v>3-5</v>
      </c>
    </row>
    <row r="1505" spans="1:11" x14ac:dyDescent="0.2">
      <c r="A1505" s="4">
        <v>32</v>
      </c>
      <c r="B1505" s="4">
        <v>13</v>
      </c>
      <c r="C1505" t="s">
        <v>16</v>
      </c>
      <c r="D1505" s="4">
        <v>0</v>
      </c>
      <c r="E1505" s="3">
        <v>0.500473316409625</v>
      </c>
      <c r="F1505" s="4">
        <v>1</v>
      </c>
      <c r="G1505" s="2">
        <v>787.44</v>
      </c>
      <c r="H1505" s="2">
        <v>787.44</v>
      </c>
      <c r="I1505" s="2">
        <v>787.44</v>
      </c>
      <c r="J1505" s="2" t="str">
        <f t="shared" si="46"/>
        <v>25-34</v>
      </c>
      <c r="K1505" s="17" t="str">
        <f t="shared" si="47"/>
        <v>12-15</v>
      </c>
    </row>
    <row r="1506" spans="1:11" x14ac:dyDescent="0.2">
      <c r="A1506" s="4">
        <v>29</v>
      </c>
      <c r="B1506" s="4">
        <v>8</v>
      </c>
      <c r="C1506" t="s">
        <v>8</v>
      </c>
      <c r="D1506" s="4">
        <v>0</v>
      </c>
      <c r="E1506" s="3">
        <v>0.90752912242896899</v>
      </c>
      <c r="F1506" s="4">
        <v>1</v>
      </c>
      <c r="G1506" s="2">
        <v>350.07</v>
      </c>
      <c r="H1506" s="2">
        <v>350.07</v>
      </c>
      <c r="I1506" s="2">
        <v>350.07</v>
      </c>
      <c r="J1506" s="2" t="str">
        <f t="shared" si="46"/>
        <v>25-34</v>
      </c>
      <c r="K1506" s="17" t="str">
        <f t="shared" si="47"/>
        <v>6-8</v>
      </c>
    </row>
    <row r="1507" spans="1:11" x14ac:dyDescent="0.2">
      <c r="A1507" s="4">
        <v>20</v>
      </c>
      <c r="B1507" s="4">
        <v>11</v>
      </c>
      <c r="C1507" t="s">
        <v>8</v>
      </c>
      <c r="D1507" s="4">
        <v>0</v>
      </c>
      <c r="E1507" s="3">
        <v>0.93815402791369695</v>
      </c>
      <c r="F1507" s="4">
        <v>1</v>
      </c>
      <c r="G1507" s="2">
        <v>836.87</v>
      </c>
      <c r="H1507" s="2">
        <v>836.87</v>
      </c>
      <c r="I1507" s="2">
        <v>836.87</v>
      </c>
      <c r="J1507" s="2" t="str">
        <f t="shared" si="46"/>
        <v>18-24</v>
      </c>
      <c r="K1507" s="17" t="str">
        <f t="shared" si="47"/>
        <v>9-11</v>
      </c>
    </row>
    <row r="1508" spans="1:11" x14ac:dyDescent="0.2">
      <c r="A1508" s="4">
        <v>79</v>
      </c>
      <c r="B1508" s="4">
        <v>14</v>
      </c>
      <c r="C1508" t="s">
        <v>8</v>
      </c>
      <c r="D1508" s="4">
        <v>0</v>
      </c>
      <c r="E1508" s="3">
        <v>0.939117950969376</v>
      </c>
      <c r="F1508" s="4">
        <v>1</v>
      </c>
      <c r="G1508" s="2">
        <v>1838.53</v>
      </c>
      <c r="H1508" s="2">
        <v>1838.53</v>
      </c>
      <c r="I1508" s="2">
        <v>1838.53</v>
      </c>
      <c r="J1508" s="2" t="str">
        <f t="shared" si="46"/>
        <v>75-90</v>
      </c>
      <c r="K1508" s="17" t="str">
        <f t="shared" si="47"/>
        <v>12-15</v>
      </c>
    </row>
    <row r="1509" spans="1:11" x14ac:dyDescent="0.2">
      <c r="A1509" s="4">
        <v>81</v>
      </c>
      <c r="B1509" s="4">
        <v>7</v>
      </c>
      <c r="C1509" t="s">
        <v>8</v>
      </c>
      <c r="D1509" s="4">
        <v>1</v>
      </c>
      <c r="E1509" s="3">
        <v>0.60580768610816405</v>
      </c>
      <c r="F1509" s="4">
        <v>1</v>
      </c>
      <c r="G1509" s="2">
        <v>2015.27</v>
      </c>
      <c r="H1509" s="2">
        <v>2015.27</v>
      </c>
      <c r="I1509" s="2">
        <v>2015.27</v>
      </c>
      <c r="J1509" s="2" t="str">
        <f t="shared" si="46"/>
        <v>75-90</v>
      </c>
      <c r="K1509" s="17" t="str">
        <f t="shared" si="47"/>
        <v>6-8</v>
      </c>
    </row>
    <row r="1510" spans="1:11" x14ac:dyDescent="0.2">
      <c r="A1510" s="4">
        <v>42</v>
      </c>
      <c r="B1510" s="4">
        <v>11</v>
      </c>
      <c r="C1510" t="s">
        <v>10</v>
      </c>
      <c r="D1510" s="4">
        <v>0</v>
      </c>
      <c r="E1510" s="3">
        <v>0.81813663197681297</v>
      </c>
      <c r="F1510" s="4">
        <v>1</v>
      </c>
      <c r="G1510" s="2">
        <v>319.98</v>
      </c>
      <c r="H1510" s="2">
        <v>319.98</v>
      </c>
      <c r="I1510" s="2">
        <v>319.98</v>
      </c>
      <c r="J1510" s="2" t="str">
        <f t="shared" si="46"/>
        <v>35-44</v>
      </c>
      <c r="K1510" s="17" t="str">
        <f t="shared" si="47"/>
        <v>9-11</v>
      </c>
    </row>
    <row r="1511" spans="1:11" x14ac:dyDescent="0.2">
      <c r="A1511" s="4">
        <v>35</v>
      </c>
      <c r="B1511" s="4">
        <v>2</v>
      </c>
      <c r="C1511" t="s">
        <v>16</v>
      </c>
      <c r="D1511" s="4">
        <v>0</v>
      </c>
      <c r="E1511" s="3">
        <v>0.78863944939803299</v>
      </c>
      <c r="F1511" s="4">
        <v>1</v>
      </c>
      <c r="G1511" s="2">
        <v>246.53</v>
      </c>
      <c r="H1511" s="2">
        <v>246.53</v>
      </c>
      <c r="I1511" s="2">
        <v>246.53</v>
      </c>
      <c r="J1511" s="2" t="str">
        <f t="shared" si="46"/>
        <v>35-44</v>
      </c>
      <c r="K1511" s="17" t="str">
        <f t="shared" si="47"/>
        <v>0-2</v>
      </c>
    </row>
    <row r="1512" spans="1:11" x14ac:dyDescent="0.2">
      <c r="A1512" s="4">
        <v>48</v>
      </c>
      <c r="B1512" s="4">
        <v>1</v>
      </c>
      <c r="C1512" t="s">
        <v>10</v>
      </c>
      <c r="D1512" s="4">
        <v>0</v>
      </c>
      <c r="E1512" s="3">
        <v>0.80775058828294299</v>
      </c>
      <c r="F1512" s="4">
        <v>2</v>
      </c>
      <c r="G1512" s="2">
        <v>820.25</v>
      </c>
      <c r="H1512" s="2">
        <v>410.13</v>
      </c>
      <c r="I1512" s="2">
        <v>820.25</v>
      </c>
      <c r="J1512" s="2" t="str">
        <f t="shared" si="46"/>
        <v>45-54</v>
      </c>
      <c r="K1512" s="17" t="str">
        <f t="shared" si="47"/>
        <v>0-2</v>
      </c>
    </row>
    <row r="1513" spans="1:11" x14ac:dyDescent="0.2">
      <c r="A1513" s="4">
        <v>32</v>
      </c>
      <c r="B1513" s="4">
        <v>12</v>
      </c>
      <c r="C1513" t="s">
        <v>8</v>
      </c>
      <c r="D1513" s="4">
        <v>1</v>
      </c>
      <c r="E1513" s="3">
        <v>0.90333406592253596</v>
      </c>
      <c r="F1513" s="4">
        <v>1</v>
      </c>
      <c r="G1513" s="2">
        <v>855.49</v>
      </c>
      <c r="H1513" s="2">
        <v>855.49</v>
      </c>
      <c r="I1513" s="2">
        <v>855.49</v>
      </c>
      <c r="J1513" s="2" t="str">
        <f t="shared" si="46"/>
        <v>25-34</v>
      </c>
      <c r="K1513" s="17" t="str">
        <f t="shared" si="47"/>
        <v>12-15</v>
      </c>
    </row>
    <row r="1514" spans="1:11" x14ac:dyDescent="0.2">
      <c r="A1514" s="4">
        <v>65</v>
      </c>
      <c r="B1514" s="4">
        <v>10</v>
      </c>
      <c r="C1514" t="s">
        <v>8</v>
      </c>
      <c r="D1514" s="4">
        <v>0</v>
      </c>
      <c r="E1514" s="3">
        <v>0.54613639542367298</v>
      </c>
      <c r="F1514" s="4">
        <v>1</v>
      </c>
      <c r="G1514" s="2">
        <v>890.86</v>
      </c>
      <c r="H1514" s="2">
        <v>890.86</v>
      </c>
      <c r="I1514" s="2">
        <v>890.86</v>
      </c>
      <c r="J1514" s="2" t="str">
        <f t="shared" si="46"/>
        <v>65-74</v>
      </c>
      <c r="K1514" s="17" t="str">
        <f t="shared" si="47"/>
        <v>9-11</v>
      </c>
    </row>
    <row r="1515" spans="1:11" x14ac:dyDescent="0.2">
      <c r="A1515" s="4">
        <v>49</v>
      </c>
      <c r="B1515" s="4">
        <v>4</v>
      </c>
      <c r="C1515" t="s">
        <v>10</v>
      </c>
      <c r="D1515" s="4">
        <v>0</v>
      </c>
      <c r="E1515" s="3">
        <v>0.64996456517837897</v>
      </c>
      <c r="F1515" s="4">
        <v>1</v>
      </c>
      <c r="G1515" s="2">
        <v>1108.47</v>
      </c>
      <c r="H1515" s="2">
        <v>1108.47</v>
      </c>
      <c r="I1515" s="2">
        <v>1108.47</v>
      </c>
      <c r="J1515" s="2" t="str">
        <f t="shared" si="46"/>
        <v>45-54</v>
      </c>
      <c r="K1515" s="17" t="str">
        <f t="shared" si="47"/>
        <v>3-5</v>
      </c>
    </row>
    <row r="1516" spans="1:11" x14ac:dyDescent="0.2">
      <c r="A1516" s="4">
        <v>46</v>
      </c>
      <c r="B1516" s="4">
        <v>4</v>
      </c>
      <c r="C1516" t="s">
        <v>8</v>
      </c>
      <c r="D1516" s="4">
        <v>1</v>
      </c>
      <c r="E1516" s="3">
        <v>0.830271165817976</v>
      </c>
      <c r="F1516" s="4">
        <v>1</v>
      </c>
      <c r="G1516" s="2">
        <v>442.38</v>
      </c>
      <c r="H1516" s="2">
        <v>442.38</v>
      </c>
      <c r="I1516" s="2">
        <v>442.38</v>
      </c>
      <c r="J1516" s="2" t="str">
        <f t="shared" si="46"/>
        <v>45-54</v>
      </c>
      <c r="K1516" s="17" t="str">
        <f t="shared" si="47"/>
        <v>3-5</v>
      </c>
    </row>
    <row r="1517" spans="1:11" x14ac:dyDescent="0.2">
      <c r="A1517" s="4">
        <v>22</v>
      </c>
      <c r="B1517" s="4">
        <v>7</v>
      </c>
      <c r="C1517" t="s">
        <v>16</v>
      </c>
      <c r="D1517" s="4">
        <v>1</v>
      </c>
      <c r="E1517" s="3">
        <v>0.98617228504735999</v>
      </c>
      <c r="F1517" s="4">
        <v>1</v>
      </c>
      <c r="G1517" s="2">
        <v>579.79999999999995</v>
      </c>
      <c r="H1517" s="2">
        <v>579.79999999999995</v>
      </c>
      <c r="I1517" s="2">
        <v>579.79999999999995</v>
      </c>
      <c r="J1517" s="2" t="str">
        <f t="shared" si="46"/>
        <v>18-24</v>
      </c>
      <c r="K1517" s="17" t="str">
        <f t="shared" si="47"/>
        <v>6-8</v>
      </c>
    </row>
    <row r="1518" spans="1:11" x14ac:dyDescent="0.2">
      <c r="A1518" s="4">
        <v>40</v>
      </c>
      <c r="B1518" s="4">
        <v>14</v>
      </c>
      <c r="C1518" t="s">
        <v>8</v>
      </c>
      <c r="D1518" s="4">
        <v>0</v>
      </c>
      <c r="E1518" s="3">
        <v>0.50490531395189497</v>
      </c>
      <c r="F1518" s="4">
        <v>1</v>
      </c>
      <c r="G1518" s="2">
        <v>1004.79</v>
      </c>
      <c r="H1518" s="2">
        <v>1004.79</v>
      </c>
      <c r="I1518" s="2">
        <v>1004.79</v>
      </c>
      <c r="J1518" s="2" t="str">
        <f t="shared" si="46"/>
        <v>35-44</v>
      </c>
      <c r="K1518" s="17" t="str">
        <f t="shared" si="47"/>
        <v>12-15</v>
      </c>
    </row>
    <row r="1519" spans="1:11" x14ac:dyDescent="0.2">
      <c r="A1519" s="4">
        <v>72</v>
      </c>
      <c r="B1519" s="4">
        <v>3</v>
      </c>
      <c r="C1519" t="s">
        <v>8</v>
      </c>
      <c r="D1519" s="4">
        <v>1</v>
      </c>
      <c r="E1519" s="3">
        <v>0.63994010770693399</v>
      </c>
      <c r="F1519" s="4">
        <v>1</v>
      </c>
      <c r="G1519" s="2">
        <v>1259.7</v>
      </c>
      <c r="H1519" s="2">
        <v>1259.7</v>
      </c>
      <c r="I1519" s="2">
        <v>1259.7</v>
      </c>
      <c r="J1519" s="2" t="str">
        <f t="shared" si="46"/>
        <v>65-74</v>
      </c>
      <c r="K1519" s="17" t="str">
        <f t="shared" si="47"/>
        <v>3-5</v>
      </c>
    </row>
    <row r="1520" spans="1:11" x14ac:dyDescent="0.2">
      <c r="A1520" s="4">
        <v>84</v>
      </c>
      <c r="B1520" s="4">
        <v>12</v>
      </c>
      <c r="C1520" t="s">
        <v>16</v>
      </c>
      <c r="D1520" s="4">
        <v>0</v>
      </c>
      <c r="E1520" s="3">
        <v>0.995057167485356</v>
      </c>
      <c r="F1520" s="4">
        <v>1</v>
      </c>
      <c r="G1520" s="2">
        <v>1656.11</v>
      </c>
      <c r="H1520" s="2">
        <v>1656.11</v>
      </c>
      <c r="I1520" s="2">
        <v>1656.11</v>
      </c>
      <c r="J1520" s="2" t="str">
        <f t="shared" si="46"/>
        <v>75-90</v>
      </c>
      <c r="K1520" s="17" t="str">
        <f t="shared" si="47"/>
        <v>12-15</v>
      </c>
    </row>
    <row r="1521" spans="1:11" x14ac:dyDescent="0.2">
      <c r="A1521" s="4">
        <v>66</v>
      </c>
      <c r="B1521" s="4">
        <v>6</v>
      </c>
      <c r="C1521" t="s">
        <v>8</v>
      </c>
      <c r="D1521" s="4">
        <v>1</v>
      </c>
      <c r="E1521" s="3">
        <v>0.97520057123620096</v>
      </c>
      <c r="F1521" s="4">
        <v>1</v>
      </c>
      <c r="G1521" s="2">
        <v>1975.44</v>
      </c>
      <c r="H1521" s="2">
        <v>1975.44</v>
      </c>
      <c r="I1521" s="2">
        <v>1975.44</v>
      </c>
      <c r="J1521" s="2" t="str">
        <f t="shared" si="46"/>
        <v>65-74</v>
      </c>
      <c r="K1521" s="17" t="str">
        <f t="shared" si="47"/>
        <v>6-8</v>
      </c>
    </row>
    <row r="1522" spans="1:11" x14ac:dyDescent="0.2">
      <c r="A1522" s="4">
        <v>21</v>
      </c>
      <c r="B1522" s="4">
        <v>9</v>
      </c>
      <c r="C1522" t="s">
        <v>16</v>
      </c>
      <c r="D1522" s="4">
        <v>0</v>
      </c>
      <c r="E1522" s="3">
        <v>0.75684249482583299</v>
      </c>
      <c r="F1522" s="4">
        <v>1</v>
      </c>
      <c r="G1522" s="2">
        <v>254.36</v>
      </c>
      <c r="H1522" s="2">
        <v>254.36</v>
      </c>
      <c r="I1522" s="2">
        <v>254.36</v>
      </c>
      <c r="J1522" s="2" t="str">
        <f t="shared" si="46"/>
        <v>18-24</v>
      </c>
      <c r="K1522" s="17" t="str">
        <f t="shared" si="47"/>
        <v>9-11</v>
      </c>
    </row>
    <row r="1523" spans="1:11" x14ac:dyDescent="0.2">
      <c r="A1523" s="4">
        <v>86</v>
      </c>
      <c r="B1523" s="4">
        <v>13</v>
      </c>
      <c r="C1523" t="s">
        <v>8</v>
      </c>
      <c r="D1523" s="4">
        <v>0</v>
      </c>
      <c r="E1523" s="3">
        <v>0.53734756074845802</v>
      </c>
      <c r="F1523" s="4">
        <v>1</v>
      </c>
      <c r="G1523" s="2">
        <v>868.04</v>
      </c>
      <c r="H1523" s="2">
        <v>868.04</v>
      </c>
      <c r="I1523" s="2">
        <v>868.04</v>
      </c>
      <c r="J1523" s="2" t="str">
        <f t="shared" si="46"/>
        <v>75-90</v>
      </c>
      <c r="K1523" s="17" t="str">
        <f t="shared" si="47"/>
        <v>12-15</v>
      </c>
    </row>
    <row r="1524" spans="1:11" x14ac:dyDescent="0.2">
      <c r="A1524" s="4">
        <v>41</v>
      </c>
      <c r="B1524" s="4">
        <v>11</v>
      </c>
      <c r="C1524" t="s">
        <v>8</v>
      </c>
      <c r="D1524" s="4">
        <v>0</v>
      </c>
      <c r="E1524" s="3">
        <v>0.78662509366404298</v>
      </c>
      <c r="F1524" s="4">
        <v>1</v>
      </c>
      <c r="G1524" s="2">
        <v>509.33</v>
      </c>
      <c r="H1524" s="2">
        <v>509.33</v>
      </c>
      <c r="I1524" s="2">
        <v>509.33</v>
      </c>
      <c r="J1524" s="2" t="str">
        <f t="shared" si="46"/>
        <v>35-44</v>
      </c>
      <c r="K1524" s="17" t="str">
        <f t="shared" si="47"/>
        <v>9-11</v>
      </c>
    </row>
    <row r="1525" spans="1:11" x14ac:dyDescent="0.2">
      <c r="A1525" s="4">
        <v>60</v>
      </c>
      <c r="B1525" s="4">
        <v>4</v>
      </c>
      <c r="C1525" t="s">
        <v>8</v>
      </c>
      <c r="D1525" s="4">
        <v>2</v>
      </c>
      <c r="E1525" s="3">
        <v>0.80164680932648502</v>
      </c>
      <c r="F1525" s="4">
        <v>1</v>
      </c>
      <c r="G1525" s="2">
        <v>1782.21</v>
      </c>
      <c r="H1525" s="2">
        <v>1782.21</v>
      </c>
      <c r="I1525" s="2">
        <v>1782.21</v>
      </c>
      <c r="J1525" s="2" t="str">
        <f t="shared" si="46"/>
        <v>55-64</v>
      </c>
      <c r="K1525" s="17" t="str">
        <f t="shared" si="47"/>
        <v>3-5</v>
      </c>
    </row>
    <row r="1526" spans="1:11" x14ac:dyDescent="0.2">
      <c r="A1526" s="4">
        <v>35</v>
      </c>
      <c r="B1526" s="4">
        <v>1</v>
      </c>
      <c r="C1526" t="s">
        <v>10</v>
      </c>
      <c r="D1526" s="4">
        <v>0</v>
      </c>
      <c r="E1526" s="3">
        <v>0.50389213406015199</v>
      </c>
      <c r="F1526" s="4">
        <v>1</v>
      </c>
      <c r="G1526" s="2">
        <v>363.37</v>
      </c>
      <c r="H1526" s="2">
        <v>363.37</v>
      </c>
      <c r="I1526" s="2">
        <v>363.37</v>
      </c>
      <c r="J1526" s="2" t="str">
        <f t="shared" si="46"/>
        <v>35-44</v>
      </c>
      <c r="K1526" s="17" t="str">
        <f t="shared" si="47"/>
        <v>0-2</v>
      </c>
    </row>
    <row r="1527" spans="1:11" x14ac:dyDescent="0.2">
      <c r="A1527" s="4">
        <v>55</v>
      </c>
      <c r="B1527" s="4">
        <v>1</v>
      </c>
      <c r="C1527" t="s">
        <v>16</v>
      </c>
      <c r="D1527" s="4">
        <v>0</v>
      </c>
      <c r="E1527" s="3">
        <v>0.63379247637931302</v>
      </c>
      <c r="F1527" s="4">
        <v>1</v>
      </c>
      <c r="G1527" s="2">
        <v>1282.47</v>
      </c>
      <c r="H1527" s="2">
        <v>1282.47</v>
      </c>
      <c r="I1527" s="2">
        <v>1282.47</v>
      </c>
      <c r="J1527" s="2" t="str">
        <f t="shared" si="46"/>
        <v>55-64</v>
      </c>
      <c r="K1527" s="17" t="str">
        <f t="shared" si="47"/>
        <v>0-2</v>
      </c>
    </row>
    <row r="1528" spans="1:11" x14ac:dyDescent="0.2">
      <c r="A1528" s="4">
        <v>71</v>
      </c>
      <c r="B1528" s="4">
        <v>12</v>
      </c>
      <c r="C1528" t="s">
        <v>16</v>
      </c>
      <c r="D1528" s="4">
        <v>1</v>
      </c>
      <c r="E1528" s="3">
        <v>0.62800417875405401</v>
      </c>
      <c r="F1528" s="4">
        <v>2</v>
      </c>
      <c r="G1528" s="2">
        <v>1168.93</v>
      </c>
      <c r="H1528" s="2">
        <v>584.46</v>
      </c>
      <c r="I1528" s="2">
        <v>1168.93</v>
      </c>
      <c r="J1528" s="2" t="str">
        <f t="shared" si="46"/>
        <v>65-74</v>
      </c>
      <c r="K1528" s="17" t="str">
        <f t="shared" si="47"/>
        <v>12-15</v>
      </c>
    </row>
    <row r="1529" spans="1:11" x14ac:dyDescent="0.2">
      <c r="A1529" s="4">
        <v>34</v>
      </c>
      <c r="B1529" s="4">
        <v>7</v>
      </c>
      <c r="C1529" t="s">
        <v>16</v>
      </c>
      <c r="D1529" s="4">
        <v>2</v>
      </c>
      <c r="E1529" s="3">
        <v>0.63403113628737595</v>
      </c>
      <c r="F1529" s="4">
        <v>1</v>
      </c>
      <c r="G1529" s="2">
        <v>672.67</v>
      </c>
      <c r="H1529" s="2">
        <v>672.67</v>
      </c>
      <c r="I1529" s="2">
        <v>672.67</v>
      </c>
      <c r="J1529" s="2" t="str">
        <f t="shared" si="46"/>
        <v>25-34</v>
      </c>
      <c r="K1529" s="17" t="str">
        <f t="shared" si="47"/>
        <v>6-8</v>
      </c>
    </row>
    <row r="1530" spans="1:11" x14ac:dyDescent="0.2">
      <c r="A1530" s="4">
        <v>39</v>
      </c>
      <c r="B1530" s="4">
        <v>8</v>
      </c>
      <c r="C1530" t="s">
        <v>16</v>
      </c>
      <c r="D1530" s="4">
        <v>1</v>
      </c>
      <c r="E1530" s="3">
        <v>0.86516094650141895</v>
      </c>
      <c r="F1530" s="4">
        <v>2</v>
      </c>
      <c r="G1530" s="2">
        <v>693.09</v>
      </c>
      <c r="H1530" s="2">
        <v>346.55</v>
      </c>
      <c r="I1530" s="2">
        <v>693.09</v>
      </c>
      <c r="J1530" s="2" t="str">
        <f t="shared" si="46"/>
        <v>35-44</v>
      </c>
      <c r="K1530" s="17" t="str">
        <f t="shared" si="47"/>
        <v>6-8</v>
      </c>
    </row>
    <row r="1531" spans="1:11" x14ac:dyDescent="0.2">
      <c r="A1531" s="4">
        <v>85</v>
      </c>
      <c r="B1531" s="4">
        <v>13</v>
      </c>
      <c r="C1531" t="s">
        <v>10</v>
      </c>
      <c r="D1531" s="4">
        <v>1</v>
      </c>
      <c r="E1531" s="3">
        <v>0.59587222861591704</v>
      </c>
      <c r="F1531" s="4">
        <v>1</v>
      </c>
      <c r="G1531" s="2">
        <v>2756</v>
      </c>
      <c r="H1531" s="2">
        <v>2756</v>
      </c>
      <c r="I1531" s="2">
        <v>2756</v>
      </c>
      <c r="J1531" s="2" t="str">
        <f t="shared" si="46"/>
        <v>75-90</v>
      </c>
      <c r="K1531" s="17" t="str">
        <f t="shared" si="47"/>
        <v>12-15</v>
      </c>
    </row>
    <row r="1532" spans="1:11" x14ac:dyDescent="0.2">
      <c r="A1532" s="4">
        <v>72</v>
      </c>
      <c r="B1532" s="4">
        <v>5</v>
      </c>
      <c r="C1532" t="s">
        <v>10</v>
      </c>
      <c r="D1532" s="4">
        <v>2</v>
      </c>
      <c r="E1532" s="3">
        <v>0.57006137911230303</v>
      </c>
      <c r="F1532" s="4">
        <v>1</v>
      </c>
      <c r="G1532" s="2">
        <v>1558.03</v>
      </c>
      <c r="H1532" s="2">
        <v>1558.03</v>
      </c>
      <c r="I1532" s="2">
        <v>1558.03</v>
      </c>
      <c r="J1532" s="2" t="str">
        <f t="shared" si="46"/>
        <v>65-74</v>
      </c>
      <c r="K1532" s="17" t="str">
        <f t="shared" si="47"/>
        <v>3-5</v>
      </c>
    </row>
    <row r="1533" spans="1:11" x14ac:dyDescent="0.2">
      <c r="A1533" s="4">
        <v>45</v>
      </c>
      <c r="B1533" s="4">
        <v>2</v>
      </c>
      <c r="C1533" t="s">
        <v>10</v>
      </c>
      <c r="D1533" s="4">
        <v>0</v>
      </c>
      <c r="E1533" s="3">
        <v>0.74445990240201398</v>
      </c>
      <c r="F1533" s="4">
        <v>2</v>
      </c>
      <c r="G1533" s="2">
        <v>646.1</v>
      </c>
      <c r="H1533" s="2">
        <v>323.05</v>
      </c>
      <c r="I1533" s="2">
        <v>646.1</v>
      </c>
      <c r="J1533" s="2" t="str">
        <f t="shared" si="46"/>
        <v>45-54</v>
      </c>
      <c r="K1533" s="17" t="str">
        <f t="shared" si="47"/>
        <v>0-2</v>
      </c>
    </row>
    <row r="1534" spans="1:11" x14ac:dyDescent="0.2">
      <c r="A1534" s="4">
        <v>82</v>
      </c>
      <c r="B1534" s="4">
        <v>7</v>
      </c>
      <c r="C1534" t="s">
        <v>10</v>
      </c>
      <c r="D1534" s="4">
        <v>1</v>
      </c>
      <c r="E1534" s="3">
        <v>0.75180839363019902</v>
      </c>
      <c r="F1534" s="4">
        <v>2</v>
      </c>
      <c r="G1534" s="2">
        <v>1864.6</v>
      </c>
      <c r="H1534" s="2">
        <v>932.3</v>
      </c>
      <c r="I1534" s="2">
        <v>1864.6</v>
      </c>
      <c r="J1534" s="2" t="str">
        <f t="shared" si="46"/>
        <v>75-90</v>
      </c>
      <c r="K1534" s="17" t="str">
        <f t="shared" si="47"/>
        <v>6-8</v>
      </c>
    </row>
    <row r="1535" spans="1:11" x14ac:dyDescent="0.2">
      <c r="A1535" s="4">
        <v>76</v>
      </c>
      <c r="B1535" s="4">
        <v>14</v>
      </c>
      <c r="C1535" t="s">
        <v>16</v>
      </c>
      <c r="D1535" s="4">
        <v>0</v>
      </c>
      <c r="E1535" s="3">
        <v>0.85355184297077402</v>
      </c>
      <c r="F1535" s="4">
        <v>1</v>
      </c>
      <c r="G1535" s="2">
        <v>1557.9</v>
      </c>
      <c r="H1535" s="2">
        <v>1557.9</v>
      </c>
      <c r="I1535" s="2">
        <v>1557.9</v>
      </c>
      <c r="J1535" s="2" t="str">
        <f t="shared" si="46"/>
        <v>75-90</v>
      </c>
      <c r="K1535" s="17" t="str">
        <f t="shared" si="47"/>
        <v>12-15</v>
      </c>
    </row>
    <row r="1536" spans="1:11" x14ac:dyDescent="0.2">
      <c r="A1536" s="4">
        <v>75</v>
      </c>
      <c r="B1536" s="4">
        <v>5</v>
      </c>
      <c r="C1536" t="s">
        <v>8</v>
      </c>
      <c r="D1536" s="4">
        <v>0</v>
      </c>
      <c r="E1536" s="3">
        <v>0.66814014036208402</v>
      </c>
      <c r="F1536" s="4">
        <v>1</v>
      </c>
      <c r="G1536" s="2">
        <v>1182.82</v>
      </c>
      <c r="H1536" s="2">
        <v>1182.82</v>
      </c>
      <c r="I1536" s="2">
        <v>1182.82</v>
      </c>
      <c r="J1536" s="2" t="str">
        <f t="shared" si="46"/>
        <v>75-90</v>
      </c>
      <c r="K1536" s="17" t="str">
        <f t="shared" si="47"/>
        <v>3-5</v>
      </c>
    </row>
    <row r="1537" spans="1:11" x14ac:dyDescent="0.2">
      <c r="A1537" s="4">
        <v>74</v>
      </c>
      <c r="B1537" s="4">
        <v>8</v>
      </c>
      <c r="C1537" t="s">
        <v>10</v>
      </c>
      <c r="D1537" s="4">
        <v>0</v>
      </c>
      <c r="E1537" s="3">
        <v>0.60509786312468306</v>
      </c>
      <c r="F1537" s="4">
        <v>1</v>
      </c>
      <c r="G1537" s="2">
        <v>1152</v>
      </c>
      <c r="H1537" s="2">
        <v>1152</v>
      </c>
      <c r="I1537" s="2">
        <v>1152</v>
      </c>
      <c r="J1537" s="2" t="str">
        <f t="shared" si="46"/>
        <v>65-74</v>
      </c>
      <c r="K1537" s="17" t="str">
        <f t="shared" si="47"/>
        <v>6-8</v>
      </c>
    </row>
    <row r="1538" spans="1:11" x14ac:dyDescent="0.2">
      <c r="A1538" s="4">
        <v>56</v>
      </c>
      <c r="B1538" s="4">
        <v>0</v>
      </c>
      <c r="C1538" t="s">
        <v>8</v>
      </c>
      <c r="D1538" s="4">
        <v>0</v>
      </c>
      <c r="E1538" s="3">
        <v>0.970087257213891</v>
      </c>
      <c r="F1538" s="4">
        <v>1</v>
      </c>
      <c r="G1538" s="2">
        <v>948.49</v>
      </c>
      <c r="H1538" s="2">
        <v>948.49</v>
      </c>
      <c r="I1538" s="2">
        <v>948.49</v>
      </c>
      <c r="J1538" s="2" t="str">
        <f t="shared" ref="J1538:J1601" si="48" xml:space="preserve"> IF(A1538&lt;25,"18-24",
 IF(A1538&lt;35,"25-34",
 IF(A1538&lt;45,"35-44",
 IF(A1538&lt;55,"45-54", IF(A1538&lt;65, "55-64", IF(A1538&lt;75, "65-74", "75-90"))))))</f>
        <v>55-64</v>
      </c>
      <c r="K1538" s="17" t="str">
        <f t="shared" ref="K1538:K1601" si="49" xml:space="preserve"> IF(B1538 &lt; 3, "0-2", IF(B1538 &lt; 6, "3-5", IF(B1538 &lt; 9, "6-8", IF(B1538 &lt; 12, "9-11", "12-15"))))</f>
        <v>0-2</v>
      </c>
    </row>
    <row r="1539" spans="1:11" x14ac:dyDescent="0.2">
      <c r="A1539" s="4">
        <v>58</v>
      </c>
      <c r="B1539" s="4">
        <v>9</v>
      </c>
      <c r="C1539" t="s">
        <v>16</v>
      </c>
      <c r="D1539" s="4">
        <v>0</v>
      </c>
      <c r="E1539" s="3">
        <v>0.70612925896421097</v>
      </c>
      <c r="F1539" s="4">
        <v>1</v>
      </c>
      <c r="G1539" s="2">
        <v>794.23</v>
      </c>
      <c r="H1539" s="2">
        <v>794.23</v>
      </c>
      <c r="I1539" s="2">
        <v>794.23</v>
      </c>
      <c r="J1539" s="2" t="str">
        <f t="shared" si="48"/>
        <v>55-64</v>
      </c>
      <c r="K1539" s="17" t="str">
        <f t="shared" si="49"/>
        <v>9-11</v>
      </c>
    </row>
    <row r="1540" spans="1:11" x14ac:dyDescent="0.2">
      <c r="A1540" s="4">
        <v>71</v>
      </c>
      <c r="B1540" s="4">
        <v>11</v>
      </c>
      <c r="C1540" t="s">
        <v>8</v>
      </c>
      <c r="D1540" s="4">
        <v>0</v>
      </c>
      <c r="E1540" s="3">
        <v>0.97723450302146397</v>
      </c>
      <c r="F1540" s="4">
        <v>1</v>
      </c>
      <c r="G1540" s="2">
        <v>1866.11</v>
      </c>
      <c r="H1540" s="2">
        <v>1866.11</v>
      </c>
      <c r="I1540" s="2">
        <v>1866.11</v>
      </c>
      <c r="J1540" s="2" t="str">
        <f t="shared" si="48"/>
        <v>65-74</v>
      </c>
      <c r="K1540" s="17" t="str">
        <f t="shared" si="49"/>
        <v>9-11</v>
      </c>
    </row>
    <row r="1541" spans="1:11" x14ac:dyDescent="0.2">
      <c r="A1541" s="4">
        <v>46</v>
      </c>
      <c r="B1541" s="4">
        <v>10</v>
      </c>
      <c r="C1541" t="s">
        <v>8</v>
      </c>
      <c r="D1541" s="4">
        <v>0</v>
      </c>
      <c r="E1541" s="3">
        <v>0.94920860906131599</v>
      </c>
      <c r="F1541" s="4">
        <v>1</v>
      </c>
      <c r="G1541" s="2">
        <v>350.84</v>
      </c>
      <c r="H1541" s="2">
        <v>350.84</v>
      </c>
      <c r="I1541" s="2">
        <v>350.84</v>
      </c>
      <c r="J1541" s="2" t="str">
        <f t="shared" si="48"/>
        <v>45-54</v>
      </c>
      <c r="K1541" s="17" t="str">
        <f t="shared" si="49"/>
        <v>9-11</v>
      </c>
    </row>
    <row r="1542" spans="1:11" x14ac:dyDescent="0.2">
      <c r="A1542" s="4">
        <v>76</v>
      </c>
      <c r="B1542" s="4">
        <v>11</v>
      </c>
      <c r="C1542" t="s">
        <v>16</v>
      </c>
      <c r="D1542" s="4">
        <v>2</v>
      </c>
      <c r="E1542" s="3">
        <v>0.93442723457701504</v>
      </c>
      <c r="F1542" s="4">
        <v>1</v>
      </c>
      <c r="G1542" s="2">
        <v>3235.86</v>
      </c>
      <c r="H1542" s="2">
        <v>3235.86</v>
      </c>
      <c r="I1542" s="2">
        <v>3235.86</v>
      </c>
      <c r="J1542" s="2" t="str">
        <f t="shared" si="48"/>
        <v>75-90</v>
      </c>
      <c r="K1542" s="17" t="str">
        <f t="shared" si="49"/>
        <v>9-11</v>
      </c>
    </row>
    <row r="1543" spans="1:11" x14ac:dyDescent="0.2">
      <c r="A1543" s="4">
        <v>30</v>
      </c>
      <c r="B1543" s="4">
        <v>3</v>
      </c>
      <c r="C1543" t="s">
        <v>10</v>
      </c>
      <c r="D1543" s="4">
        <v>0</v>
      </c>
      <c r="E1543" s="3">
        <v>0.54911684338003397</v>
      </c>
      <c r="F1543" s="4">
        <v>1</v>
      </c>
      <c r="G1543" s="2">
        <v>494.56</v>
      </c>
      <c r="H1543" s="2">
        <v>494.56</v>
      </c>
      <c r="I1543" s="2">
        <v>494.56</v>
      </c>
      <c r="J1543" s="2" t="str">
        <f t="shared" si="48"/>
        <v>25-34</v>
      </c>
      <c r="K1543" s="17" t="str">
        <f t="shared" si="49"/>
        <v>3-5</v>
      </c>
    </row>
    <row r="1544" spans="1:11" x14ac:dyDescent="0.2">
      <c r="A1544" s="4">
        <v>25</v>
      </c>
      <c r="B1544" s="4">
        <v>7</v>
      </c>
      <c r="C1544" t="s">
        <v>10</v>
      </c>
      <c r="D1544" s="4">
        <v>0</v>
      </c>
      <c r="E1544" s="3">
        <v>0.95509848056826696</v>
      </c>
      <c r="F1544" s="4">
        <v>1</v>
      </c>
      <c r="G1544" s="2">
        <v>440.01</v>
      </c>
      <c r="H1544" s="2">
        <v>440.01</v>
      </c>
      <c r="I1544" s="2">
        <v>440.01</v>
      </c>
      <c r="J1544" s="2" t="str">
        <f t="shared" si="48"/>
        <v>25-34</v>
      </c>
      <c r="K1544" s="17" t="str">
        <f t="shared" si="49"/>
        <v>6-8</v>
      </c>
    </row>
    <row r="1545" spans="1:11" x14ac:dyDescent="0.2">
      <c r="A1545" s="4">
        <v>20</v>
      </c>
      <c r="B1545" s="4">
        <v>10</v>
      </c>
      <c r="C1545" t="s">
        <v>10</v>
      </c>
      <c r="D1545" s="4">
        <v>1</v>
      </c>
      <c r="E1545" s="3">
        <v>0.88772944500669804</v>
      </c>
      <c r="F1545" s="4">
        <v>1</v>
      </c>
      <c r="G1545" s="2">
        <v>936.62</v>
      </c>
      <c r="H1545" s="2">
        <v>936.62</v>
      </c>
      <c r="I1545" s="2">
        <v>936.62</v>
      </c>
      <c r="J1545" s="2" t="str">
        <f t="shared" si="48"/>
        <v>18-24</v>
      </c>
      <c r="K1545" s="17" t="str">
        <f t="shared" si="49"/>
        <v>9-11</v>
      </c>
    </row>
    <row r="1546" spans="1:11" x14ac:dyDescent="0.2">
      <c r="A1546" s="4">
        <v>75</v>
      </c>
      <c r="B1546" s="4">
        <v>6</v>
      </c>
      <c r="C1546" t="s">
        <v>8</v>
      </c>
      <c r="D1546" s="4">
        <v>1</v>
      </c>
      <c r="E1546" s="3">
        <v>0.553685340331867</v>
      </c>
      <c r="F1546" s="4">
        <v>1</v>
      </c>
      <c r="G1546" s="2">
        <v>1092.74</v>
      </c>
      <c r="H1546" s="2">
        <v>1092.74</v>
      </c>
      <c r="I1546" s="2">
        <v>1092.74</v>
      </c>
      <c r="J1546" s="2" t="str">
        <f t="shared" si="48"/>
        <v>75-90</v>
      </c>
      <c r="K1546" s="17" t="str">
        <f t="shared" si="49"/>
        <v>6-8</v>
      </c>
    </row>
    <row r="1547" spans="1:11" x14ac:dyDescent="0.2">
      <c r="A1547" s="4">
        <v>75</v>
      </c>
      <c r="B1547" s="4">
        <v>0</v>
      </c>
      <c r="C1547" t="s">
        <v>8</v>
      </c>
      <c r="D1547" s="4">
        <v>0</v>
      </c>
      <c r="E1547" s="3">
        <v>0.55019339383579802</v>
      </c>
      <c r="F1547" s="4">
        <v>1</v>
      </c>
      <c r="G1547" s="2">
        <v>852.91</v>
      </c>
      <c r="H1547" s="2">
        <v>852.91</v>
      </c>
      <c r="I1547" s="2">
        <v>852.91</v>
      </c>
      <c r="J1547" s="2" t="str">
        <f t="shared" si="48"/>
        <v>75-90</v>
      </c>
      <c r="K1547" s="17" t="str">
        <f t="shared" si="49"/>
        <v>0-2</v>
      </c>
    </row>
    <row r="1548" spans="1:11" x14ac:dyDescent="0.2">
      <c r="A1548" s="4">
        <v>63</v>
      </c>
      <c r="B1548" s="4">
        <v>11</v>
      </c>
      <c r="C1548" t="s">
        <v>8</v>
      </c>
      <c r="D1548" s="4">
        <v>0</v>
      </c>
      <c r="E1548" s="3">
        <v>0.96560776373371504</v>
      </c>
      <c r="F1548" s="4">
        <v>1</v>
      </c>
      <c r="G1548" s="2">
        <v>3340.33</v>
      </c>
      <c r="H1548" s="2">
        <v>3340.33</v>
      </c>
      <c r="I1548" s="2">
        <v>3340.33</v>
      </c>
      <c r="J1548" s="2" t="str">
        <f t="shared" si="48"/>
        <v>55-64</v>
      </c>
      <c r="K1548" s="17" t="str">
        <f t="shared" si="49"/>
        <v>9-11</v>
      </c>
    </row>
    <row r="1549" spans="1:11" x14ac:dyDescent="0.2">
      <c r="A1549" s="4">
        <v>79</v>
      </c>
      <c r="B1549" s="4">
        <v>12</v>
      </c>
      <c r="C1549" t="s">
        <v>16</v>
      </c>
      <c r="D1549" s="4">
        <v>0</v>
      </c>
      <c r="E1549" s="3">
        <v>0.97118644963484302</v>
      </c>
      <c r="F1549" s="4">
        <v>1</v>
      </c>
      <c r="G1549" s="2">
        <v>1773.96</v>
      </c>
      <c r="H1549" s="2">
        <v>1773.96</v>
      </c>
      <c r="I1549" s="2">
        <v>1773.96</v>
      </c>
      <c r="J1549" s="2" t="str">
        <f t="shared" si="48"/>
        <v>75-90</v>
      </c>
      <c r="K1549" s="17" t="str">
        <f t="shared" si="49"/>
        <v>12-15</v>
      </c>
    </row>
    <row r="1550" spans="1:11" x14ac:dyDescent="0.2">
      <c r="A1550" s="4">
        <v>44</v>
      </c>
      <c r="B1550" s="4">
        <v>13</v>
      </c>
      <c r="C1550" t="s">
        <v>8</v>
      </c>
      <c r="D1550" s="4">
        <v>0</v>
      </c>
      <c r="E1550" s="3">
        <v>0.82106259989086505</v>
      </c>
      <c r="F1550" s="4">
        <v>1</v>
      </c>
      <c r="G1550" s="2">
        <v>1077.8699999999999</v>
      </c>
      <c r="H1550" s="2">
        <v>1077.8699999999999</v>
      </c>
      <c r="I1550" s="2">
        <v>1077.8699999999999</v>
      </c>
      <c r="J1550" s="2" t="str">
        <f t="shared" si="48"/>
        <v>35-44</v>
      </c>
      <c r="K1550" s="17" t="str">
        <f t="shared" si="49"/>
        <v>12-15</v>
      </c>
    </row>
    <row r="1551" spans="1:11" x14ac:dyDescent="0.2">
      <c r="A1551" s="4">
        <v>47</v>
      </c>
      <c r="B1551" s="4">
        <v>13</v>
      </c>
      <c r="C1551" t="s">
        <v>8</v>
      </c>
      <c r="D1551" s="4">
        <v>0</v>
      </c>
      <c r="E1551" s="3">
        <v>0.83615059638395905</v>
      </c>
      <c r="F1551" s="4">
        <v>1</v>
      </c>
      <c r="G1551" s="2">
        <v>733.1</v>
      </c>
      <c r="H1551" s="2">
        <v>733.1</v>
      </c>
      <c r="I1551" s="2">
        <v>733.1</v>
      </c>
      <c r="J1551" s="2" t="str">
        <f t="shared" si="48"/>
        <v>45-54</v>
      </c>
      <c r="K1551" s="17" t="str">
        <f t="shared" si="49"/>
        <v>12-15</v>
      </c>
    </row>
    <row r="1552" spans="1:11" x14ac:dyDescent="0.2">
      <c r="A1552" s="4">
        <v>82</v>
      </c>
      <c r="B1552" s="4">
        <v>12</v>
      </c>
      <c r="C1552" t="s">
        <v>8</v>
      </c>
      <c r="D1552" s="4">
        <v>0</v>
      </c>
      <c r="E1552" s="3">
        <v>0.750788535457104</v>
      </c>
      <c r="F1552" s="4">
        <v>1</v>
      </c>
      <c r="G1552" s="2">
        <v>3019.3</v>
      </c>
      <c r="H1552" s="2">
        <v>3019.3</v>
      </c>
      <c r="I1552" s="2">
        <v>3019.3</v>
      </c>
      <c r="J1552" s="2" t="str">
        <f t="shared" si="48"/>
        <v>75-90</v>
      </c>
      <c r="K1552" s="17" t="str">
        <f t="shared" si="49"/>
        <v>12-15</v>
      </c>
    </row>
    <row r="1553" spans="1:11" x14ac:dyDescent="0.2">
      <c r="A1553" s="4">
        <v>52</v>
      </c>
      <c r="B1553" s="4">
        <v>11</v>
      </c>
      <c r="C1553" t="s">
        <v>8</v>
      </c>
      <c r="D1553" s="4">
        <v>0</v>
      </c>
      <c r="E1553" s="3">
        <v>0.83640336466487497</v>
      </c>
      <c r="F1553" s="4">
        <v>1</v>
      </c>
      <c r="G1553" s="2">
        <v>435.98</v>
      </c>
      <c r="H1553" s="2">
        <v>435.98</v>
      </c>
      <c r="I1553" s="2">
        <v>435.98</v>
      </c>
      <c r="J1553" s="2" t="str">
        <f t="shared" si="48"/>
        <v>45-54</v>
      </c>
      <c r="K1553" s="17" t="str">
        <f t="shared" si="49"/>
        <v>9-11</v>
      </c>
    </row>
    <row r="1554" spans="1:11" x14ac:dyDescent="0.2">
      <c r="A1554" s="4">
        <v>49</v>
      </c>
      <c r="B1554" s="4">
        <v>14</v>
      </c>
      <c r="C1554" t="s">
        <v>10</v>
      </c>
      <c r="D1554" s="4">
        <v>0</v>
      </c>
      <c r="E1554" s="3">
        <v>0.92362566944211699</v>
      </c>
      <c r="F1554" s="4">
        <v>2</v>
      </c>
      <c r="G1554" s="2">
        <v>2314.08</v>
      </c>
      <c r="H1554" s="2">
        <v>1157.04</v>
      </c>
      <c r="I1554" s="2">
        <v>2314.08</v>
      </c>
      <c r="J1554" s="2" t="str">
        <f t="shared" si="48"/>
        <v>45-54</v>
      </c>
      <c r="K1554" s="17" t="str">
        <f t="shared" si="49"/>
        <v>12-15</v>
      </c>
    </row>
    <row r="1555" spans="1:11" x14ac:dyDescent="0.2">
      <c r="A1555" s="4">
        <v>29</v>
      </c>
      <c r="B1555" s="4">
        <v>4</v>
      </c>
      <c r="C1555" t="s">
        <v>16</v>
      </c>
      <c r="D1555" s="4">
        <v>1</v>
      </c>
      <c r="E1555" s="3">
        <v>0.66332254908047605</v>
      </c>
      <c r="F1555" s="4">
        <v>2</v>
      </c>
      <c r="G1555" s="2">
        <v>623.89</v>
      </c>
      <c r="H1555" s="2">
        <v>311.95</v>
      </c>
      <c r="I1555" s="2">
        <v>623.89</v>
      </c>
      <c r="J1555" s="2" t="str">
        <f t="shared" si="48"/>
        <v>25-34</v>
      </c>
      <c r="K1555" s="17" t="str">
        <f t="shared" si="49"/>
        <v>3-5</v>
      </c>
    </row>
    <row r="1556" spans="1:11" x14ac:dyDescent="0.2">
      <c r="A1556" s="4">
        <v>39</v>
      </c>
      <c r="B1556" s="4">
        <v>9</v>
      </c>
      <c r="C1556" t="s">
        <v>16</v>
      </c>
      <c r="D1556" s="4">
        <v>0</v>
      </c>
      <c r="E1556" s="3">
        <v>0.85339088691398501</v>
      </c>
      <c r="F1556" s="4">
        <v>1</v>
      </c>
      <c r="G1556" s="2">
        <v>558.75</v>
      </c>
      <c r="H1556" s="2">
        <v>558.75</v>
      </c>
      <c r="I1556" s="2">
        <v>558.75</v>
      </c>
      <c r="J1556" s="2" t="str">
        <f t="shared" si="48"/>
        <v>35-44</v>
      </c>
      <c r="K1556" s="17" t="str">
        <f t="shared" si="49"/>
        <v>9-11</v>
      </c>
    </row>
    <row r="1557" spans="1:11" x14ac:dyDescent="0.2">
      <c r="A1557" s="4">
        <v>64</v>
      </c>
      <c r="B1557" s="4">
        <v>7</v>
      </c>
      <c r="C1557" t="s">
        <v>8</v>
      </c>
      <c r="D1557" s="4">
        <v>0</v>
      </c>
      <c r="E1557" s="3">
        <v>0.80787501868326195</v>
      </c>
      <c r="F1557" s="4">
        <v>2</v>
      </c>
      <c r="G1557" s="2">
        <v>442.87</v>
      </c>
      <c r="H1557" s="2">
        <v>221.43</v>
      </c>
      <c r="I1557" s="2">
        <v>442.87</v>
      </c>
      <c r="J1557" s="2" t="str">
        <f t="shared" si="48"/>
        <v>55-64</v>
      </c>
      <c r="K1557" s="17" t="str">
        <f t="shared" si="49"/>
        <v>6-8</v>
      </c>
    </row>
    <row r="1558" spans="1:11" x14ac:dyDescent="0.2">
      <c r="A1558" s="4">
        <v>66</v>
      </c>
      <c r="B1558" s="4">
        <v>4</v>
      </c>
      <c r="C1558" t="s">
        <v>8</v>
      </c>
      <c r="D1558" s="4">
        <v>1</v>
      </c>
      <c r="E1558" s="3">
        <v>0.79854545067064497</v>
      </c>
      <c r="F1558" s="4">
        <v>1</v>
      </c>
      <c r="G1558" s="2">
        <v>731.6</v>
      </c>
      <c r="H1558" s="2">
        <v>731.6</v>
      </c>
      <c r="I1558" s="2">
        <v>731.6</v>
      </c>
      <c r="J1558" s="2" t="str">
        <f t="shared" si="48"/>
        <v>65-74</v>
      </c>
      <c r="K1558" s="17" t="str">
        <f t="shared" si="49"/>
        <v>3-5</v>
      </c>
    </row>
    <row r="1559" spans="1:11" x14ac:dyDescent="0.2">
      <c r="A1559" s="4">
        <v>82</v>
      </c>
      <c r="B1559" s="4">
        <v>11</v>
      </c>
      <c r="C1559" t="s">
        <v>8</v>
      </c>
      <c r="D1559" s="4">
        <v>0</v>
      </c>
      <c r="E1559" s="3">
        <v>0.54608348372857995</v>
      </c>
      <c r="F1559" s="4">
        <v>1</v>
      </c>
      <c r="G1559" s="2">
        <v>1579.44</v>
      </c>
      <c r="H1559" s="2">
        <v>1579.44</v>
      </c>
      <c r="I1559" s="2">
        <v>1579.44</v>
      </c>
      <c r="J1559" s="2" t="str">
        <f t="shared" si="48"/>
        <v>75-90</v>
      </c>
      <c r="K1559" s="17" t="str">
        <f t="shared" si="49"/>
        <v>9-11</v>
      </c>
    </row>
    <row r="1560" spans="1:11" x14ac:dyDescent="0.2">
      <c r="A1560" s="4">
        <v>55</v>
      </c>
      <c r="B1560" s="4">
        <v>8</v>
      </c>
      <c r="C1560" t="s">
        <v>16</v>
      </c>
      <c r="D1560" s="4">
        <v>3</v>
      </c>
      <c r="E1560" s="3">
        <v>0.55499760597012904</v>
      </c>
      <c r="F1560" s="4">
        <v>1</v>
      </c>
      <c r="G1560" s="2">
        <v>1259.51</v>
      </c>
      <c r="H1560" s="2">
        <v>1259.51</v>
      </c>
      <c r="I1560" s="2">
        <v>1259.51</v>
      </c>
      <c r="J1560" s="2" t="str">
        <f t="shared" si="48"/>
        <v>55-64</v>
      </c>
      <c r="K1560" s="17" t="str">
        <f t="shared" si="49"/>
        <v>6-8</v>
      </c>
    </row>
    <row r="1561" spans="1:11" x14ac:dyDescent="0.2">
      <c r="A1561" s="4">
        <v>52</v>
      </c>
      <c r="B1561" s="4">
        <v>6</v>
      </c>
      <c r="C1561" t="s">
        <v>8</v>
      </c>
      <c r="D1561" s="4">
        <v>0</v>
      </c>
      <c r="E1561" s="3">
        <v>0.85842333640903201</v>
      </c>
      <c r="F1561" s="4">
        <v>2</v>
      </c>
      <c r="G1561" s="2">
        <v>558.04999999999995</v>
      </c>
      <c r="H1561" s="2">
        <v>279.02999999999997</v>
      </c>
      <c r="I1561" s="2">
        <v>558.04999999999995</v>
      </c>
      <c r="J1561" s="2" t="str">
        <f t="shared" si="48"/>
        <v>45-54</v>
      </c>
      <c r="K1561" s="17" t="str">
        <f t="shared" si="49"/>
        <v>6-8</v>
      </c>
    </row>
    <row r="1562" spans="1:11" x14ac:dyDescent="0.2">
      <c r="A1562" s="4">
        <v>51</v>
      </c>
      <c r="B1562" s="4">
        <v>15</v>
      </c>
      <c r="C1562" t="s">
        <v>10</v>
      </c>
      <c r="D1562" s="4">
        <v>0</v>
      </c>
      <c r="E1562" s="3">
        <v>0.89610927237663396</v>
      </c>
      <c r="F1562" s="4">
        <v>1</v>
      </c>
      <c r="G1562" s="2">
        <v>882.25</v>
      </c>
      <c r="H1562" s="2">
        <v>882.25</v>
      </c>
      <c r="I1562" s="2">
        <v>882.25</v>
      </c>
      <c r="J1562" s="2" t="str">
        <f t="shared" si="48"/>
        <v>45-54</v>
      </c>
      <c r="K1562" s="17" t="str">
        <f t="shared" si="49"/>
        <v>12-15</v>
      </c>
    </row>
    <row r="1563" spans="1:11" x14ac:dyDescent="0.2">
      <c r="A1563" s="4">
        <v>76</v>
      </c>
      <c r="B1563" s="4">
        <v>10</v>
      </c>
      <c r="C1563" t="s">
        <v>8</v>
      </c>
      <c r="D1563" s="4">
        <v>0</v>
      </c>
      <c r="E1563" s="3">
        <v>0.762499905307777</v>
      </c>
      <c r="F1563" s="4">
        <v>1</v>
      </c>
      <c r="G1563" s="2">
        <v>907.25</v>
      </c>
      <c r="H1563" s="2">
        <v>907.25</v>
      </c>
      <c r="I1563" s="2">
        <v>907.25</v>
      </c>
      <c r="J1563" s="2" t="str">
        <f t="shared" si="48"/>
        <v>75-90</v>
      </c>
      <c r="K1563" s="17" t="str">
        <f t="shared" si="49"/>
        <v>9-11</v>
      </c>
    </row>
    <row r="1564" spans="1:11" x14ac:dyDescent="0.2">
      <c r="A1564" s="4">
        <v>78</v>
      </c>
      <c r="B1564" s="4">
        <v>4</v>
      </c>
      <c r="C1564" t="s">
        <v>10</v>
      </c>
      <c r="D1564" s="4">
        <v>0</v>
      </c>
      <c r="E1564" s="3">
        <v>0.71059073053765998</v>
      </c>
      <c r="F1564" s="4">
        <v>1</v>
      </c>
      <c r="G1564" s="2">
        <v>686.11</v>
      </c>
      <c r="H1564" s="2">
        <v>686.11</v>
      </c>
      <c r="I1564" s="2">
        <v>686.11</v>
      </c>
      <c r="J1564" s="2" t="str">
        <f t="shared" si="48"/>
        <v>75-90</v>
      </c>
      <c r="K1564" s="17" t="str">
        <f t="shared" si="49"/>
        <v>3-5</v>
      </c>
    </row>
    <row r="1565" spans="1:11" x14ac:dyDescent="0.2">
      <c r="A1565" s="4">
        <v>86</v>
      </c>
      <c r="B1565" s="4">
        <v>15</v>
      </c>
      <c r="C1565" t="s">
        <v>8</v>
      </c>
      <c r="D1565" s="4">
        <v>0</v>
      </c>
      <c r="E1565" s="3">
        <v>0.66559680539649002</v>
      </c>
      <c r="F1565" s="4">
        <v>2</v>
      </c>
      <c r="G1565" s="2">
        <v>1145.48</v>
      </c>
      <c r="H1565" s="2">
        <v>572.74</v>
      </c>
      <c r="I1565" s="2">
        <v>1145.48</v>
      </c>
      <c r="J1565" s="2" t="str">
        <f t="shared" si="48"/>
        <v>75-90</v>
      </c>
      <c r="K1565" s="17" t="str">
        <f t="shared" si="49"/>
        <v>12-15</v>
      </c>
    </row>
    <row r="1566" spans="1:11" x14ac:dyDescent="0.2">
      <c r="A1566" s="4">
        <v>42</v>
      </c>
      <c r="B1566" s="4">
        <v>13</v>
      </c>
      <c r="C1566" t="s">
        <v>16</v>
      </c>
      <c r="D1566" s="4">
        <v>0</v>
      </c>
      <c r="E1566" s="3">
        <v>0.66373936471063599</v>
      </c>
      <c r="F1566" s="4">
        <v>1</v>
      </c>
      <c r="G1566" s="2">
        <v>280.95999999999998</v>
      </c>
      <c r="H1566" s="2">
        <v>280.95999999999998</v>
      </c>
      <c r="I1566" s="2">
        <v>280.95999999999998</v>
      </c>
      <c r="J1566" s="2" t="str">
        <f t="shared" si="48"/>
        <v>35-44</v>
      </c>
      <c r="K1566" s="17" t="str">
        <f t="shared" si="49"/>
        <v>12-15</v>
      </c>
    </row>
    <row r="1567" spans="1:11" x14ac:dyDescent="0.2">
      <c r="A1567" s="4">
        <v>86</v>
      </c>
      <c r="B1567" s="4">
        <v>1</v>
      </c>
      <c r="C1567" t="s">
        <v>16</v>
      </c>
      <c r="D1567" s="4">
        <v>1</v>
      </c>
      <c r="E1567" s="3">
        <v>0.85322701069526397</v>
      </c>
      <c r="F1567" s="4">
        <v>1</v>
      </c>
      <c r="G1567" s="2">
        <v>2557.9699999999998</v>
      </c>
      <c r="H1567" s="2">
        <v>2557.9699999999998</v>
      </c>
      <c r="I1567" s="2">
        <v>2557.9699999999998</v>
      </c>
      <c r="J1567" s="2" t="str">
        <f t="shared" si="48"/>
        <v>75-90</v>
      </c>
      <c r="K1567" s="17" t="str">
        <f t="shared" si="49"/>
        <v>0-2</v>
      </c>
    </row>
    <row r="1568" spans="1:11" x14ac:dyDescent="0.2">
      <c r="A1568" s="4">
        <v>40</v>
      </c>
      <c r="B1568" s="4">
        <v>10</v>
      </c>
      <c r="C1568" t="s">
        <v>8</v>
      </c>
      <c r="D1568" s="4">
        <v>0</v>
      </c>
      <c r="E1568" s="3">
        <v>0.53867989790160198</v>
      </c>
      <c r="F1568" s="4">
        <v>2</v>
      </c>
      <c r="G1568" s="2">
        <v>302.51</v>
      </c>
      <c r="H1568" s="2">
        <v>151.26</v>
      </c>
      <c r="I1568" s="2">
        <v>302.51</v>
      </c>
      <c r="J1568" s="2" t="str">
        <f t="shared" si="48"/>
        <v>35-44</v>
      </c>
      <c r="K1568" s="17" t="str">
        <f t="shared" si="49"/>
        <v>9-11</v>
      </c>
    </row>
    <row r="1569" spans="1:11" x14ac:dyDescent="0.2">
      <c r="A1569" s="4">
        <v>82</v>
      </c>
      <c r="B1569" s="4">
        <v>5</v>
      </c>
      <c r="C1569" t="s">
        <v>16</v>
      </c>
      <c r="D1569" s="4">
        <v>1</v>
      </c>
      <c r="E1569" s="3">
        <v>0.57698656315915298</v>
      </c>
      <c r="F1569" s="4">
        <v>1</v>
      </c>
      <c r="G1569" s="2">
        <v>1815.2</v>
      </c>
      <c r="H1569" s="2">
        <v>1815.2</v>
      </c>
      <c r="I1569" s="2">
        <v>1815.2</v>
      </c>
      <c r="J1569" s="2" t="str">
        <f t="shared" si="48"/>
        <v>75-90</v>
      </c>
      <c r="K1569" s="17" t="str">
        <f t="shared" si="49"/>
        <v>3-5</v>
      </c>
    </row>
    <row r="1570" spans="1:11" x14ac:dyDescent="0.2">
      <c r="A1570" s="4">
        <v>83</v>
      </c>
      <c r="B1570" s="4">
        <v>14</v>
      </c>
      <c r="C1570" t="s">
        <v>8</v>
      </c>
      <c r="D1570" s="4">
        <v>0</v>
      </c>
      <c r="E1570" s="3">
        <v>0.97836825565900698</v>
      </c>
      <c r="F1570" s="4">
        <v>1</v>
      </c>
      <c r="G1570" s="2">
        <v>1829.96</v>
      </c>
      <c r="H1570" s="2">
        <v>1829.96</v>
      </c>
      <c r="I1570" s="2">
        <v>1829.96</v>
      </c>
      <c r="J1570" s="2" t="str">
        <f t="shared" si="48"/>
        <v>75-90</v>
      </c>
      <c r="K1570" s="17" t="str">
        <f t="shared" si="49"/>
        <v>12-15</v>
      </c>
    </row>
    <row r="1571" spans="1:11" x14ac:dyDescent="0.2">
      <c r="A1571" s="4">
        <v>90</v>
      </c>
      <c r="B1571" s="4">
        <v>7</v>
      </c>
      <c r="C1571" t="s">
        <v>8</v>
      </c>
      <c r="D1571" s="4">
        <v>0</v>
      </c>
      <c r="E1571" s="3">
        <v>0.673424443579279</v>
      </c>
      <c r="F1571" s="4">
        <v>1</v>
      </c>
      <c r="G1571" s="2">
        <v>773.15</v>
      </c>
      <c r="H1571" s="2">
        <v>773.15</v>
      </c>
      <c r="I1571" s="2">
        <v>773.15</v>
      </c>
      <c r="J1571" s="2" t="str">
        <f t="shared" si="48"/>
        <v>75-90</v>
      </c>
      <c r="K1571" s="17" t="str">
        <f t="shared" si="49"/>
        <v>6-8</v>
      </c>
    </row>
    <row r="1572" spans="1:11" x14ac:dyDescent="0.2">
      <c r="A1572" s="4">
        <v>66</v>
      </c>
      <c r="B1572" s="4">
        <v>7</v>
      </c>
      <c r="C1572" t="s">
        <v>16</v>
      </c>
      <c r="D1572" s="4">
        <v>0</v>
      </c>
      <c r="E1572" s="3">
        <v>0.813265352975577</v>
      </c>
      <c r="F1572" s="4">
        <v>1</v>
      </c>
      <c r="G1572" s="2">
        <v>756.7</v>
      </c>
      <c r="H1572" s="2">
        <v>756.7</v>
      </c>
      <c r="I1572" s="2">
        <v>756.7</v>
      </c>
      <c r="J1572" s="2" t="str">
        <f t="shared" si="48"/>
        <v>65-74</v>
      </c>
      <c r="K1572" s="17" t="str">
        <f t="shared" si="49"/>
        <v>6-8</v>
      </c>
    </row>
    <row r="1573" spans="1:11" x14ac:dyDescent="0.2">
      <c r="A1573" s="4">
        <v>71</v>
      </c>
      <c r="B1573" s="4">
        <v>0</v>
      </c>
      <c r="C1573" t="s">
        <v>8</v>
      </c>
      <c r="D1573" s="4">
        <v>0</v>
      </c>
      <c r="E1573" s="3">
        <v>0.96266923297662299</v>
      </c>
      <c r="F1573" s="4">
        <v>2</v>
      </c>
      <c r="G1573" s="2">
        <v>603.03</v>
      </c>
      <c r="H1573" s="2">
        <v>301.51</v>
      </c>
      <c r="I1573" s="2">
        <v>603.03</v>
      </c>
      <c r="J1573" s="2" t="str">
        <f t="shared" si="48"/>
        <v>65-74</v>
      </c>
      <c r="K1573" s="17" t="str">
        <f t="shared" si="49"/>
        <v>0-2</v>
      </c>
    </row>
    <row r="1574" spans="1:11" x14ac:dyDescent="0.2">
      <c r="A1574" s="4">
        <v>51</v>
      </c>
      <c r="B1574" s="4">
        <v>15</v>
      </c>
      <c r="C1574" t="s">
        <v>16</v>
      </c>
      <c r="D1574" s="4">
        <v>0</v>
      </c>
      <c r="E1574" s="3">
        <v>0.54884801106527403</v>
      </c>
      <c r="F1574" s="4">
        <v>1</v>
      </c>
      <c r="G1574" s="2">
        <v>1335.12</v>
      </c>
      <c r="H1574" s="2">
        <v>1335.12</v>
      </c>
      <c r="I1574" s="2">
        <v>1335.12</v>
      </c>
      <c r="J1574" s="2" t="str">
        <f t="shared" si="48"/>
        <v>45-54</v>
      </c>
      <c r="K1574" s="17" t="str">
        <f t="shared" si="49"/>
        <v>12-15</v>
      </c>
    </row>
    <row r="1575" spans="1:11" x14ac:dyDescent="0.2">
      <c r="A1575" s="4">
        <v>35</v>
      </c>
      <c r="B1575" s="4">
        <v>3</v>
      </c>
      <c r="C1575" t="s">
        <v>10</v>
      </c>
      <c r="D1575" s="4">
        <v>2</v>
      </c>
      <c r="E1575" s="3">
        <v>0.98681785480584905</v>
      </c>
      <c r="F1575" s="4">
        <v>1</v>
      </c>
      <c r="G1575" s="2">
        <v>1144.92</v>
      </c>
      <c r="H1575" s="2">
        <v>1144.92</v>
      </c>
      <c r="I1575" s="2">
        <v>1144.92</v>
      </c>
      <c r="J1575" s="2" t="str">
        <f t="shared" si="48"/>
        <v>35-44</v>
      </c>
      <c r="K1575" s="17" t="str">
        <f t="shared" si="49"/>
        <v>3-5</v>
      </c>
    </row>
    <row r="1576" spans="1:11" x14ac:dyDescent="0.2">
      <c r="A1576" s="4">
        <v>48</v>
      </c>
      <c r="B1576" s="4">
        <v>9</v>
      </c>
      <c r="C1576" t="s">
        <v>8</v>
      </c>
      <c r="D1576" s="4">
        <v>1</v>
      </c>
      <c r="E1576" s="3">
        <v>0.56997989560477402</v>
      </c>
      <c r="F1576" s="4">
        <v>1</v>
      </c>
      <c r="G1576" s="2">
        <v>1659.34</v>
      </c>
      <c r="H1576" s="2">
        <v>1659.34</v>
      </c>
      <c r="I1576" s="2">
        <v>1659.34</v>
      </c>
      <c r="J1576" s="2" t="str">
        <f t="shared" si="48"/>
        <v>45-54</v>
      </c>
      <c r="K1576" s="17" t="str">
        <f t="shared" si="49"/>
        <v>9-11</v>
      </c>
    </row>
    <row r="1577" spans="1:11" x14ac:dyDescent="0.2">
      <c r="A1577" s="4">
        <v>86</v>
      </c>
      <c r="B1577" s="4">
        <v>13</v>
      </c>
      <c r="C1577" t="s">
        <v>10</v>
      </c>
      <c r="D1577" s="4">
        <v>0</v>
      </c>
      <c r="E1577" s="3">
        <v>0.81756507523823496</v>
      </c>
      <c r="F1577" s="4">
        <v>1</v>
      </c>
      <c r="G1577" s="2">
        <v>2300.75</v>
      </c>
      <c r="H1577" s="2">
        <v>2300.75</v>
      </c>
      <c r="I1577" s="2">
        <v>2300.75</v>
      </c>
      <c r="J1577" s="2" t="str">
        <f t="shared" si="48"/>
        <v>75-90</v>
      </c>
      <c r="K1577" s="17" t="str">
        <f t="shared" si="49"/>
        <v>12-15</v>
      </c>
    </row>
    <row r="1578" spans="1:11" x14ac:dyDescent="0.2">
      <c r="A1578" s="4">
        <v>22</v>
      </c>
      <c r="B1578" s="4">
        <v>8</v>
      </c>
      <c r="C1578" t="s">
        <v>16</v>
      </c>
      <c r="D1578" s="4">
        <v>0</v>
      </c>
      <c r="E1578" s="3">
        <v>0.91544290084857505</v>
      </c>
      <c r="F1578" s="4">
        <v>1</v>
      </c>
      <c r="G1578" s="2">
        <v>794.74</v>
      </c>
      <c r="H1578" s="2">
        <v>794.74</v>
      </c>
      <c r="I1578" s="2">
        <v>794.74</v>
      </c>
      <c r="J1578" s="2" t="str">
        <f t="shared" si="48"/>
        <v>18-24</v>
      </c>
      <c r="K1578" s="17" t="str">
        <f t="shared" si="49"/>
        <v>6-8</v>
      </c>
    </row>
    <row r="1579" spans="1:11" x14ac:dyDescent="0.2">
      <c r="A1579" s="4">
        <v>63</v>
      </c>
      <c r="B1579" s="4">
        <v>13</v>
      </c>
      <c r="C1579" t="s">
        <v>8</v>
      </c>
      <c r="D1579" s="4">
        <v>0</v>
      </c>
      <c r="E1579" s="3">
        <v>0.64111110207159105</v>
      </c>
      <c r="F1579" s="4">
        <v>1</v>
      </c>
      <c r="G1579" s="2">
        <v>920.57</v>
      </c>
      <c r="H1579" s="2">
        <v>920.57</v>
      </c>
      <c r="I1579" s="2">
        <v>920.57</v>
      </c>
      <c r="J1579" s="2" t="str">
        <f t="shared" si="48"/>
        <v>55-64</v>
      </c>
      <c r="K1579" s="17" t="str">
        <f t="shared" si="49"/>
        <v>12-15</v>
      </c>
    </row>
    <row r="1580" spans="1:11" x14ac:dyDescent="0.2">
      <c r="A1580" s="4">
        <v>76</v>
      </c>
      <c r="B1580" s="4">
        <v>14</v>
      </c>
      <c r="C1580" t="s">
        <v>16</v>
      </c>
      <c r="D1580" s="4">
        <v>1</v>
      </c>
      <c r="E1580" s="3">
        <v>0.67065460840240099</v>
      </c>
      <c r="F1580" s="4">
        <v>1</v>
      </c>
      <c r="G1580" s="2">
        <v>4747.8900000000003</v>
      </c>
      <c r="H1580" s="2">
        <v>4747.8900000000003</v>
      </c>
      <c r="I1580" s="2">
        <v>4747.8900000000003</v>
      </c>
      <c r="J1580" s="2" t="str">
        <f t="shared" si="48"/>
        <v>75-90</v>
      </c>
      <c r="K1580" s="17" t="str">
        <f t="shared" si="49"/>
        <v>12-15</v>
      </c>
    </row>
    <row r="1581" spans="1:11" x14ac:dyDescent="0.2">
      <c r="A1581" s="4">
        <v>82</v>
      </c>
      <c r="B1581" s="4">
        <v>1</v>
      </c>
      <c r="C1581" t="s">
        <v>10</v>
      </c>
      <c r="D1581" s="4">
        <v>0</v>
      </c>
      <c r="E1581" s="3">
        <v>0.64263519982341699</v>
      </c>
      <c r="F1581" s="4">
        <v>1</v>
      </c>
      <c r="G1581" s="2">
        <v>1103.07</v>
      </c>
      <c r="H1581" s="2">
        <v>1103.07</v>
      </c>
      <c r="I1581" s="2">
        <v>1103.07</v>
      </c>
      <c r="J1581" s="2" t="str">
        <f t="shared" si="48"/>
        <v>75-90</v>
      </c>
      <c r="K1581" s="17" t="str">
        <f t="shared" si="49"/>
        <v>0-2</v>
      </c>
    </row>
    <row r="1582" spans="1:11" x14ac:dyDescent="0.2">
      <c r="A1582" s="4">
        <v>89</v>
      </c>
      <c r="B1582" s="4">
        <v>4</v>
      </c>
      <c r="C1582" t="s">
        <v>8</v>
      </c>
      <c r="D1582" s="4">
        <v>0</v>
      </c>
      <c r="E1582" s="3">
        <v>0.55146735289599702</v>
      </c>
      <c r="F1582" s="4">
        <v>1</v>
      </c>
      <c r="G1582" s="2">
        <v>668.82</v>
      </c>
      <c r="H1582" s="2">
        <v>668.82</v>
      </c>
      <c r="I1582" s="2">
        <v>668.82</v>
      </c>
      <c r="J1582" s="2" t="str">
        <f t="shared" si="48"/>
        <v>75-90</v>
      </c>
      <c r="K1582" s="17" t="str">
        <f t="shared" si="49"/>
        <v>3-5</v>
      </c>
    </row>
    <row r="1583" spans="1:11" x14ac:dyDescent="0.2">
      <c r="A1583" s="4">
        <v>57</v>
      </c>
      <c r="B1583" s="4">
        <v>14</v>
      </c>
      <c r="C1583" t="s">
        <v>10</v>
      </c>
      <c r="D1583" s="4">
        <v>3</v>
      </c>
      <c r="E1583" s="3">
        <v>0.99120365397539001</v>
      </c>
      <c r="F1583" s="4">
        <v>2</v>
      </c>
      <c r="G1583" s="2">
        <v>1999.83</v>
      </c>
      <c r="H1583" s="2">
        <v>999.92</v>
      </c>
      <c r="I1583" s="2">
        <v>1999.83</v>
      </c>
      <c r="J1583" s="2" t="str">
        <f t="shared" si="48"/>
        <v>55-64</v>
      </c>
      <c r="K1583" s="17" t="str">
        <f t="shared" si="49"/>
        <v>12-15</v>
      </c>
    </row>
    <row r="1584" spans="1:11" x14ac:dyDescent="0.2">
      <c r="A1584" s="4">
        <v>60</v>
      </c>
      <c r="B1584" s="4">
        <v>11</v>
      </c>
      <c r="C1584" t="s">
        <v>8</v>
      </c>
      <c r="D1584" s="4">
        <v>0</v>
      </c>
      <c r="E1584" s="3">
        <v>0.69291622610762704</v>
      </c>
      <c r="F1584" s="4">
        <v>1</v>
      </c>
      <c r="G1584" s="2">
        <v>594.11</v>
      </c>
      <c r="H1584" s="2">
        <v>594.11</v>
      </c>
      <c r="I1584" s="2">
        <v>594.11</v>
      </c>
      <c r="J1584" s="2" t="str">
        <f t="shared" si="48"/>
        <v>55-64</v>
      </c>
      <c r="K1584" s="17" t="str">
        <f t="shared" si="49"/>
        <v>9-11</v>
      </c>
    </row>
    <row r="1585" spans="1:11" x14ac:dyDescent="0.2">
      <c r="A1585" s="4">
        <v>24</v>
      </c>
      <c r="B1585" s="4">
        <v>9</v>
      </c>
      <c r="C1585" t="s">
        <v>10</v>
      </c>
      <c r="D1585" s="4">
        <v>0</v>
      </c>
      <c r="E1585" s="3">
        <v>0.84405791293829702</v>
      </c>
      <c r="F1585" s="4">
        <v>1</v>
      </c>
      <c r="G1585" s="2">
        <v>367.89</v>
      </c>
      <c r="H1585" s="2">
        <v>367.89</v>
      </c>
      <c r="I1585" s="2">
        <v>367.89</v>
      </c>
      <c r="J1585" s="2" t="str">
        <f t="shared" si="48"/>
        <v>18-24</v>
      </c>
      <c r="K1585" s="17" t="str">
        <f t="shared" si="49"/>
        <v>9-11</v>
      </c>
    </row>
    <row r="1586" spans="1:11" x14ac:dyDescent="0.2">
      <c r="A1586" s="4">
        <v>52</v>
      </c>
      <c r="B1586" s="4">
        <v>8</v>
      </c>
      <c r="C1586" t="s">
        <v>10</v>
      </c>
      <c r="D1586" s="4">
        <v>1</v>
      </c>
      <c r="E1586" s="3">
        <v>0.89052851533051602</v>
      </c>
      <c r="F1586" s="4">
        <v>2</v>
      </c>
      <c r="G1586" s="2">
        <v>2123.8200000000002</v>
      </c>
      <c r="H1586" s="2">
        <v>1061.9100000000001</v>
      </c>
      <c r="I1586" s="2">
        <v>2123.8200000000002</v>
      </c>
      <c r="J1586" s="2" t="str">
        <f t="shared" si="48"/>
        <v>45-54</v>
      </c>
      <c r="K1586" s="17" t="str">
        <f t="shared" si="49"/>
        <v>6-8</v>
      </c>
    </row>
    <row r="1587" spans="1:11" x14ac:dyDescent="0.2">
      <c r="A1587" s="4">
        <v>24</v>
      </c>
      <c r="B1587" s="4">
        <v>12</v>
      </c>
      <c r="C1587" t="s">
        <v>8</v>
      </c>
      <c r="D1587" s="4">
        <v>0</v>
      </c>
      <c r="E1587" s="3">
        <v>0.56853733432944897</v>
      </c>
      <c r="F1587" s="4">
        <v>2</v>
      </c>
      <c r="G1587" s="2">
        <v>462.38</v>
      </c>
      <c r="H1587" s="2">
        <v>231.19</v>
      </c>
      <c r="I1587" s="2">
        <v>462.38</v>
      </c>
      <c r="J1587" s="2" t="str">
        <f t="shared" si="48"/>
        <v>18-24</v>
      </c>
      <c r="K1587" s="17" t="str">
        <f t="shared" si="49"/>
        <v>12-15</v>
      </c>
    </row>
    <row r="1588" spans="1:11" x14ac:dyDescent="0.2">
      <c r="A1588" s="4">
        <v>81</v>
      </c>
      <c r="B1588" s="4">
        <v>13</v>
      </c>
      <c r="C1588" t="s">
        <v>8</v>
      </c>
      <c r="D1588" s="4">
        <v>0</v>
      </c>
      <c r="E1588" s="3">
        <v>0.87868200719822198</v>
      </c>
      <c r="F1588" s="4">
        <v>1</v>
      </c>
      <c r="G1588" s="2">
        <v>770.93</v>
      </c>
      <c r="H1588" s="2">
        <v>770.93</v>
      </c>
      <c r="I1588" s="2">
        <v>770.93</v>
      </c>
      <c r="J1588" s="2" t="str">
        <f t="shared" si="48"/>
        <v>75-90</v>
      </c>
      <c r="K1588" s="17" t="str">
        <f t="shared" si="49"/>
        <v>12-15</v>
      </c>
    </row>
    <row r="1589" spans="1:11" x14ac:dyDescent="0.2">
      <c r="A1589" s="4">
        <v>74</v>
      </c>
      <c r="B1589" s="4">
        <v>5</v>
      </c>
      <c r="C1589" t="s">
        <v>16</v>
      </c>
      <c r="D1589" s="4">
        <v>0</v>
      </c>
      <c r="E1589" s="3">
        <v>0.85669950139708795</v>
      </c>
      <c r="F1589" s="4">
        <v>1</v>
      </c>
      <c r="G1589" s="2">
        <v>1955.01</v>
      </c>
      <c r="H1589" s="2">
        <v>1955.01</v>
      </c>
      <c r="I1589" s="2">
        <v>1955.01</v>
      </c>
      <c r="J1589" s="2" t="str">
        <f t="shared" si="48"/>
        <v>65-74</v>
      </c>
      <c r="K1589" s="17" t="str">
        <f t="shared" si="49"/>
        <v>3-5</v>
      </c>
    </row>
    <row r="1590" spans="1:11" x14ac:dyDescent="0.2">
      <c r="A1590" s="4">
        <v>40</v>
      </c>
      <c r="B1590" s="4">
        <v>10</v>
      </c>
      <c r="C1590" t="s">
        <v>8</v>
      </c>
      <c r="D1590" s="4">
        <v>1</v>
      </c>
      <c r="E1590" s="3">
        <v>0.61461366072762802</v>
      </c>
      <c r="F1590" s="4">
        <v>1</v>
      </c>
      <c r="G1590" s="2">
        <v>969.4</v>
      </c>
      <c r="H1590" s="2">
        <v>969.4</v>
      </c>
      <c r="I1590" s="2">
        <v>969.4</v>
      </c>
      <c r="J1590" s="2" t="str">
        <f t="shared" si="48"/>
        <v>35-44</v>
      </c>
      <c r="K1590" s="17" t="str">
        <f t="shared" si="49"/>
        <v>9-11</v>
      </c>
    </row>
    <row r="1591" spans="1:11" x14ac:dyDescent="0.2">
      <c r="A1591" s="4">
        <v>72</v>
      </c>
      <c r="B1591" s="4">
        <v>9</v>
      </c>
      <c r="C1591" t="s">
        <v>8</v>
      </c>
      <c r="D1591" s="4">
        <v>1</v>
      </c>
      <c r="E1591" s="3">
        <v>0.55517961399164095</v>
      </c>
      <c r="F1591" s="4">
        <v>1</v>
      </c>
      <c r="G1591" s="2">
        <v>2330.8000000000002</v>
      </c>
      <c r="H1591" s="2">
        <v>2330.8000000000002</v>
      </c>
      <c r="I1591" s="2">
        <v>2330.8000000000002</v>
      </c>
      <c r="J1591" s="2" t="str">
        <f t="shared" si="48"/>
        <v>65-74</v>
      </c>
      <c r="K1591" s="17" t="str">
        <f t="shared" si="49"/>
        <v>9-11</v>
      </c>
    </row>
    <row r="1592" spans="1:11" x14ac:dyDescent="0.2">
      <c r="A1592" s="4">
        <v>51</v>
      </c>
      <c r="B1592" s="4">
        <v>7</v>
      </c>
      <c r="C1592" t="s">
        <v>8</v>
      </c>
      <c r="D1592" s="4">
        <v>1</v>
      </c>
      <c r="E1592" s="3">
        <v>0.604518532170914</v>
      </c>
      <c r="F1592" s="4">
        <v>1</v>
      </c>
      <c r="G1592" s="2">
        <v>1490.14</v>
      </c>
      <c r="H1592" s="2">
        <v>1490.14</v>
      </c>
      <c r="I1592" s="2">
        <v>1490.14</v>
      </c>
      <c r="J1592" s="2" t="str">
        <f t="shared" si="48"/>
        <v>45-54</v>
      </c>
      <c r="K1592" s="17" t="str">
        <f t="shared" si="49"/>
        <v>6-8</v>
      </c>
    </row>
    <row r="1593" spans="1:11" x14ac:dyDescent="0.2">
      <c r="A1593" s="4">
        <v>46</v>
      </c>
      <c r="B1593" s="4">
        <v>7</v>
      </c>
      <c r="C1593" t="s">
        <v>8</v>
      </c>
      <c r="D1593" s="4">
        <v>1</v>
      </c>
      <c r="E1593" s="3">
        <v>0.64523233892396104</v>
      </c>
      <c r="F1593" s="4">
        <v>1</v>
      </c>
      <c r="G1593" s="2">
        <v>1048.4100000000001</v>
      </c>
      <c r="H1593" s="2">
        <v>1048.4100000000001</v>
      </c>
      <c r="I1593" s="2">
        <v>1048.4100000000001</v>
      </c>
      <c r="J1593" s="2" t="str">
        <f t="shared" si="48"/>
        <v>45-54</v>
      </c>
      <c r="K1593" s="17" t="str">
        <f t="shared" si="49"/>
        <v>6-8</v>
      </c>
    </row>
    <row r="1594" spans="1:11" x14ac:dyDescent="0.2">
      <c r="A1594" s="4">
        <v>53</v>
      </c>
      <c r="B1594" s="4">
        <v>11</v>
      </c>
      <c r="C1594" t="s">
        <v>16</v>
      </c>
      <c r="D1594" s="4">
        <v>0</v>
      </c>
      <c r="E1594" s="3">
        <v>0.57553682511206705</v>
      </c>
      <c r="F1594" s="4">
        <v>1</v>
      </c>
      <c r="G1594" s="2">
        <v>2038.34</v>
      </c>
      <c r="H1594" s="2">
        <v>2038.34</v>
      </c>
      <c r="I1594" s="2">
        <v>2038.34</v>
      </c>
      <c r="J1594" s="2" t="str">
        <f t="shared" si="48"/>
        <v>45-54</v>
      </c>
      <c r="K1594" s="17" t="str">
        <f t="shared" si="49"/>
        <v>9-11</v>
      </c>
    </row>
    <row r="1595" spans="1:11" x14ac:dyDescent="0.2">
      <c r="A1595" s="4">
        <v>84</v>
      </c>
      <c r="B1595" s="4">
        <v>7</v>
      </c>
      <c r="C1595" t="s">
        <v>16</v>
      </c>
      <c r="D1595" s="4">
        <v>0</v>
      </c>
      <c r="E1595" s="3">
        <v>0.91587135917507101</v>
      </c>
      <c r="F1595" s="4">
        <v>2</v>
      </c>
      <c r="G1595" s="2">
        <v>1413.28</v>
      </c>
      <c r="H1595" s="2">
        <v>706.64</v>
      </c>
      <c r="I1595" s="2">
        <v>1413.28</v>
      </c>
      <c r="J1595" s="2" t="str">
        <f t="shared" si="48"/>
        <v>75-90</v>
      </c>
      <c r="K1595" s="17" t="str">
        <f t="shared" si="49"/>
        <v>6-8</v>
      </c>
    </row>
    <row r="1596" spans="1:11" x14ac:dyDescent="0.2">
      <c r="A1596" s="4">
        <v>47</v>
      </c>
      <c r="B1596" s="4">
        <v>12</v>
      </c>
      <c r="C1596" t="s">
        <v>16</v>
      </c>
      <c r="D1596" s="4">
        <v>2</v>
      </c>
      <c r="E1596" s="3">
        <v>0.740211784956045</v>
      </c>
      <c r="F1596" s="4">
        <v>1</v>
      </c>
      <c r="G1596" s="2">
        <v>1329.81</v>
      </c>
      <c r="H1596" s="2">
        <v>1329.81</v>
      </c>
      <c r="I1596" s="2">
        <v>1329.81</v>
      </c>
      <c r="J1596" s="2" t="str">
        <f t="shared" si="48"/>
        <v>45-54</v>
      </c>
      <c r="K1596" s="17" t="str">
        <f t="shared" si="49"/>
        <v>12-15</v>
      </c>
    </row>
    <row r="1597" spans="1:11" x14ac:dyDescent="0.2">
      <c r="A1597" s="4">
        <v>43</v>
      </c>
      <c r="B1597" s="4">
        <v>9</v>
      </c>
      <c r="C1597" t="s">
        <v>16</v>
      </c>
      <c r="D1597" s="4">
        <v>0</v>
      </c>
      <c r="E1597" s="3">
        <v>0.52750450442545105</v>
      </c>
      <c r="F1597" s="4">
        <v>1</v>
      </c>
      <c r="G1597" s="2">
        <v>365.98</v>
      </c>
      <c r="H1597" s="2">
        <v>365.98</v>
      </c>
      <c r="I1597" s="2">
        <v>365.98</v>
      </c>
      <c r="J1597" s="2" t="str">
        <f t="shared" si="48"/>
        <v>35-44</v>
      </c>
      <c r="K1597" s="17" t="str">
        <f t="shared" si="49"/>
        <v>9-11</v>
      </c>
    </row>
    <row r="1598" spans="1:11" x14ac:dyDescent="0.2">
      <c r="A1598" s="4">
        <v>73</v>
      </c>
      <c r="B1598" s="4">
        <v>8</v>
      </c>
      <c r="C1598" t="s">
        <v>8</v>
      </c>
      <c r="D1598" s="4">
        <v>0</v>
      </c>
      <c r="E1598" s="3">
        <v>0.62935600895434596</v>
      </c>
      <c r="F1598" s="4">
        <v>1</v>
      </c>
      <c r="G1598" s="2">
        <v>464.9</v>
      </c>
      <c r="H1598" s="2">
        <v>464.9</v>
      </c>
      <c r="I1598" s="2">
        <v>464.9</v>
      </c>
      <c r="J1598" s="2" t="str">
        <f t="shared" si="48"/>
        <v>65-74</v>
      </c>
      <c r="K1598" s="17" t="str">
        <f t="shared" si="49"/>
        <v>6-8</v>
      </c>
    </row>
    <row r="1599" spans="1:11" x14ac:dyDescent="0.2">
      <c r="A1599" s="4">
        <v>61</v>
      </c>
      <c r="B1599" s="4">
        <v>0</v>
      </c>
      <c r="C1599" t="s">
        <v>10</v>
      </c>
      <c r="D1599" s="4">
        <v>0</v>
      </c>
      <c r="E1599" s="3">
        <v>0.86132355534937199</v>
      </c>
      <c r="F1599" s="4">
        <v>1</v>
      </c>
      <c r="G1599" s="2">
        <v>257</v>
      </c>
      <c r="H1599" s="2">
        <v>257</v>
      </c>
      <c r="I1599" s="2">
        <v>257</v>
      </c>
      <c r="J1599" s="2" t="str">
        <f t="shared" si="48"/>
        <v>55-64</v>
      </c>
      <c r="K1599" s="17" t="str">
        <f t="shared" si="49"/>
        <v>0-2</v>
      </c>
    </row>
    <row r="1600" spans="1:11" x14ac:dyDescent="0.2">
      <c r="A1600" s="4">
        <v>76</v>
      </c>
      <c r="B1600" s="4">
        <v>12</v>
      </c>
      <c r="C1600" t="s">
        <v>8</v>
      </c>
      <c r="D1600" s="4">
        <v>0</v>
      </c>
      <c r="E1600" s="3">
        <v>0.67819932999554999</v>
      </c>
      <c r="F1600" s="4">
        <v>2</v>
      </c>
      <c r="G1600" s="2">
        <v>500.27</v>
      </c>
      <c r="H1600" s="2">
        <v>250.14</v>
      </c>
      <c r="I1600" s="2">
        <v>500.27</v>
      </c>
      <c r="J1600" s="2" t="str">
        <f t="shared" si="48"/>
        <v>75-90</v>
      </c>
      <c r="K1600" s="17" t="str">
        <f t="shared" si="49"/>
        <v>12-15</v>
      </c>
    </row>
    <row r="1601" spans="1:11" x14ac:dyDescent="0.2">
      <c r="A1601" s="4">
        <v>58</v>
      </c>
      <c r="B1601" s="4">
        <v>2</v>
      </c>
      <c r="C1601" t="s">
        <v>8</v>
      </c>
      <c r="D1601" s="4">
        <v>0</v>
      </c>
      <c r="E1601" s="3">
        <v>0.51123238401487503</v>
      </c>
      <c r="F1601" s="4">
        <v>1</v>
      </c>
      <c r="G1601" s="2">
        <v>404.21</v>
      </c>
      <c r="H1601" s="2">
        <v>404.21</v>
      </c>
      <c r="I1601" s="2">
        <v>404.21</v>
      </c>
      <c r="J1601" s="2" t="str">
        <f t="shared" si="48"/>
        <v>55-64</v>
      </c>
      <c r="K1601" s="17" t="str">
        <f t="shared" si="49"/>
        <v>0-2</v>
      </c>
    </row>
    <row r="1602" spans="1:11" x14ac:dyDescent="0.2">
      <c r="A1602" s="4">
        <v>76</v>
      </c>
      <c r="B1602" s="4">
        <v>9</v>
      </c>
      <c r="C1602" t="s">
        <v>8</v>
      </c>
      <c r="D1602" s="4">
        <v>0</v>
      </c>
      <c r="E1602" s="3">
        <v>0.94903426559176296</v>
      </c>
      <c r="F1602" s="4">
        <v>1</v>
      </c>
      <c r="G1602" s="2">
        <v>1817.69</v>
      </c>
      <c r="H1602" s="2">
        <v>1817.69</v>
      </c>
      <c r="I1602" s="2">
        <v>1817.69</v>
      </c>
      <c r="J1602" s="2" t="str">
        <f t="shared" ref="J1602:J1662" si="50" xml:space="preserve"> IF(A1602&lt;25,"18-24",
 IF(A1602&lt;35,"25-34",
 IF(A1602&lt;45,"35-44",
 IF(A1602&lt;55,"45-54", IF(A1602&lt;65, "55-64", IF(A1602&lt;75, "65-74", "75-90"))))))</f>
        <v>75-90</v>
      </c>
      <c r="K1602" s="17" t="str">
        <f t="shared" ref="K1602:K1662" si="51" xml:space="preserve"> IF(B1602 &lt; 3, "0-2", IF(B1602 &lt; 6, "3-5", IF(B1602 &lt; 9, "6-8", IF(B1602 &lt; 12, "9-11", "12-15"))))</f>
        <v>9-11</v>
      </c>
    </row>
    <row r="1603" spans="1:11" x14ac:dyDescent="0.2">
      <c r="A1603" s="4">
        <v>55</v>
      </c>
      <c r="B1603" s="4">
        <v>13</v>
      </c>
      <c r="C1603" t="s">
        <v>8</v>
      </c>
      <c r="D1603" s="4">
        <v>0</v>
      </c>
      <c r="E1603" s="3">
        <v>0.92377462412696298</v>
      </c>
      <c r="F1603" s="4">
        <v>1</v>
      </c>
      <c r="G1603" s="2">
        <v>732.13</v>
      </c>
      <c r="H1603" s="2">
        <v>732.13</v>
      </c>
      <c r="I1603" s="2">
        <v>732.13</v>
      </c>
      <c r="J1603" s="2" t="str">
        <f t="shared" si="50"/>
        <v>55-64</v>
      </c>
      <c r="K1603" s="17" t="str">
        <f t="shared" si="51"/>
        <v>12-15</v>
      </c>
    </row>
    <row r="1604" spans="1:11" x14ac:dyDescent="0.2">
      <c r="A1604" s="4">
        <v>85</v>
      </c>
      <c r="B1604" s="4">
        <v>11</v>
      </c>
      <c r="C1604" t="s">
        <v>10</v>
      </c>
      <c r="D1604" s="4">
        <v>0</v>
      </c>
      <c r="E1604" s="3">
        <v>0.80309462046716396</v>
      </c>
      <c r="F1604" s="4">
        <v>1</v>
      </c>
      <c r="G1604" s="2">
        <v>2147.62</v>
      </c>
      <c r="H1604" s="2">
        <v>2147.62</v>
      </c>
      <c r="I1604" s="2">
        <v>2147.62</v>
      </c>
      <c r="J1604" s="2" t="str">
        <f t="shared" si="50"/>
        <v>75-90</v>
      </c>
      <c r="K1604" s="17" t="str">
        <f t="shared" si="51"/>
        <v>9-11</v>
      </c>
    </row>
    <row r="1605" spans="1:11" x14ac:dyDescent="0.2">
      <c r="A1605" s="4">
        <v>23</v>
      </c>
      <c r="B1605" s="4">
        <v>6</v>
      </c>
      <c r="C1605" t="s">
        <v>8</v>
      </c>
      <c r="D1605" s="4">
        <v>0</v>
      </c>
      <c r="E1605" s="3">
        <v>0.70792751410044696</v>
      </c>
      <c r="F1605" s="4">
        <v>1</v>
      </c>
      <c r="G1605" s="2">
        <v>615.89</v>
      </c>
      <c r="H1605" s="2">
        <v>615.89</v>
      </c>
      <c r="I1605" s="2">
        <v>615.89</v>
      </c>
      <c r="J1605" s="2" t="str">
        <f t="shared" si="50"/>
        <v>18-24</v>
      </c>
      <c r="K1605" s="17" t="str">
        <f t="shared" si="51"/>
        <v>6-8</v>
      </c>
    </row>
    <row r="1606" spans="1:11" x14ac:dyDescent="0.2">
      <c r="A1606" s="4">
        <v>37</v>
      </c>
      <c r="B1606" s="4">
        <v>3</v>
      </c>
      <c r="C1606" t="s">
        <v>8</v>
      </c>
      <c r="D1606" s="4">
        <v>0</v>
      </c>
      <c r="E1606" s="3">
        <v>0.76700902194716003</v>
      </c>
      <c r="F1606" s="4">
        <v>1</v>
      </c>
      <c r="G1606" s="2">
        <v>448.71</v>
      </c>
      <c r="H1606" s="2">
        <v>448.71</v>
      </c>
      <c r="I1606" s="2">
        <v>448.71</v>
      </c>
      <c r="J1606" s="2" t="str">
        <f t="shared" si="50"/>
        <v>35-44</v>
      </c>
      <c r="K1606" s="17" t="str">
        <f t="shared" si="51"/>
        <v>3-5</v>
      </c>
    </row>
    <row r="1607" spans="1:11" x14ac:dyDescent="0.2">
      <c r="A1607" s="4">
        <v>59</v>
      </c>
      <c r="B1607" s="4">
        <v>12</v>
      </c>
      <c r="C1607" t="s">
        <v>8</v>
      </c>
      <c r="D1607" s="4">
        <v>0</v>
      </c>
      <c r="E1607" s="3">
        <v>0.92337043571751598</v>
      </c>
      <c r="F1607" s="4">
        <v>1</v>
      </c>
      <c r="G1607" s="2">
        <v>779.59</v>
      </c>
      <c r="H1607" s="2">
        <v>779.59</v>
      </c>
      <c r="I1607" s="2">
        <v>779.59</v>
      </c>
      <c r="J1607" s="2" t="str">
        <f t="shared" si="50"/>
        <v>55-64</v>
      </c>
      <c r="K1607" s="17" t="str">
        <f t="shared" si="51"/>
        <v>12-15</v>
      </c>
    </row>
    <row r="1608" spans="1:11" x14ac:dyDescent="0.2">
      <c r="A1608" s="4">
        <v>63</v>
      </c>
      <c r="B1608" s="4">
        <v>2</v>
      </c>
      <c r="C1608" t="s">
        <v>8</v>
      </c>
      <c r="D1608" s="4">
        <v>0</v>
      </c>
      <c r="E1608" s="3">
        <v>0.82572906964924198</v>
      </c>
      <c r="F1608" s="4">
        <v>1</v>
      </c>
      <c r="G1608" s="2">
        <v>615.25</v>
      </c>
      <c r="H1608" s="2">
        <v>615.25</v>
      </c>
      <c r="I1608" s="2">
        <v>615.25</v>
      </c>
      <c r="J1608" s="2" t="str">
        <f t="shared" si="50"/>
        <v>55-64</v>
      </c>
      <c r="K1608" s="17" t="str">
        <f t="shared" si="51"/>
        <v>0-2</v>
      </c>
    </row>
    <row r="1609" spans="1:11" x14ac:dyDescent="0.2">
      <c r="A1609" s="4">
        <v>22</v>
      </c>
      <c r="B1609" s="4">
        <v>6</v>
      </c>
      <c r="C1609" t="s">
        <v>8</v>
      </c>
      <c r="D1609" s="4">
        <v>2</v>
      </c>
      <c r="E1609" s="3">
        <v>0.67280593793839205</v>
      </c>
      <c r="F1609" s="4">
        <v>1</v>
      </c>
      <c r="G1609" s="2">
        <v>709.04</v>
      </c>
      <c r="H1609" s="2">
        <v>709.04</v>
      </c>
      <c r="I1609" s="2">
        <v>709.04</v>
      </c>
      <c r="J1609" s="2" t="str">
        <f t="shared" si="50"/>
        <v>18-24</v>
      </c>
      <c r="K1609" s="17" t="str">
        <f t="shared" si="51"/>
        <v>6-8</v>
      </c>
    </row>
    <row r="1610" spans="1:11" x14ac:dyDescent="0.2">
      <c r="A1610" s="4">
        <v>36</v>
      </c>
      <c r="B1610" s="4">
        <v>11</v>
      </c>
      <c r="C1610" t="s">
        <v>8</v>
      </c>
      <c r="D1610" s="4">
        <v>0</v>
      </c>
      <c r="E1610" s="3">
        <v>0.86666353477630798</v>
      </c>
      <c r="F1610" s="4">
        <v>1</v>
      </c>
      <c r="G1610" s="2">
        <v>221.23</v>
      </c>
      <c r="H1610" s="2">
        <v>221.23</v>
      </c>
      <c r="I1610" s="2">
        <v>221.23</v>
      </c>
      <c r="J1610" s="2" t="str">
        <f t="shared" si="50"/>
        <v>35-44</v>
      </c>
      <c r="K1610" s="17" t="str">
        <f t="shared" si="51"/>
        <v>9-11</v>
      </c>
    </row>
    <row r="1611" spans="1:11" x14ac:dyDescent="0.2">
      <c r="A1611" s="4">
        <v>56</v>
      </c>
      <c r="B1611" s="4">
        <v>5</v>
      </c>
      <c r="C1611" t="s">
        <v>16</v>
      </c>
      <c r="D1611" s="4">
        <v>0</v>
      </c>
      <c r="E1611" s="3">
        <v>0.73469461966306004</v>
      </c>
      <c r="F1611" s="4">
        <v>1</v>
      </c>
      <c r="G1611" s="2">
        <v>461.69</v>
      </c>
      <c r="H1611" s="2">
        <v>461.69</v>
      </c>
      <c r="I1611" s="2">
        <v>461.69</v>
      </c>
      <c r="J1611" s="2" t="str">
        <f t="shared" si="50"/>
        <v>55-64</v>
      </c>
      <c r="K1611" s="17" t="str">
        <f t="shared" si="51"/>
        <v>3-5</v>
      </c>
    </row>
    <row r="1612" spans="1:11" x14ac:dyDescent="0.2">
      <c r="A1612" s="4">
        <v>27</v>
      </c>
      <c r="B1612" s="4">
        <v>11</v>
      </c>
      <c r="C1612" t="s">
        <v>8</v>
      </c>
      <c r="D1612" s="4">
        <v>2</v>
      </c>
      <c r="E1612" s="3">
        <v>0.67800825904123496</v>
      </c>
      <c r="F1612" s="4">
        <v>1</v>
      </c>
      <c r="G1612" s="2">
        <v>911.11</v>
      </c>
      <c r="H1612" s="2">
        <v>911.11</v>
      </c>
      <c r="I1612" s="2">
        <v>911.11</v>
      </c>
      <c r="J1612" s="2" t="str">
        <f t="shared" si="50"/>
        <v>25-34</v>
      </c>
      <c r="K1612" s="17" t="str">
        <f t="shared" si="51"/>
        <v>9-11</v>
      </c>
    </row>
    <row r="1613" spans="1:11" x14ac:dyDescent="0.2">
      <c r="A1613" s="4">
        <v>26</v>
      </c>
      <c r="B1613" s="4">
        <v>6</v>
      </c>
      <c r="C1613" t="s">
        <v>10</v>
      </c>
      <c r="D1613" s="4">
        <v>0</v>
      </c>
      <c r="E1613" s="3">
        <v>0.54110008000861898</v>
      </c>
      <c r="F1613" s="4">
        <v>1</v>
      </c>
      <c r="G1613" s="2">
        <v>438.6</v>
      </c>
      <c r="H1613" s="2">
        <v>438.6</v>
      </c>
      <c r="I1613" s="2">
        <v>438.6</v>
      </c>
      <c r="J1613" s="2" t="str">
        <f t="shared" si="50"/>
        <v>25-34</v>
      </c>
      <c r="K1613" s="17" t="str">
        <f t="shared" si="51"/>
        <v>6-8</v>
      </c>
    </row>
    <row r="1614" spans="1:11" x14ac:dyDescent="0.2">
      <c r="A1614" s="4">
        <v>29</v>
      </c>
      <c r="B1614" s="4">
        <v>8</v>
      </c>
      <c r="C1614" t="s">
        <v>10</v>
      </c>
      <c r="D1614" s="4">
        <v>0</v>
      </c>
      <c r="E1614" s="3">
        <v>0.87982628005556796</v>
      </c>
      <c r="F1614" s="4">
        <v>1</v>
      </c>
      <c r="G1614" s="2">
        <v>554.04</v>
      </c>
      <c r="H1614" s="2">
        <v>554.04</v>
      </c>
      <c r="I1614" s="2">
        <v>554.04</v>
      </c>
      <c r="J1614" s="2" t="str">
        <f t="shared" si="50"/>
        <v>25-34</v>
      </c>
      <c r="K1614" s="17" t="str">
        <f t="shared" si="51"/>
        <v>6-8</v>
      </c>
    </row>
    <row r="1615" spans="1:11" x14ac:dyDescent="0.2">
      <c r="A1615" s="4">
        <v>90</v>
      </c>
      <c r="B1615" s="4">
        <v>7</v>
      </c>
      <c r="C1615" t="s">
        <v>8</v>
      </c>
      <c r="D1615" s="4">
        <v>0</v>
      </c>
      <c r="E1615" s="3">
        <v>0.79195121675729796</v>
      </c>
      <c r="F1615" s="4">
        <v>1</v>
      </c>
      <c r="G1615" s="2">
        <v>1566.79</v>
      </c>
      <c r="H1615" s="2">
        <v>1566.79</v>
      </c>
      <c r="I1615" s="2">
        <v>1566.79</v>
      </c>
      <c r="J1615" s="2" t="str">
        <f t="shared" si="50"/>
        <v>75-90</v>
      </c>
      <c r="K1615" s="17" t="str">
        <f t="shared" si="51"/>
        <v>6-8</v>
      </c>
    </row>
    <row r="1616" spans="1:11" x14ac:dyDescent="0.2">
      <c r="A1616" s="4">
        <v>75</v>
      </c>
      <c r="B1616" s="4">
        <v>11</v>
      </c>
      <c r="C1616" t="s">
        <v>8</v>
      </c>
      <c r="D1616" s="4">
        <v>0</v>
      </c>
      <c r="E1616" s="3">
        <v>0.71040240477304895</v>
      </c>
      <c r="F1616" s="4">
        <v>1</v>
      </c>
      <c r="G1616" s="2">
        <v>1388.77</v>
      </c>
      <c r="H1616" s="2">
        <v>1388.77</v>
      </c>
      <c r="I1616" s="2">
        <v>1388.77</v>
      </c>
      <c r="J1616" s="2" t="str">
        <f t="shared" si="50"/>
        <v>75-90</v>
      </c>
      <c r="K1616" s="17" t="str">
        <f t="shared" si="51"/>
        <v>9-11</v>
      </c>
    </row>
    <row r="1617" spans="1:11" x14ac:dyDescent="0.2">
      <c r="A1617" s="4">
        <v>56</v>
      </c>
      <c r="B1617" s="4">
        <v>10</v>
      </c>
      <c r="C1617" t="s">
        <v>8</v>
      </c>
      <c r="D1617" s="4">
        <v>1</v>
      </c>
      <c r="E1617" s="3">
        <v>0.93651158700231496</v>
      </c>
      <c r="F1617" s="4">
        <v>1</v>
      </c>
      <c r="G1617" s="2">
        <v>1798.07</v>
      </c>
      <c r="H1617" s="2">
        <v>1798.07</v>
      </c>
      <c r="I1617" s="2">
        <v>1798.07</v>
      </c>
      <c r="J1617" s="2" t="str">
        <f t="shared" si="50"/>
        <v>55-64</v>
      </c>
      <c r="K1617" s="17" t="str">
        <f t="shared" si="51"/>
        <v>9-11</v>
      </c>
    </row>
    <row r="1618" spans="1:11" x14ac:dyDescent="0.2">
      <c r="A1618" s="4">
        <v>36</v>
      </c>
      <c r="B1618" s="4">
        <v>13</v>
      </c>
      <c r="C1618" t="s">
        <v>16</v>
      </c>
      <c r="D1618" s="4">
        <v>0</v>
      </c>
      <c r="E1618" s="3">
        <v>0.68629247811622895</v>
      </c>
      <c r="F1618" s="4">
        <v>2</v>
      </c>
      <c r="G1618" s="2">
        <v>858.65</v>
      </c>
      <c r="H1618" s="2">
        <v>429.32</v>
      </c>
      <c r="I1618" s="2">
        <v>858.65</v>
      </c>
      <c r="J1618" s="2" t="str">
        <f t="shared" si="50"/>
        <v>35-44</v>
      </c>
      <c r="K1618" s="17" t="str">
        <f t="shared" si="51"/>
        <v>12-15</v>
      </c>
    </row>
    <row r="1619" spans="1:11" x14ac:dyDescent="0.2">
      <c r="A1619" s="4">
        <v>72</v>
      </c>
      <c r="B1619" s="4">
        <v>12</v>
      </c>
      <c r="C1619" t="s">
        <v>8</v>
      </c>
      <c r="D1619" s="4">
        <v>0</v>
      </c>
      <c r="E1619" s="3">
        <v>0.97193144401535403</v>
      </c>
      <c r="F1619" s="4">
        <v>2</v>
      </c>
      <c r="G1619" s="2">
        <v>966.73</v>
      </c>
      <c r="H1619" s="2">
        <v>483.36</v>
      </c>
      <c r="I1619" s="2">
        <v>966.73</v>
      </c>
      <c r="J1619" s="2" t="str">
        <f t="shared" si="50"/>
        <v>65-74</v>
      </c>
      <c r="K1619" s="17" t="str">
        <f t="shared" si="51"/>
        <v>12-15</v>
      </c>
    </row>
    <row r="1620" spans="1:11" x14ac:dyDescent="0.2">
      <c r="A1620" s="4">
        <v>47</v>
      </c>
      <c r="B1620" s="4">
        <v>12</v>
      </c>
      <c r="C1620" t="s">
        <v>16</v>
      </c>
      <c r="D1620" s="4">
        <v>1</v>
      </c>
      <c r="E1620" s="3">
        <v>0.79461380885914001</v>
      </c>
      <c r="F1620" s="4">
        <v>3</v>
      </c>
      <c r="G1620" s="2">
        <v>1084.8599999999999</v>
      </c>
      <c r="H1620" s="2">
        <v>361.62</v>
      </c>
      <c r="I1620" s="2">
        <v>1084.8599999999999</v>
      </c>
      <c r="J1620" s="2" t="str">
        <f t="shared" si="50"/>
        <v>45-54</v>
      </c>
      <c r="K1620" s="17" t="str">
        <f t="shared" si="51"/>
        <v>12-15</v>
      </c>
    </row>
    <row r="1621" spans="1:11" x14ac:dyDescent="0.2">
      <c r="A1621" s="4">
        <v>27</v>
      </c>
      <c r="B1621" s="4">
        <v>15</v>
      </c>
      <c r="C1621" t="s">
        <v>10</v>
      </c>
      <c r="D1621" s="4">
        <v>0</v>
      </c>
      <c r="E1621" s="3">
        <v>0.77033005049452197</v>
      </c>
      <c r="F1621" s="4">
        <v>1</v>
      </c>
      <c r="G1621" s="2">
        <v>600.65</v>
      </c>
      <c r="H1621" s="2">
        <v>600.65</v>
      </c>
      <c r="I1621" s="2">
        <v>600.65</v>
      </c>
      <c r="J1621" s="2" t="str">
        <f t="shared" si="50"/>
        <v>25-34</v>
      </c>
      <c r="K1621" s="17" t="str">
        <f t="shared" si="51"/>
        <v>12-15</v>
      </c>
    </row>
    <row r="1622" spans="1:11" x14ac:dyDescent="0.2">
      <c r="A1622" s="4">
        <v>82</v>
      </c>
      <c r="B1622" s="4">
        <v>9</v>
      </c>
      <c r="C1622" t="s">
        <v>16</v>
      </c>
      <c r="D1622" s="4">
        <v>0</v>
      </c>
      <c r="E1622" s="3">
        <v>0.89265732292551503</v>
      </c>
      <c r="F1622" s="4">
        <v>1</v>
      </c>
      <c r="G1622" s="2">
        <v>1701</v>
      </c>
      <c r="H1622" s="2">
        <v>1701</v>
      </c>
      <c r="I1622" s="2">
        <v>1701</v>
      </c>
      <c r="J1622" s="2" t="str">
        <f t="shared" si="50"/>
        <v>75-90</v>
      </c>
      <c r="K1622" s="17" t="str">
        <f t="shared" si="51"/>
        <v>9-11</v>
      </c>
    </row>
    <row r="1623" spans="1:11" x14ac:dyDescent="0.2">
      <c r="A1623" s="4">
        <v>55</v>
      </c>
      <c r="B1623" s="4">
        <v>11</v>
      </c>
      <c r="C1623" t="s">
        <v>10</v>
      </c>
      <c r="D1623" s="4">
        <v>1</v>
      </c>
      <c r="E1623" s="3">
        <v>0.77163365774322301</v>
      </c>
      <c r="F1623" s="4">
        <v>1</v>
      </c>
      <c r="G1623" s="2">
        <v>2068.77</v>
      </c>
      <c r="H1623" s="2">
        <v>2068.77</v>
      </c>
      <c r="I1623" s="2">
        <v>2068.77</v>
      </c>
      <c r="J1623" s="2" t="str">
        <f t="shared" si="50"/>
        <v>55-64</v>
      </c>
      <c r="K1623" s="17" t="str">
        <f t="shared" si="51"/>
        <v>9-11</v>
      </c>
    </row>
    <row r="1624" spans="1:11" x14ac:dyDescent="0.2">
      <c r="A1624" s="4">
        <v>49</v>
      </c>
      <c r="B1624" s="4">
        <v>1</v>
      </c>
      <c r="C1624" t="s">
        <v>16</v>
      </c>
      <c r="D1624" s="4">
        <v>1</v>
      </c>
      <c r="E1624" s="3">
        <v>0.82353356794919796</v>
      </c>
      <c r="F1624" s="4">
        <v>2</v>
      </c>
      <c r="G1624" s="2">
        <v>354.52</v>
      </c>
      <c r="H1624" s="2">
        <v>177.26</v>
      </c>
      <c r="I1624" s="2">
        <v>354.52</v>
      </c>
      <c r="J1624" s="2" t="str">
        <f t="shared" si="50"/>
        <v>45-54</v>
      </c>
      <c r="K1624" s="17" t="str">
        <f t="shared" si="51"/>
        <v>0-2</v>
      </c>
    </row>
    <row r="1625" spans="1:11" x14ac:dyDescent="0.2">
      <c r="A1625" s="4">
        <v>22</v>
      </c>
      <c r="B1625" s="4">
        <v>12</v>
      </c>
      <c r="C1625" t="s">
        <v>8</v>
      </c>
      <c r="D1625" s="4">
        <v>0</v>
      </c>
      <c r="E1625" s="3">
        <v>0.59203807415906295</v>
      </c>
      <c r="F1625" s="4">
        <v>1</v>
      </c>
      <c r="G1625" s="2">
        <v>199.13</v>
      </c>
      <c r="H1625" s="2">
        <v>199.13</v>
      </c>
      <c r="I1625" s="2">
        <v>199.13</v>
      </c>
      <c r="J1625" s="2" t="str">
        <f t="shared" si="50"/>
        <v>18-24</v>
      </c>
      <c r="K1625" s="17" t="str">
        <f t="shared" si="51"/>
        <v>12-15</v>
      </c>
    </row>
    <row r="1626" spans="1:11" x14ac:dyDescent="0.2">
      <c r="A1626" s="4">
        <v>87</v>
      </c>
      <c r="B1626" s="4">
        <v>13</v>
      </c>
      <c r="C1626" t="s">
        <v>16</v>
      </c>
      <c r="D1626" s="4">
        <v>0</v>
      </c>
      <c r="E1626" s="3">
        <v>0.87336212198715701</v>
      </c>
      <c r="F1626" s="4">
        <v>2</v>
      </c>
      <c r="G1626" s="2">
        <v>1955.7</v>
      </c>
      <c r="H1626" s="2">
        <v>977.85</v>
      </c>
      <c r="I1626" s="2">
        <v>1955.7</v>
      </c>
      <c r="J1626" s="2" t="str">
        <f t="shared" si="50"/>
        <v>75-90</v>
      </c>
      <c r="K1626" s="17" t="str">
        <f t="shared" si="51"/>
        <v>12-15</v>
      </c>
    </row>
    <row r="1627" spans="1:11" x14ac:dyDescent="0.2">
      <c r="A1627" s="4">
        <v>84</v>
      </c>
      <c r="B1627" s="4">
        <v>10</v>
      </c>
      <c r="C1627" t="s">
        <v>8</v>
      </c>
      <c r="D1627" s="4">
        <v>0</v>
      </c>
      <c r="E1627" s="3">
        <v>0.92428073205519501</v>
      </c>
      <c r="F1627" s="4">
        <v>1</v>
      </c>
      <c r="G1627" s="2">
        <v>748.09</v>
      </c>
      <c r="H1627" s="2">
        <v>748.09</v>
      </c>
      <c r="I1627" s="2">
        <v>748.09</v>
      </c>
      <c r="J1627" s="2" t="str">
        <f t="shared" si="50"/>
        <v>75-90</v>
      </c>
      <c r="K1627" s="17" t="str">
        <f t="shared" si="51"/>
        <v>9-11</v>
      </c>
    </row>
    <row r="1628" spans="1:11" x14ac:dyDescent="0.2">
      <c r="A1628" s="4">
        <v>39</v>
      </c>
      <c r="B1628" s="4">
        <v>0</v>
      </c>
      <c r="C1628" t="s">
        <v>16</v>
      </c>
      <c r="D1628" s="4">
        <v>0</v>
      </c>
      <c r="E1628" s="3">
        <v>0.90030630270484802</v>
      </c>
      <c r="F1628" s="4">
        <v>1</v>
      </c>
      <c r="G1628" s="2">
        <v>280.18</v>
      </c>
      <c r="H1628" s="2">
        <v>280.18</v>
      </c>
      <c r="I1628" s="2">
        <v>280.18</v>
      </c>
      <c r="J1628" s="2" t="str">
        <f t="shared" si="50"/>
        <v>35-44</v>
      </c>
      <c r="K1628" s="17" t="str">
        <f t="shared" si="51"/>
        <v>0-2</v>
      </c>
    </row>
    <row r="1629" spans="1:11" x14ac:dyDescent="0.2">
      <c r="A1629" s="4">
        <v>36</v>
      </c>
      <c r="B1629" s="4">
        <v>6</v>
      </c>
      <c r="C1629" t="s">
        <v>16</v>
      </c>
      <c r="D1629" s="4">
        <v>0</v>
      </c>
      <c r="E1629" s="3">
        <v>0.88732696138322398</v>
      </c>
      <c r="F1629" s="4">
        <v>1</v>
      </c>
      <c r="G1629" s="2">
        <v>661.54</v>
      </c>
      <c r="H1629" s="2">
        <v>661.54</v>
      </c>
      <c r="I1629" s="2">
        <v>661.54</v>
      </c>
      <c r="J1629" s="2" t="str">
        <f t="shared" si="50"/>
        <v>35-44</v>
      </c>
      <c r="K1629" s="17" t="str">
        <f t="shared" si="51"/>
        <v>6-8</v>
      </c>
    </row>
    <row r="1630" spans="1:11" x14ac:dyDescent="0.2">
      <c r="A1630" s="4">
        <v>40</v>
      </c>
      <c r="B1630" s="4">
        <v>8</v>
      </c>
      <c r="C1630" t="s">
        <v>8</v>
      </c>
      <c r="D1630" s="4">
        <v>1</v>
      </c>
      <c r="E1630" s="3">
        <v>0.61800496000796601</v>
      </c>
      <c r="F1630" s="4">
        <v>1</v>
      </c>
      <c r="G1630" s="2">
        <v>1044.95</v>
      </c>
      <c r="H1630" s="2">
        <v>1044.95</v>
      </c>
      <c r="I1630" s="2">
        <v>1044.95</v>
      </c>
      <c r="J1630" s="2" t="str">
        <f t="shared" si="50"/>
        <v>35-44</v>
      </c>
      <c r="K1630" s="17" t="str">
        <f t="shared" si="51"/>
        <v>6-8</v>
      </c>
    </row>
    <row r="1631" spans="1:11" x14ac:dyDescent="0.2">
      <c r="A1631" s="4">
        <v>42</v>
      </c>
      <c r="B1631" s="4">
        <v>0</v>
      </c>
      <c r="C1631" t="s">
        <v>8</v>
      </c>
      <c r="D1631" s="4">
        <v>0</v>
      </c>
      <c r="E1631" s="3">
        <v>0.71474727417808004</v>
      </c>
      <c r="F1631" s="4">
        <v>2</v>
      </c>
      <c r="G1631" s="2">
        <v>287.47000000000003</v>
      </c>
      <c r="H1631" s="2">
        <v>143.74</v>
      </c>
      <c r="I1631" s="2">
        <v>287.47000000000003</v>
      </c>
      <c r="J1631" s="2" t="str">
        <f t="shared" si="50"/>
        <v>35-44</v>
      </c>
      <c r="K1631" s="17" t="str">
        <f t="shared" si="51"/>
        <v>0-2</v>
      </c>
    </row>
    <row r="1632" spans="1:11" x14ac:dyDescent="0.2">
      <c r="A1632" s="4">
        <v>62</v>
      </c>
      <c r="B1632" s="4">
        <v>6</v>
      </c>
      <c r="C1632" t="s">
        <v>8</v>
      </c>
      <c r="D1632" s="4">
        <v>1</v>
      </c>
      <c r="E1632" s="3">
        <v>0.77530615252908297</v>
      </c>
      <c r="F1632" s="4">
        <v>2</v>
      </c>
      <c r="G1632" s="2">
        <v>1013.33</v>
      </c>
      <c r="H1632" s="2">
        <v>506.67</v>
      </c>
      <c r="I1632" s="2">
        <v>1013.33</v>
      </c>
      <c r="J1632" s="2" t="str">
        <f t="shared" si="50"/>
        <v>55-64</v>
      </c>
      <c r="K1632" s="17" t="str">
        <f t="shared" si="51"/>
        <v>6-8</v>
      </c>
    </row>
    <row r="1633" spans="1:11" x14ac:dyDescent="0.2">
      <c r="A1633" s="4">
        <v>26</v>
      </c>
      <c r="B1633" s="4">
        <v>3</v>
      </c>
      <c r="C1633" t="s">
        <v>16</v>
      </c>
      <c r="D1633" s="4">
        <v>0</v>
      </c>
      <c r="E1633" s="3">
        <v>0.69760887487791501</v>
      </c>
      <c r="F1633" s="4">
        <v>1</v>
      </c>
      <c r="G1633" s="2">
        <v>233.87</v>
      </c>
      <c r="H1633" s="2">
        <v>233.87</v>
      </c>
      <c r="I1633" s="2">
        <v>233.87</v>
      </c>
      <c r="J1633" s="2" t="str">
        <f t="shared" si="50"/>
        <v>25-34</v>
      </c>
      <c r="K1633" s="17" t="str">
        <f t="shared" si="51"/>
        <v>3-5</v>
      </c>
    </row>
    <row r="1634" spans="1:11" x14ac:dyDescent="0.2">
      <c r="A1634" s="4">
        <v>84</v>
      </c>
      <c r="B1634" s="4">
        <v>3</v>
      </c>
      <c r="C1634" t="s">
        <v>8</v>
      </c>
      <c r="D1634" s="4">
        <v>0</v>
      </c>
      <c r="E1634" s="3">
        <v>0.78997570101637404</v>
      </c>
      <c r="F1634" s="4">
        <v>1</v>
      </c>
      <c r="G1634" s="2">
        <v>468.9</v>
      </c>
      <c r="H1634" s="2">
        <v>468.9</v>
      </c>
      <c r="I1634" s="2">
        <v>468.9</v>
      </c>
      <c r="J1634" s="2" t="str">
        <f t="shared" si="50"/>
        <v>75-90</v>
      </c>
      <c r="K1634" s="17" t="str">
        <f t="shared" si="51"/>
        <v>3-5</v>
      </c>
    </row>
    <row r="1635" spans="1:11" x14ac:dyDescent="0.2">
      <c r="A1635" s="4">
        <v>86</v>
      </c>
      <c r="B1635" s="4">
        <v>8</v>
      </c>
      <c r="C1635" t="s">
        <v>10</v>
      </c>
      <c r="D1635" s="4">
        <v>0</v>
      </c>
      <c r="E1635" s="3">
        <v>0.72673107427544903</v>
      </c>
      <c r="F1635" s="4">
        <v>2</v>
      </c>
      <c r="G1635" s="2">
        <v>1138.81</v>
      </c>
      <c r="H1635" s="2">
        <v>569.4</v>
      </c>
      <c r="I1635" s="2">
        <v>1138.81</v>
      </c>
      <c r="J1635" s="2" t="str">
        <f t="shared" si="50"/>
        <v>75-90</v>
      </c>
      <c r="K1635" s="17" t="str">
        <f t="shared" si="51"/>
        <v>6-8</v>
      </c>
    </row>
    <row r="1636" spans="1:11" x14ac:dyDescent="0.2">
      <c r="A1636" s="4">
        <v>51</v>
      </c>
      <c r="B1636" s="4">
        <v>11</v>
      </c>
      <c r="C1636" t="s">
        <v>8</v>
      </c>
      <c r="D1636" s="4">
        <v>0</v>
      </c>
      <c r="E1636" s="3">
        <v>0.92488657590001799</v>
      </c>
      <c r="F1636" s="4">
        <v>2</v>
      </c>
      <c r="G1636" s="2">
        <v>424.75</v>
      </c>
      <c r="H1636" s="2">
        <v>212.37</v>
      </c>
      <c r="I1636" s="2">
        <v>424.75</v>
      </c>
      <c r="J1636" s="2" t="str">
        <f t="shared" si="50"/>
        <v>45-54</v>
      </c>
      <c r="K1636" s="17" t="str">
        <f t="shared" si="51"/>
        <v>9-11</v>
      </c>
    </row>
    <row r="1637" spans="1:11" x14ac:dyDescent="0.2">
      <c r="A1637" s="4">
        <v>40</v>
      </c>
      <c r="B1637" s="4">
        <v>14</v>
      </c>
      <c r="C1637" t="s">
        <v>10</v>
      </c>
      <c r="D1637" s="4">
        <v>0</v>
      </c>
      <c r="E1637" s="3">
        <v>0.68981961207464304</v>
      </c>
      <c r="F1637" s="4">
        <v>2</v>
      </c>
      <c r="G1637" s="2">
        <v>648.57000000000005</v>
      </c>
      <c r="H1637" s="2">
        <v>324.27999999999997</v>
      </c>
      <c r="I1637" s="2">
        <v>648.57000000000005</v>
      </c>
      <c r="J1637" s="2" t="str">
        <f t="shared" si="50"/>
        <v>35-44</v>
      </c>
      <c r="K1637" s="17" t="str">
        <f t="shared" si="51"/>
        <v>12-15</v>
      </c>
    </row>
    <row r="1638" spans="1:11" x14ac:dyDescent="0.2">
      <c r="A1638" s="4">
        <v>42</v>
      </c>
      <c r="B1638" s="4">
        <v>14</v>
      </c>
      <c r="C1638" t="s">
        <v>10</v>
      </c>
      <c r="D1638" s="4">
        <v>1</v>
      </c>
      <c r="E1638" s="3">
        <v>0.69823118369095005</v>
      </c>
      <c r="F1638" s="4">
        <v>1</v>
      </c>
      <c r="G1638" s="2">
        <v>1493.09</v>
      </c>
      <c r="H1638" s="2">
        <v>1493.09</v>
      </c>
      <c r="I1638" s="2">
        <v>1493.09</v>
      </c>
      <c r="J1638" s="2" t="str">
        <f t="shared" si="50"/>
        <v>35-44</v>
      </c>
      <c r="K1638" s="17" t="str">
        <f t="shared" si="51"/>
        <v>12-15</v>
      </c>
    </row>
    <row r="1639" spans="1:11" x14ac:dyDescent="0.2">
      <c r="A1639" s="4">
        <v>22</v>
      </c>
      <c r="B1639" s="4">
        <v>13</v>
      </c>
      <c r="C1639" t="s">
        <v>8</v>
      </c>
      <c r="D1639" s="4">
        <v>0</v>
      </c>
      <c r="E1639" s="3">
        <v>0.56021299061831098</v>
      </c>
      <c r="F1639" s="4">
        <v>1</v>
      </c>
      <c r="G1639" s="2">
        <v>420.05</v>
      </c>
      <c r="H1639" s="2">
        <v>420.05</v>
      </c>
      <c r="I1639" s="2">
        <v>420.05</v>
      </c>
      <c r="J1639" s="2" t="str">
        <f t="shared" si="50"/>
        <v>18-24</v>
      </c>
      <c r="K1639" s="17" t="str">
        <f t="shared" si="51"/>
        <v>12-15</v>
      </c>
    </row>
    <row r="1640" spans="1:11" x14ac:dyDescent="0.2">
      <c r="A1640" s="4">
        <v>73</v>
      </c>
      <c r="B1640" s="4">
        <v>12</v>
      </c>
      <c r="C1640" t="s">
        <v>16</v>
      </c>
      <c r="D1640" s="4">
        <v>2</v>
      </c>
      <c r="E1640" s="3">
        <v>0.515861816704273</v>
      </c>
      <c r="F1640" s="4">
        <v>3</v>
      </c>
      <c r="G1640" s="2">
        <v>1927.6</v>
      </c>
      <c r="H1640" s="2">
        <v>642.53</v>
      </c>
      <c r="I1640" s="2">
        <v>1927.6</v>
      </c>
      <c r="J1640" s="2" t="str">
        <f t="shared" si="50"/>
        <v>65-74</v>
      </c>
      <c r="K1640" s="17" t="str">
        <f t="shared" si="51"/>
        <v>12-15</v>
      </c>
    </row>
    <row r="1641" spans="1:11" x14ac:dyDescent="0.2">
      <c r="A1641" s="4">
        <v>82</v>
      </c>
      <c r="B1641" s="4">
        <v>1</v>
      </c>
      <c r="C1641" t="s">
        <v>10</v>
      </c>
      <c r="D1641" s="4">
        <v>0</v>
      </c>
      <c r="E1641" s="3">
        <v>0.87725719320587803</v>
      </c>
      <c r="F1641" s="4">
        <v>1</v>
      </c>
      <c r="G1641" s="2">
        <v>626.09</v>
      </c>
      <c r="H1641" s="2">
        <v>626.09</v>
      </c>
      <c r="I1641" s="2">
        <v>626.09</v>
      </c>
      <c r="J1641" s="2" t="str">
        <f t="shared" si="50"/>
        <v>75-90</v>
      </c>
      <c r="K1641" s="17" t="str">
        <f t="shared" si="51"/>
        <v>0-2</v>
      </c>
    </row>
    <row r="1642" spans="1:11" x14ac:dyDescent="0.2">
      <c r="A1642" s="4">
        <v>78</v>
      </c>
      <c r="B1642" s="4">
        <v>12</v>
      </c>
      <c r="C1642" t="s">
        <v>8</v>
      </c>
      <c r="D1642" s="4">
        <v>0</v>
      </c>
      <c r="E1642" s="3">
        <v>0.72934509720653296</v>
      </c>
      <c r="F1642" s="4">
        <v>2</v>
      </c>
      <c r="G1642" s="2">
        <v>1880.49</v>
      </c>
      <c r="H1642" s="2">
        <v>940.25</v>
      </c>
      <c r="I1642" s="2">
        <v>1880.49</v>
      </c>
      <c r="J1642" s="2" t="str">
        <f t="shared" si="50"/>
        <v>75-90</v>
      </c>
      <c r="K1642" s="17" t="str">
        <f t="shared" si="51"/>
        <v>12-15</v>
      </c>
    </row>
    <row r="1643" spans="1:11" x14ac:dyDescent="0.2">
      <c r="A1643" s="4">
        <v>75</v>
      </c>
      <c r="B1643" s="4">
        <v>13</v>
      </c>
      <c r="C1643" t="s">
        <v>8</v>
      </c>
      <c r="D1643" s="4">
        <v>0</v>
      </c>
      <c r="E1643" s="3">
        <v>0.58369865966960799</v>
      </c>
      <c r="F1643" s="4">
        <v>1</v>
      </c>
      <c r="G1643" s="2">
        <v>1413.52</v>
      </c>
      <c r="H1643" s="2">
        <v>1413.52</v>
      </c>
      <c r="I1643" s="2">
        <v>1413.52</v>
      </c>
      <c r="J1643" s="2" t="str">
        <f t="shared" si="50"/>
        <v>75-90</v>
      </c>
      <c r="K1643" s="17" t="str">
        <f t="shared" si="51"/>
        <v>12-15</v>
      </c>
    </row>
    <row r="1644" spans="1:11" x14ac:dyDescent="0.2">
      <c r="A1644" s="4">
        <v>25</v>
      </c>
      <c r="B1644" s="4">
        <v>5</v>
      </c>
      <c r="C1644" t="s">
        <v>8</v>
      </c>
      <c r="D1644" s="4">
        <v>0</v>
      </c>
      <c r="E1644" s="3">
        <v>0.85113477322738595</v>
      </c>
      <c r="F1644" s="4">
        <v>1</v>
      </c>
      <c r="G1644" s="2">
        <v>499.33</v>
      </c>
      <c r="H1644" s="2">
        <v>499.33</v>
      </c>
      <c r="I1644" s="2">
        <v>499.33</v>
      </c>
      <c r="J1644" s="2" t="str">
        <f t="shared" si="50"/>
        <v>25-34</v>
      </c>
      <c r="K1644" s="17" t="str">
        <f t="shared" si="51"/>
        <v>3-5</v>
      </c>
    </row>
    <row r="1645" spans="1:11" x14ac:dyDescent="0.2">
      <c r="A1645" s="4">
        <v>18</v>
      </c>
      <c r="B1645" s="4">
        <v>12</v>
      </c>
      <c r="C1645" t="s">
        <v>8</v>
      </c>
      <c r="D1645" s="4">
        <v>1</v>
      </c>
      <c r="E1645" s="3">
        <v>0.97050299844704602</v>
      </c>
      <c r="F1645" s="4">
        <v>1</v>
      </c>
      <c r="G1645" s="2">
        <v>399.53</v>
      </c>
      <c r="H1645" s="2">
        <v>399.53</v>
      </c>
      <c r="I1645" s="2">
        <v>399.53</v>
      </c>
      <c r="J1645" s="2" t="str">
        <f t="shared" si="50"/>
        <v>18-24</v>
      </c>
      <c r="K1645" s="17" t="str">
        <f t="shared" si="51"/>
        <v>12-15</v>
      </c>
    </row>
    <row r="1646" spans="1:11" x14ac:dyDescent="0.2">
      <c r="A1646" s="4">
        <v>46</v>
      </c>
      <c r="B1646" s="4">
        <v>1</v>
      </c>
      <c r="C1646" t="s">
        <v>10</v>
      </c>
      <c r="D1646" s="4">
        <v>0</v>
      </c>
      <c r="E1646" s="3">
        <v>0.56230463308747902</v>
      </c>
      <c r="F1646" s="4">
        <v>1</v>
      </c>
      <c r="G1646" s="2">
        <v>566.73</v>
      </c>
      <c r="H1646" s="2">
        <v>566.73</v>
      </c>
      <c r="I1646" s="2">
        <v>566.73</v>
      </c>
      <c r="J1646" s="2" t="str">
        <f t="shared" si="50"/>
        <v>45-54</v>
      </c>
      <c r="K1646" s="17" t="str">
        <f t="shared" si="51"/>
        <v>0-2</v>
      </c>
    </row>
    <row r="1647" spans="1:11" x14ac:dyDescent="0.2">
      <c r="A1647" s="4">
        <v>29</v>
      </c>
      <c r="B1647" s="4">
        <v>14</v>
      </c>
      <c r="C1647" t="s">
        <v>8</v>
      </c>
      <c r="D1647" s="4">
        <v>1</v>
      </c>
      <c r="E1647" s="3">
        <v>0.75536902796011396</v>
      </c>
      <c r="F1647" s="4">
        <v>1</v>
      </c>
      <c r="G1647" s="2">
        <v>496.27</v>
      </c>
      <c r="H1647" s="2">
        <v>496.27</v>
      </c>
      <c r="I1647" s="2">
        <v>496.27</v>
      </c>
      <c r="J1647" s="2" t="str">
        <f t="shared" si="50"/>
        <v>25-34</v>
      </c>
      <c r="K1647" s="17" t="str">
        <f t="shared" si="51"/>
        <v>12-15</v>
      </c>
    </row>
    <row r="1648" spans="1:11" x14ac:dyDescent="0.2">
      <c r="A1648" s="4">
        <v>62</v>
      </c>
      <c r="B1648" s="4">
        <v>13</v>
      </c>
      <c r="C1648" t="s">
        <v>16</v>
      </c>
      <c r="D1648" s="4">
        <v>0</v>
      </c>
      <c r="E1648" s="3">
        <v>0.90845684253144998</v>
      </c>
      <c r="F1648" s="4">
        <v>3</v>
      </c>
      <c r="G1648" s="2">
        <v>1080.07</v>
      </c>
      <c r="H1648" s="2">
        <v>360.02</v>
      </c>
      <c r="I1648" s="2">
        <v>1080.07</v>
      </c>
      <c r="J1648" s="2" t="str">
        <f t="shared" si="50"/>
        <v>55-64</v>
      </c>
      <c r="K1648" s="17" t="str">
        <f t="shared" si="51"/>
        <v>12-15</v>
      </c>
    </row>
    <row r="1649" spans="1:11" x14ac:dyDescent="0.2">
      <c r="A1649" s="4">
        <v>68</v>
      </c>
      <c r="B1649" s="4">
        <v>3</v>
      </c>
      <c r="C1649" t="s">
        <v>8</v>
      </c>
      <c r="D1649" s="4">
        <v>0</v>
      </c>
      <c r="E1649" s="3">
        <v>0.81403365265577998</v>
      </c>
      <c r="F1649" s="4">
        <v>1</v>
      </c>
      <c r="G1649" s="2">
        <v>880.04</v>
      </c>
      <c r="H1649" s="2">
        <v>880.04</v>
      </c>
      <c r="I1649" s="2">
        <v>880.04</v>
      </c>
      <c r="J1649" s="2" t="str">
        <f t="shared" si="50"/>
        <v>65-74</v>
      </c>
      <c r="K1649" s="17" t="str">
        <f t="shared" si="51"/>
        <v>3-5</v>
      </c>
    </row>
    <row r="1650" spans="1:11" x14ac:dyDescent="0.2">
      <c r="A1650" s="4">
        <v>84</v>
      </c>
      <c r="B1650" s="4">
        <v>9</v>
      </c>
      <c r="C1650" t="s">
        <v>8</v>
      </c>
      <c r="D1650" s="4">
        <v>0</v>
      </c>
      <c r="E1650" s="3">
        <v>0.969304436934181</v>
      </c>
      <c r="F1650" s="4">
        <v>1</v>
      </c>
      <c r="G1650" s="2">
        <v>1176.7</v>
      </c>
      <c r="H1650" s="2">
        <v>1176.7</v>
      </c>
      <c r="I1650" s="2">
        <v>1176.7</v>
      </c>
      <c r="J1650" s="2" t="str">
        <f t="shared" si="50"/>
        <v>75-90</v>
      </c>
      <c r="K1650" s="17" t="str">
        <f t="shared" si="51"/>
        <v>9-11</v>
      </c>
    </row>
    <row r="1651" spans="1:11" x14ac:dyDescent="0.2">
      <c r="A1651" s="4">
        <v>83</v>
      </c>
      <c r="B1651" s="4">
        <v>4</v>
      </c>
      <c r="C1651" t="s">
        <v>10</v>
      </c>
      <c r="D1651" s="4">
        <v>0</v>
      </c>
      <c r="E1651" s="3">
        <v>0.51148998166900095</v>
      </c>
      <c r="F1651" s="4">
        <v>1</v>
      </c>
      <c r="G1651" s="2">
        <v>742.48</v>
      </c>
      <c r="H1651" s="2">
        <v>742.48</v>
      </c>
      <c r="I1651" s="2">
        <v>742.48</v>
      </c>
      <c r="J1651" s="2" t="str">
        <f t="shared" si="50"/>
        <v>75-90</v>
      </c>
      <c r="K1651" s="17" t="str">
        <f t="shared" si="51"/>
        <v>3-5</v>
      </c>
    </row>
    <row r="1652" spans="1:11" x14ac:dyDescent="0.2">
      <c r="A1652" s="4">
        <v>41</v>
      </c>
      <c r="B1652" s="4">
        <v>9</v>
      </c>
      <c r="C1652" t="s">
        <v>16</v>
      </c>
      <c r="D1652" s="4">
        <v>1</v>
      </c>
      <c r="E1652" s="3">
        <v>0.58334870927501503</v>
      </c>
      <c r="F1652" s="4">
        <v>1</v>
      </c>
      <c r="G1652" s="2">
        <v>341.84</v>
      </c>
      <c r="H1652" s="2">
        <v>341.84</v>
      </c>
      <c r="I1652" s="2">
        <v>341.84</v>
      </c>
      <c r="J1652" s="2" t="str">
        <f t="shared" si="50"/>
        <v>35-44</v>
      </c>
      <c r="K1652" s="17" t="str">
        <f t="shared" si="51"/>
        <v>9-11</v>
      </c>
    </row>
    <row r="1653" spans="1:11" x14ac:dyDescent="0.2">
      <c r="A1653" s="4">
        <v>54</v>
      </c>
      <c r="B1653" s="4">
        <v>5</v>
      </c>
      <c r="C1653" t="s">
        <v>8</v>
      </c>
      <c r="D1653" s="4">
        <v>1</v>
      </c>
      <c r="E1653" s="3">
        <v>0.86988729424774602</v>
      </c>
      <c r="F1653" s="4">
        <v>1</v>
      </c>
      <c r="G1653" s="2">
        <v>1197.32</v>
      </c>
      <c r="H1653" s="2">
        <v>1197.32</v>
      </c>
      <c r="I1653" s="2">
        <v>1197.32</v>
      </c>
      <c r="J1653" s="2" t="str">
        <f t="shared" si="50"/>
        <v>45-54</v>
      </c>
      <c r="K1653" s="17" t="str">
        <f t="shared" si="51"/>
        <v>3-5</v>
      </c>
    </row>
    <row r="1654" spans="1:11" x14ac:dyDescent="0.2">
      <c r="A1654" s="4">
        <v>25</v>
      </c>
      <c r="B1654" s="4">
        <v>12</v>
      </c>
      <c r="C1654" t="s">
        <v>8</v>
      </c>
      <c r="D1654" s="4">
        <v>1</v>
      </c>
      <c r="E1654" s="3">
        <v>0.82893549266736999</v>
      </c>
      <c r="F1654" s="4">
        <v>1</v>
      </c>
      <c r="G1654" s="2">
        <v>542.11</v>
      </c>
      <c r="H1654" s="2">
        <v>542.11</v>
      </c>
      <c r="I1654" s="2">
        <v>542.11</v>
      </c>
      <c r="J1654" s="2" t="str">
        <f t="shared" si="50"/>
        <v>25-34</v>
      </c>
      <c r="K1654" s="17" t="str">
        <f t="shared" si="51"/>
        <v>12-15</v>
      </c>
    </row>
    <row r="1655" spans="1:11" x14ac:dyDescent="0.2">
      <c r="A1655" s="4">
        <v>88</v>
      </c>
      <c r="B1655" s="4">
        <v>0</v>
      </c>
      <c r="C1655" t="s">
        <v>10</v>
      </c>
      <c r="D1655" s="4">
        <v>1</v>
      </c>
      <c r="E1655" s="3">
        <v>0.72435244696680501</v>
      </c>
      <c r="F1655" s="4">
        <v>1</v>
      </c>
      <c r="G1655" s="2">
        <v>533.26</v>
      </c>
      <c r="H1655" s="2">
        <v>533.26</v>
      </c>
      <c r="I1655" s="2">
        <v>533.26</v>
      </c>
      <c r="J1655" s="2" t="str">
        <f t="shared" si="50"/>
        <v>75-90</v>
      </c>
      <c r="K1655" s="17" t="str">
        <f t="shared" si="51"/>
        <v>0-2</v>
      </c>
    </row>
    <row r="1656" spans="1:11" x14ac:dyDescent="0.2">
      <c r="A1656" s="4">
        <v>43</v>
      </c>
      <c r="B1656" s="4">
        <v>6</v>
      </c>
      <c r="C1656" t="s">
        <v>8</v>
      </c>
      <c r="D1656" s="4">
        <v>0</v>
      </c>
      <c r="E1656" s="3">
        <v>0.99863746168557599</v>
      </c>
      <c r="F1656" s="4">
        <v>1</v>
      </c>
      <c r="G1656" s="2">
        <v>585.05999999999995</v>
      </c>
      <c r="H1656" s="2">
        <v>585.05999999999995</v>
      </c>
      <c r="I1656" s="2">
        <v>585.05999999999995</v>
      </c>
      <c r="J1656" s="2" t="str">
        <f t="shared" si="50"/>
        <v>35-44</v>
      </c>
      <c r="K1656" s="17" t="str">
        <f t="shared" si="51"/>
        <v>6-8</v>
      </c>
    </row>
    <row r="1657" spans="1:11" x14ac:dyDescent="0.2">
      <c r="A1657" s="4">
        <v>89</v>
      </c>
      <c r="B1657" s="4">
        <v>6</v>
      </c>
      <c r="C1657" t="s">
        <v>16</v>
      </c>
      <c r="D1657" s="4">
        <v>0</v>
      </c>
      <c r="E1657" s="3">
        <v>0.55988148064352605</v>
      </c>
      <c r="F1657" s="4">
        <v>1</v>
      </c>
      <c r="G1657" s="2">
        <v>1757.15</v>
      </c>
      <c r="H1657" s="2">
        <v>1757.15</v>
      </c>
      <c r="I1657" s="2">
        <v>1757.15</v>
      </c>
      <c r="J1657" s="2" t="str">
        <f t="shared" si="50"/>
        <v>75-90</v>
      </c>
      <c r="K1657" s="17" t="str">
        <f t="shared" si="51"/>
        <v>6-8</v>
      </c>
    </row>
    <row r="1658" spans="1:11" x14ac:dyDescent="0.2">
      <c r="A1658" s="4">
        <v>67</v>
      </c>
      <c r="B1658" s="4">
        <v>10</v>
      </c>
      <c r="C1658" t="s">
        <v>16</v>
      </c>
      <c r="D1658" s="4">
        <v>0</v>
      </c>
      <c r="E1658" s="3">
        <v>0.793018359225243</v>
      </c>
      <c r="F1658" s="4">
        <v>2</v>
      </c>
      <c r="G1658" s="2">
        <v>883.44</v>
      </c>
      <c r="H1658" s="2">
        <v>441.72</v>
      </c>
      <c r="I1658" s="2">
        <v>883.44</v>
      </c>
      <c r="J1658" s="2" t="str">
        <f t="shared" si="50"/>
        <v>65-74</v>
      </c>
      <c r="K1658" s="17" t="str">
        <f t="shared" si="51"/>
        <v>9-11</v>
      </c>
    </row>
    <row r="1659" spans="1:11" x14ac:dyDescent="0.2">
      <c r="A1659" s="4">
        <v>53</v>
      </c>
      <c r="B1659" s="4">
        <v>12</v>
      </c>
      <c r="C1659" t="s">
        <v>16</v>
      </c>
      <c r="D1659" s="4">
        <v>1</v>
      </c>
      <c r="E1659" s="3">
        <v>0.99568398168776195</v>
      </c>
      <c r="F1659" s="4">
        <v>2</v>
      </c>
      <c r="G1659" s="2">
        <v>1043.81</v>
      </c>
      <c r="H1659" s="2">
        <v>521.91</v>
      </c>
      <c r="I1659" s="2">
        <v>1043.81</v>
      </c>
      <c r="J1659" s="2" t="str">
        <f t="shared" si="50"/>
        <v>45-54</v>
      </c>
      <c r="K1659" s="17" t="str">
        <f t="shared" si="51"/>
        <v>12-15</v>
      </c>
    </row>
    <row r="1660" spans="1:11" x14ac:dyDescent="0.2">
      <c r="A1660" s="4">
        <v>85</v>
      </c>
      <c r="B1660" s="4">
        <v>14</v>
      </c>
      <c r="C1660" t="s">
        <v>8</v>
      </c>
      <c r="D1660" s="4">
        <v>0</v>
      </c>
      <c r="E1660" s="3">
        <v>0.50172620161902204</v>
      </c>
      <c r="F1660" s="4">
        <v>1</v>
      </c>
      <c r="G1660" s="2">
        <v>2101.1</v>
      </c>
      <c r="H1660" s="2">
        <v>2101.1</v>
      </c>
      <c r="I1660" s="2">
        <v>2101.1</v>
      </c>
      <c r="J1660" s="2" t="str">
        <f t="shared" si="50"/>
        <v>75-90</v>
      </c>
      <c r="K1660" s="17" t="str">
        <f t="shared" si="51"/>
        <v>12-15</v>
      </c>
    </row>
    <row r="1661" spans="1:11" x14ac:dyDescent="0.2">
      <c r="A1661" s="4">
        <v>67</v>
      </c>
      <c r="B1661" s="4">
        <v>2</v>
      </c>
      <c r="C1661" t="s">
        <v>8</v>
      </c>
      <c r="D1661" s="4">
        <v>0</v>
      </c>
      <c r="E1661" s="3">
        <v>0.988982441602275</v>
      </c>
      <c r="F1661" s="4">
        <v>1</v>
      </c>
      <c r="G1661" s="2">
        <v>697.37</v>
      </c>
      <c r="H1661" s="2">
        <v>697.37</v>
      </c>
      <c r="I1661" s="2">
        <v>697.37</v>
      </c>
      <c r="J1661" s="2" t="str">
        <f t="shared" si="50"/>
        <v>65-74</v>
      </c>
      <c r="K1661" s="17" t="str">
        <f t="shared" si="51"/>
        <v>0-2</v>
      </c>
    </row>
    <row r="1662" spans="1:11" x14ac:dyDescent="0.2">
      <c r="A1662" s="4">
        <v>85</v>
      </c>
      <c r="B1662" s="4">
        <v>13</v>
      </c>
      <c r="C1662" t="s">
        <v>8</v>
      </c>
      <c r="D1662" s="4">
        <v>1</v>
      </c>
      <c r="E1662" s="3">
        <v>0.99596280383411795</v>
      </c>
      <c r="F1662" s="4">
        <v>2</v>
      </c>
      <c r="G1662" s="2">
        <v>2251.9</v>
      </c>
      <c r="H1662" s="2">
        <v>1125.95</v>
      </c>
      <c r="I1662" s="2">
        <v>2251.9</v>
      </c>
      <c r="J1662" s="2" t="str">
        <f t="shared" si="50"/>
        <v>75-90</v>
      </c>
      <c r="K1662" s="17" t="str">
        <f t="shared" si="51"/>
        <v>12-15</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A41C5-FEEE-42F6-B115-395EC96066A3}">
  <dimension ref="A1:S48"/>
  <sheetViews>
    <sheetView showGridLines="0" zoomScale="80" zoomScaleNormal="80" workbookViewId="0">
      <selection activeCell="T15" sqref="T15"/>
    </sheetView>
  </sheetViews>
  <sheetFormatPr defaultRowHeight="14.25" x14ac:dyDescent="0.2"/>
  <cols>
    <col min="1" max="1" width="0.5" customWidth="1"/>
    <col min="2" max="2" width="11.375" customWidth="1"/>
    <col min="3" max="3" width="10.375" customWidth="1"/>
    <col min="10" max="10" width="9" customWidth="1"/>
    <col min="16" max="16" width="7.625" customWidth="1"/>
  </cols>
  <sheetData>
    <row r="1" spans="1:19" ht="2.25" customHeight="1" thickBot="1" x14ac:dyDescent="0.25"/>
    <row r="2" spans="1:19" ht="23.25" customHeight="1" thickBot="1" x14ac:dyDescent="0.45">
      <c r="A2" s="7"/>
      <c r="B2" s="41" t="s">
        <v>2058</v>
      </c>
      <c r="C2" s="42"/>
      <c r="D2" s="42"/>
      <c r="E2" s="42"/>
      <c r="F2" s="42"/>
      <c r="G2" s="42"/>
      <c r="H2" s="42"/>
      <c r="I2" s="42"/>
      <c r="J2" s="42"/>
      <c r="K2" s="42"/>
      <c r="L2" s="42"/>
      <c r="M2" s="42"/>
      <c r="N2" s="42"/>
      <c r="O2" s="42"/>
      <c r="P2" s="42"/>
      <c r="Q2" s="42"/>
      <c r="R2" s="42"/>
      <c r="S2" s="43"/>
    </row>
    <row r="3" spans="1:19" x14ac:dyDescent="0.2">
      <c r="A3" s="7"/>
      <c r="B3" s="7"/>
      <c r="C3" s="7"/>
      <c r="D3" s="7"/>
      <c r="E3" s="7"/>
      <c r="F3" s="7"/>
      <c r="G3" s="7"/>
      <c r="H3" s="7"/>
      <c r="I3" s="7"/>
      <c r="J3" s="7"/>
      <c r="K3" s="7"/>
      <c r="L3" s="7"/>
      <c r="M3" s="7"/>
      <c r="N3" s="7"/>
      <c r="O3" s="7"/>
      <c r="P3" s="7"/>
      <c r="Q3" s="7"/>
      <c r="R3" s="7"/>
      <c r="S3" s="9"/>
    </row>
    <row r="4" spans="1:19" x14ac:dyDescent="0.2">
      <c r="A4" s="7"/>
      <c r="B4" s="7"/>
      <c r="C4" s="7"/>
      <c r="D4" s="7"/>
      <c r="E4" s="7"/>
      <c r="F4" s="7"/>
      <c r="G4" s="7"/>
      <c r="H4" s="7"/>
      <c r="I4" s="7"/>
      <c r="J4" s="7"/>
      <c r="K4" s="7"/>
      <c r="L4" s="7"/>
      <c r="M4" s="7"/>
      <c r="N4" s="7"/>
      <c r="O4" s="7"/>
      <c r="P4" s="7"/>
      <c r="Q4" s="7"/>
      <c r="R4" s="7"/>
      <c r="S4" s="10"/>
    </row>
    <row r="5" spans="1:19" x14ac:dyDescent="0.2">
      <c r="A5" s="7"/>
      <c r="B5" s="7"/>
      <c r="C5" s="7"/>
      <c r="D5" s="7"/>
      <c r="E5" s="7"/>
      <c r="F5" s="7"/>
      <c r="G5" s="7"/>
      <c r="H5" s="7"/>
      <c r="I5" s="7"/>
      <c r="J5" s="7"/>
      <c r="K5" s="7"/>
      <c r="L5" s="7"/>
      <c r="M5" s="7"/>
      <c r="N5" s="7"/>
      <c r="O5" s="7"/>
      <c r="P5" s="7"/>
      <c r="Q5" s="7"/>
      <c r="R5" s="7"/>
      <c r="S5" s="10"/>
    </row>
    <row r="6" spans="1:19" x14ac:dyDescent="0.2">
      <c r="A6" s="7"/>
      <c r="B6" s="7"/>
      <c r="C6" s="7"/>
      <c r="D6" s="7"/>
      <c r="E6" s="7"/>
      <c r="F6" s="7"/>
      <c r="G6" s="7"/>
      <c r="H6" s="7"/>
      <c r="I6" s="7"/>
      <c r="J6" s="7"/>
      <c r="K6" s="7"/>
      <c r="L6" s="7"/>
      <c r="M6" s="7"/>
      <c r="N6" s="7"/>
      <c r="O6" s="7"/>
      <c r="P6" s="7"/>
      <c r="Q6" s="7"/>
      <c r="R6" s="7"/>
      <c r="S6" s="10"/>
    </row>
    <row r="7" spans="1:19" x14ac:dyDescent="0.2">
      <c r="A7" s="7"/>
      <c r="B7" s="7"/>
      <c r="C7" s="7"/>
      <c r="D7" s="7"/>
      <c r="E7" s="7"/>
      <c r="F7" s="7"/>
      <c r="G7" s="7"/>
      <c r="H7" s="7"/>
      <c r="I7" s="7"/>
      <c r="J7" s="7"/>
      <c r="K7" s="7"/>
      <c r="L7" s="7"/>
      <c r="M7" s="7"/>
      <c r="N7" s="7"/>
      <c r="O7" s="7"/>
      <c r="P7" s="7"/>
      <c r="Q7" s="7"/>
      <c r="R7" s="7"/>
      <c r="S7" s="10"/>
    </row>
    <row r="8" spans="1:19" x14ac:dyDescent="0.2">
      <c r="A8" s="7"/>
      <c r="B8" s="7"/>
      <c r="C8" s="7"/>
      <c r="D8" s="7"/>
      <c r="E8" s="7"/>
      <c r="F8" s="7"/>
      <c r="G8" s="7"/>
      <c r="H8" s="7"/>
      <c r="I8" s="7"/>
      <c r="J8" s="7"/>
      <c r="K8" s="7"/>
      <c r="L8" s="7"/>
      <c r="M8" s="7"/>
      <c r="N8" s="7"/>
      <c r="O8" s="7"/>
      <c r="P8" s="7"/>
      <c r="Q8" s="7"/>
      <c r="R8" s="7"/>
      <c r="S8" s="10"/>
    </row>
    <row r="9" spans="1:19" x14ac:dyDescent="0.2">
      <c r="A9" s="7"/>
      <c r="B9" s="7"/>
      <c r="C9" s="7"/>
      <c r="D9" s="7"/>
      <c r="E9" s="7"/>
      <c r="F9" s="7"/>
      <c r="G9" s="7"/>
      <c r="H9" s="7"/>
      <c r="I9" s="7"/>
      <c r="J9" s="7"/>
      <c r="K9" s="7"/>
      <c r="L9" s="7"/>
      <c r="M9" s="7"/>
      <c r="N9" s="40"/>
      <c r="O9" s="40"/>
      <c r="P9" s="7"/>
      <c r="Q9" s="7"/>
      <c r="R9" s="7"/>
      <c r="S9" s="10"/>
    </row>
    <row r="10" spans="1:19" x14ac:dyDescent="0.2">
      <c r="A10" s="7"/>
      <c r="B10" s="7"/>
      <c r="C10" s="7"/>
      <c r="D10" s="7"/>
      <c r="E10" s="7"/>
      <c r="F10" s="7"/>
      <c r="G10" s="7"/>
      <c r="H10" s="7"/>
      <c r="I10" s="7"/>
      <c r="J10" s="7"/>
      <c r="K10" s="7"/>
      <c r="L10" s="7"/>
      <c r="M10" s="7"/>
      <c r="N10" s="7"/>
      <c r="O10" s="7"/>
      <c r="P10" s="7"/>
      <c r="Q10" s="7"/>
      <c r="R10" s="7"/>
      <c r="S10" s="10"/>
    </row>
    <row r="11" spans="1:19" x14ac:dyDescent="0.2">
      <c r="A11" s="7"/>
      <c r="B11" s="7"/>
      <c r="C11" s="7"/>
      <c r="D11" s="7"/>
      <c r="E11" s="7"/>
      <c r="F11" s="7"/>
      <c r="G11" s="7"/>
      <c r="H11" s="7"/>
      <c r="I11" s="7"/>
      <c r="J11" s="7"/>
      <c r="K11" s="7"/>
      <c r="L11" s="7"/>
      <c r="M11" s="7"/>
      <c r="N11" s="7"/>
      <c r="O11" s="7"/>
      <c r="P11" s="7"/>
      <c r="Q11" s="7"/>
      <c r="R11" s="7"/>
      <c r="S11" s="10"/>
    </row>
    <row r="12" spans="1:19" x14ac:dyDescent="0.2">
      <c r="A12" s="7"/>
      <c r="B12" s="7"/>
      <c r="C12" s="7"/>
      <c r="D12" s="7"/>
      <c r="E12" s="7"/>
      <c r="F12" s="7"/>
      <c r="G12" s="7"/>
      <c r="H12" s="7"/>
      <c r="I12" s="7"/>
      <c r="J12" s="7"/>
      <c r="K12" s="7"/>
      <c r="L12" s="7"/>
      <c r="M12" s="7"/>
      <c r="N12" s="7"/>
      <c r="O12" s="7"/>
      <c r="P12" s="7"/>
      <c r="Q12" s="7"/>
      <c r="R12" s="7"/>
      <c r="S12" s="10"/>
    </row>
    <row r="13" spans="1:19" x14ac:dyDescent="0.2">
      <c r="A13" s="7"/>
      <c r="B13" s="7"/>
      <c r="C13" s="7"/>
      <c r="D13" s="7"/>
      <c r="E13" s="7"/>
      <c r="F13" s="7"/>
      <c r="G13" s="7"/>
      <c r="H13" s="7"/>
      <c r="I13" s="7"/>
      <c r="J13" s="7"/>
      <c r="K13" s="7"/>
      <c r="L13" s="7"/>
      <c r="M13" s="7"/>
      <c r="N13" s="7"/>
      <c r="O13" s="7"/>
      <c r="P13" s="7"/>
      <c r="Q13" s="7"/>
      <c r="R13" s="7"/>
      <c r="S13" s="10"/>
    </row>
    <row r="14" spans="1:19" x14ac:dyDescent="0.2">
      <c r="A14" s="7"/>
      <c r="B14" s="7"/>
      <c r="C14" s="7"/>
      <c r="D14" s="7"/>
      <c r="E14" s="7"/>
      <c r="F14" s="7"/>
      <c r="G14" s="7"/>
      <c r="H14" s="7"/>
      <c r="I14" s="7"/>
      <c r="J14" s="7"/>
      <c r="K14" s="7"/>
      <c r="L14" s="7"/>
      <c r="M14" s="7"/>
      <c r="N14" s="7"/>
      <c r="O14" s="7"/>
      <c r="P14" s="7"/>
      <c r="Q14" s="7"/>
      <c r="R14" s="7"/>
      <c r="S14" s="10"/>
    </row>
    <row r="15" spans="1:19" x14ac:dyDescent="0.2">
      <c r="A15" s="7"/>
      <c r="B15" s="7"/>
      <c r="C15" s="7"/>
      <c r="D15" s="7"/>
      <c r="E15" s="7"/>
      <c r="F15" s="7"/>
      <c r="G15" s="7"/>
      <c r="H15" s="7"/>
      <c r="I15" s="7"/>
      <c r="J15" s="7"/>
      <c r="K15" s="7"/>
      <c r="L15" s="7"/>
      <c r="M15" s="7"/>
      <c r="N15" s="7"/>
      <c r="O15" s="7"/>
      <c r="P15" s="7"/>
      <c r="Q15" s="7"/>
      <c r="R15" s="7"/>
      <c r="S15" s="10"/>
    </row>
    <row r="16" spans="1:19" x14ac:dyDescent="0.2">
      <c r="A16" s="7"/>
      <c r="B16" s="7"/>
      <c r="C16" s="7"/>
      <c r="D16" s="7"/>
      <c r="E16" s="7"/>
      <c r="F16" s="7"/>
      <c r="G16" s="7"/>
      <c r="H16" s="7"/>
      <c r="I16" s="7"/>
      <c r="J16" s="7"/>
      <c r="K16" s="7"/>
      <c r="L16" s="7"/>
      <c r="M16" s="7"/>
      <c r="N16" s="7"/>
      <c r="O16" s="7"/>
      <c r="P16" s="7"/>
      <c r="Q16" s="7"/>
      <c r="R16" s="7"/>
      <c r="S16" s="10"/>
    </row>
    <row r="17" spans="1:19" x14ac:dyDescent="0.2">
      <c r="A17" s="7"/>
      <c r="B17" s="7"/>
      <c r="C17" s="7"/>
      <c r="D17" s="7"/>
      <c r="E17" s="7"/>
      <c r="F17" s="7"/>
      <c r="G17" s="7"/>
      <c r="H17" s="7"/>
      <c r="I17" s="7"/>
      <c r="J17" s="7"/>
      <c r="K17" s="7"/>
      <c r="L17" s="7"/>
      <c r="M17" s="7"/>
      <c r="N17" s="7"/>
      <c r="O17" s="7"/>
      <c r="P17" s="7"/>
      <c r="Q17" s="7"/>
      <c r="R17" s="7"/>
      <c r="S17" s="10"/>
    </row>
    <row r="18" spans="1:19" x14ac:dyDescent="0.2">
      <c r="A18" s="7"/>
      <c r="B18" s="7"/>
      <c r="C18" s="7"/>
      <c r="D18" s="7"/>
      <c r="E18" s="7"/>
      <c r="F18" s="7"/>
      <c r="G18" s="7"/>
      <c r="H18" s="7"/>
      <c r="I18" s="7"/>
      <c r="J18" s="7"/>
      <c r="K18" s="7"/>
      <c r="L18" s="7"/>
      <c r="M18" s="7"/>
      <c r="N18" s="7"/>
      <c r="O18" s="7"/>
      <c r="P18" s="7"/>
      <c r="Q18" s="7"/>
      <c r="R18" s="7"/>
      <c r="S18" s="10"/>
    </row>
    <row r="19" spans="1:19" x14ac:dyDescent="0.2">
      <c r="A19" s="7"/>
      <c r="B19" s="7"/>
      <c r="C19" s="7"/>
      <c r="D19" s="7"/>
      <c r="E19" s="7"/>
      <c r="F19" s="7"/>
      <c r="G19" s="7"/>
      <c r="H19" s="7"/>
      <c r="I19" s="7"/>
      <c r="J19" s="7"/>
      <c r="K19" s="7"/>
      <c r="L19" s="7"/>
      <c r="M19" s="7"/>
      <c r="N19" s="7"/>
      <c r="O19" s="7"/>
      <c r="P19" s="7"/>
      <c r="Q19" s="7"/>
      <c r="R19" s="7"/>
      <c r="S19" s="10"/>
    </row>
    <row r="20" spans="1:19" x14ac:dyDescent="0.2">
      <c r="A20" s="7"/>
      <c r="B20" s="7"/>
      <c r="C20" s="7"/>
      <c r="D20" s="7"/>
      <c r="E20" s="7"/>
      <c r="F20" s="7"/>
      <c r="G20" s="7"/>
      <c r="H20" s="7"/>
      <c r="I20" s="7"/>
      <c r="J20" s="7"/>
      <c r="K20" s="7"/>
      <c r="L20" s="7"/>
      <c r="M20" s="7"/>
      <c r="N20" s="7"/>
      <c r="O20" s="7"/>
      <c r="P20" s="7"/>
      <c r="Q20" s="7"/>
      <c r="R20" s="7"/>
      <c r="S20" s="10"/>
    </row>
    <row r="21" spans="1:19" x14ac:dyDescent="0.2">
      <c r="A21" s="7"/>
      <c r="B21" s="7"/>
      <c r="C21" s="7"/>
      <c r="D21" s="7"/>
      <c r="E21" s="7"/>
      <c r="F21" s="7"/>
      <c r="G21" s="7"/>
      <c r="H21" s="7"/>
      <c r="I21" s="7"/>
      <c r="J21" s="7"/>
      <c r="K21" s="7"/>
      <c r="L21" s="7"/>
      <c r="M21" s="7"/>
      <c r="N21" s="7"/>
      <c r="O21" s="7"/>
      <c r="P21" s="7"/>
      <c r="Q21" s="7"/>
      <c r="R21" s="7"/>
      <c r="S21" s="10"/>
    </row>
    <row r="22" spans="1:19" x14ac:dyDescent="0.2">
      <c r="A22" s="7"/>
      <c r="B22" s="7"/>
      <c r="C22" s="7"/>
      <c r="D22" s="7"/>
      <c r="E22" s="7"/>
      <c r="F22" s="7"/>
      <c r="G22" s="7"/>
      <c r="H22" s="7"/>
      <c r="I22" s="7"/>
      <c r="J22" s="7"/>
      <c r="K22" s="7"/>
      <c r="L22" s="7"/>
      <c r="M22" s="7"/>
      <c r="N22" s="7"/>
      <c r="O22" s="7"/>
      <c r="P22" s="7"/>
      <c r="Q22" s="7"/>
      <c r="R22" s="7"/>
      <c r="S22" s="10"/>
    </row>
    <row r="23" spans="1:19" x14ac:dyDescent="0.2">
      <c r="A23" s="7"/>
      <c r="B23" s="7"/>
      <c r="C23" s="7"/>
      <c r="D23" s="7"/>
      <c r="E23" s="7"/>
      <c r="F23" s="7"/>
      <c r="G23" s="7"/>
      <c r="H23" s="7"/>
      <c r="I23" s="7"/>
      <c r="J23" s="7"/>
      <c r="K23" s="7"/>
      <c r="L23" s="7"/>
      <c r="M23" s="7"/>
      <c r="N23" s="7"/>
      <c r="O23" s="7"/>
      <c r="P23" s="7"/>
      <c r="Q23" s="7"/>
      <c r="R23" s="7"/>
      <c r="S23" s="10"/>
    </row>
    <row r="24" spans="1:19" x14ac:dyDescent="0.2">
      <c r="A24" s="7"/>
      <c r="B24" s="7"/>
      <c r="C24" s="7"/>
      <c r="D24" s="7"/>
      <c r="E24" s="7"/>
      <c r="F24" s="7"/>
      <c r="G24" s="7"/>
      <c r="H24" s="7"/>
      <c r="I24" s="7"/>
      <c r="J24" s="7"/>
      <c r="K24" s="7"/>
      <c r="L24" s="7"/>
      <c r="M24" s="7"/>
      <c r="N24" s="7"/>
      <c r="O24" s="7"/>
      <c r="P24" s="7"/>
      <c r="Q24" s="7"/>
      <c r="R24" s="7"/>
      <c r="S24" s="10"/>
    </row>
    <row r="25" spans="1:19" x14ac:dyDescent="0.2">
      <c r="A25" s="7"/>
      <c r="B25" s="7"/>
      <c r="C25" s="7"/>
      <c r="D25" s="7"/>
      <c r="E25" s="7"/>
      <c r="F25" s="7"/>
      <c r="G25" s="7"/>
      <c r="H25" s="7"/>
      <c r="I25" s="7"/>
      <c r="J25" s="7"/>
      <c r="K25" s="7"/>
      <c r="L25" s="7"/>
      <c r="M25" s="7"/>
      <c r="N25" s="7"/>
      <c r="O25" s="7"/>
      <c r="P25" s="7"/>
      <c r="Q25" s="7"/>
      <c r="R25" s="7"/>
      <c r="S25" s="10"/>
    </row>
    <row r="26" spans="1:19" x14ac:dyDescent="0.2">
      <c r="A26" s="7"/>
      <c r="B26" s="7"/>
      <c r="C26" s="7"/>
      <c r="D26" s="7"/>
      <c r="E26" s="7"/>
      <c r="F26" s="7"/>
      <c r="G26" s="7"/>
      <c r="H26" s="7"/>
      <c r="I26" s="7"/>
      <c r="J26" s="7"/>
      <c r="K26" s="7"/>
      <c r="L26" s="7"/>
      <c r="M26" s="7"/>
      <c r="N26" s="7"/>
      <c r="O26" s="7"/>
      <c r="P26" s="7"/>
      <c r="Q26" s="7"/>
      <c r="R26" s="7"/>
      <c r="S26" s="10"/>
    </row>
    <row r="27" spans="1:19" x14ac:dyDescent="0.2">
      <c r="A27" s="7"/>
      <c r="B27" s="7"/>
      <c r="C27" s="7"/>
      <c r="D27" s="7"/>
      <c r="E27" s="7"/>
      <c r="F27" s="7"/>
      <c r="G27" s="7"/>
      <c r="H27" s="7"/>
      <c r="I27" s="7"/>
      <c r="J27" s="7"/>
      <c r="K27" s="7"/>
      <c r="L27" s="7"/>
      <c r="M27" s="7"/>
      <c r="N27" s="7"/>
      <c r="O27" s="7"/>
      <c r="P27" s="7"/>
      <c r="Q27" s="7"/>
      <c r="R27" s="7"/>
      <c r="S27" s="10"/>
    </row>
    <row r="28" spans="1:19" x14ac:dyDescent="0.2">
      <c r="A28" s="7"/>
      <c r="B28" s="7"/>
      <c r="C28" s="7"/>
      <c r="D28" s="7"/>
      <c r="E28" s="7"/>
      <c r="F28" s="7"/>
      <c r="G28" s="7"/>
      <c r="H28" s="7"/>
      <c r="I28" s="7"/>
      <c r="J28" s="7"/>
      <c r="K28" s="7"/>
      <c r="L28" s="7"/>
      <c r="M28" s="7"/>
      <c r="N28" s="7"/>
      <c r="O28" s="7"/>
      <c r="P28" s="7"/>
      <c r="Q28" s="7"/>
      <c r="R28" s="7"/>
      <c r="S28" s="10"/>
    </row>
    <row r="29" spans="1:19" x14ac:dyDescent="0.2">
      <c r="A29" s="7"/>
      <c r="B29" s="7"/>
      <c r="C29" s="7"/>
      <c r="D29" s="7"/>
      <c r="E29" s="7"/>
      <c r="F29" s="7"/>
      <c r="G29" s="7"/>
      <c r="H29" s="7"/>
      <c r="I29" s="7"/>
      <c r="J29" s="7"/>
      <c r="K29" s="7"/>
      <c r="L29" s="7"/>
      <c r="M29" s="7"/>
      <c r="N29" s="7"/>
      <c r="O29" s="7"/>
      <c r="P29" s="7"/>
      <c r="Q29" s="7"/>
      <c r="R29" s="7"/>
      <c r="S29" s="10"/>
    </row>
    <row r="30" spans="1:19" x14ac:dyDescent="0.2">
      <c r="A30" s="7"/>
      <c r="B30" s="7"/>
      <c r="C30" s="7"/>
      <c r="D30" s="7"/>
      <c r="E30" s="7"/>
      <c r="F30" s="7"/>
      <c r="G30" s="7"/>
      <c r="H30" s="7"/>
      <c r="I30" s="7"/>
      <c r="J30" s="7"/>
      <c r="K30" s="7"/>
      <c r="L30" s="7"/>
      <c r="M30" s="7"/>
      <c r="N30" s="7"/>
      <c r="O30" s="7"/>
      <c r="P30" s="7"/>
      <c r="Q30" s="7"/>
      <c r="R30" s="7"/>
      <c r="S30" s="10"/>
    </row>
    <row r="31" spans="1:19" x14ac:dyDescent="0.2">
      <c r="A31" s="7"/>
      <c r="B31" s="7"/>
      <c r="C31" s="7"/>
      <c r="D31" s="7"/>
      <c r="E31" s="7"/>
      <c r="F31" s="7"/>
      <c r="G31" s="7"/>
      <c r="H31" s="7"/>
      <c r="I31" s="7"/>
      <c r="J31" s="7"/>
      <c r="K31" s="7"/>
      <c r="L31" s="7"/>
      <c r="M31" s="7"/>
      <c r="N31" s="7"/>
      <c r="O31" s="7"/>
      <c r="P31" s="7"/>
      <c r="Q31" s="7"/>
      <c r="R31" s="7"/>
      <c r="S31" s="10"/>
    </row>
    <row r="32" spans="1:19" x14ac:dyDescent="0.2">
      <c r="A32" s="7"/>
      <c r="B32" s="7"/>
      <c r="C32" s="7"/>
      <c r="D32" s="7"/>
      <c r="E32" s="7"/>
      <c r="F32" s="7"/>
      <c r="G32" s="7"/>
      <c r="H32" s="7"/>
      <c r="I32" s="7"/>
      <c r="J32" s="7"/>
      <c r="K32" s="7"/>
      <c r="L32" s="7"/>
      <c r="M32" s="7"/>
      <c r="N32" s="7"/>
      <c r="O32" s="7"/>
      <c r="P32" s="7"/>
      <c r="Q32" s="7"/>
      <c r="R32" s="7"/>
      <c r="S32" s="10"/>
    </row>
    <row r="33" spans="1:19" x14ac:dyDescent="0.2">
      <c r="A33" s="7"/>
      <c r="B33" s="7"/>
      <c r="C33" s="7"/>
      <c r="D33" s="7"/>
      <c r="E33" s="7"/>
      <c r="F33" s="7"/>
      <c r="G33" s="7"/>
      <c r="H33" s="7"/>
      <c r="I33" s="7"/>
      <c r="J33" s="7"/>
      <c r="K33" s="7"/>
      <c r="L33" s="7"/>
      <c r="M33" s="7"/>
      <c r="N33" s="7"/>
      <c r="O33" s="7"/>
      <c r="P33" s="7"/>
      <c r="Q33" s="7"/>
      <c r="R33" s="7"/>
      <c r="S33" s="10"/>
    </row>
    <row r="34" spans="1:19" x14ac:dyDescent="0.2">
      <c r="A34" s="7"/>
      <c r="B34" s="7"/>
      <c r="C34" s="7"/>
      <c r="D34" s="7"/>
      <c r="E34" s="7"/>
      <c r="F34" s="7"/>
      <c r="G34" s="7"/>
      <c r="H34" s="7"/>
      <c r="I34" s="7"/>
      <c r="J34" s="7"/>
      <c r="K34" s="7"/>
      <c r="L34" s="7"/>
      <c r="M34" s="7"/>
      <c r="N34" s="7"/>
      <c r="O34" s="7"/>
      <c r="P34" s="7"/>
      <c r="Q34" s="7"/>
      <c r="R34" s="7"/>
      <c r="S34" s="10"/>
    </row>
    <row r="35" spans="1:19" x14ac:dyDescent="0.2">
      <c r="A35" s="7"/>
      <c r="B35" s="7"/>
      <c r="C35" s="7"/>
      <c r="D35" s="7"/>
      <c r="E35" s="7"/>
      <c r="F35" s="7"/>
      <c r="G35" s="7"/>
      <c r="H35" s="7"/>
      <c r="I35" s="7"/>
      <c r="J35" s="7"/>
      <c r="K35" s="7"/>
      <c r="L35" s="7"/>
      <c r="M35" s="7"/>
      <c r="N35" s="7"/>
      <c r="O35" s="7"/>
      <c r="P35" s="7"/>
      <c r="Q35" s="7"/>
      <c r="R35" s="7"/>
      <c r="S35" s="10"/>
    </row>
    <row r="36" spans="1:19" x14ac:dyDescent="0.2">
      <c r="A36" s="7"/>
      <c r="B36" s="7"/>
      <c r="C36" s="7"/>
      <c r="D36" s="7"/>
      <c r="E36" s="7"/>
      <c r="F36" s="7"/>
      <c r="G36" s="7"/>
      <c r="H36" s="7"/>
      <c r="I36" s="7"/>
      <c r="J36" s="7"/>
      <c r="K36" s="7"/>
      <c r="L36" s="7"/>
      <c r="M36" s="7"/>
      <c r="N36" s="7"/>
      <c r="O36" s="7"/>
      <c r="P36" s="7"/>
      <c r="Q36" s="7"/>
      <c r="R36" s="7"/>
      <c r="S36" s="10"/>
    </row>
    <row r="37" spans="1:19" x14ac:dyDescent="0.2">
      <c r="A37" s="7"/>
      <c r="B37" s="7"/>
      <c r="C37" s="7"/>
      <c r="D37" s="7"/>
      <c r="E37" s="7"/>
      <c r="F37" s="7"/>
      <c r="G37" s="7"/>
      <c r="H37" s="7"/>
      <c r="I37" s="7"/>
      <c r="J37" s="7"/>
      <c r="K37" s="7"/>
      <c r="L37" s="7"/>
      <c r="M37" s="7"/>
      <c r="N37" s="7"/>
      <c r="O37" s="7"/>
      <c r="P37" s="7"/>
      <c r="Q37" s="7"/>
      <c r="R37" s="7"/>
      <c r="S37" s="10"/>
    </row>
    <row r="38" spans="1:19" x14ac:dyDescent="0.2">
      <c r="A38" s="7"/>
      <c r="B38" s="7"/>
      <c r="C38" s="7"/>
      <c r="D38" s="7"/>
      <c r="E38" s="7"/>
      <c r="F38" s="7"/>
      <c r="G38" s="7"/>
      <c r="H38" s="7"/>
      <c r="I38" s="7"/>
      <c r="J38" s="7"/>
      <c r="K38" s="7"/>
      <c r="L38" s="7"/>
      <c r="M38" s="7"/>
      <c r="N38" s="7"/>
      <c r="O38" s="7"/>
      <c r="P38" s="7"/>
      <c r="Q38" s="7"/>
      <c r="R38" s="7"/>
      <c r="S38" s="10"/>
    </row>
    <row r="39" spans="1:19" x14ac:dyDescent="0.2">
      <c r="A39" s="7"/>
      <c r="B39" s="7"/>
      <c r="C39" s="7"/>
      <c r="D39" s="7"/>
      <c r="E39" s="7"/>
      <c r="F39" s="7"/>
      <c r="G39" s="7"/>
      <c r="H39" s="7"/>
      <c r="I39" s="7"/>
      <c r="J39" s="7"/>
      <c r="K39" s="7"/>
      <c r="L39" s="7"/>
      <c r="M39" s="7"/>
      <c r="N39" s="7"/>
      <c r="O39" s="7"/>
      <c r="P39" s="7"/>
      <c r="Q39" s="7"/>
      <c r="R39" s="7"/>
      <c r="S39" s="10"/>
    </row>
    <row r="40" spans="1:19" x14ac:dyDescent="0.2">
      <c r="A40" s="7"/>
      <c r="B40" s="7"/>
      <c r="C40" s="7"/>
      <c r="D40" s="7"/>
      <c r="E40" s="7"/>
      <c r="F40" s="7"/>
      <c r="G40" s="7"/>
      <c r="H40" s="7"/>
      <c r="I40" s="7"/>
      <c r="J40" s="7"/>
      <c r="K40" s="7"/>
      <c r="L40" s="7"/>
      <c r="M40" s="7"/>
      <c r="N40" s="7"/>
      <c r="O40" s="7"/>
      <c r="P40" s="7"/>
      <c r="Q40" s="7"/>
      <c r="R40" s="7"/>
      <c r="S40" s="10"/>
    </row>
    <row r="41" spans="1:19" x14ac:dyDescent="0.2">
      <c r="A41" s="7"/>
      <c r="B41" s="7"/>
      <c r="C41" s="7"/>
      <c r="D41" s="7"/>
      <c r="E41" s="7"/>
      <c r="F41" s="7"/>
      <c r="G41" s="7"/>
      <c r="H41" s="7"/>
      <c r="I41" s="7"/>
      <c r="J41" s="7"/>
      <c r="K41" s="7"/>
      <c r="L41" s="7"/>
      <c r="M41" s="7"/>
      <c r="N41" s="7"/>
      <c r="O41" s="7"/>
      <c r="P41" s="7"/>
      <c r="Q41" s="7"/>
      <c r="R41" s="7"/>
      <c r="S41" s="10"/>
    </row>
    <row r="42" spans="1:19" x14ac:dyDescent="0.2">
      <c r="A42" s="7"/>
      <c r="B42" s="7"/>
      <c r="C42" s="7"/>
      <c r="D42" s="7"/>
      <c r="E42" s="7"/>
      <c r="F42" s="7"/>
      <c r="G42" s="7"/>
      <c r="H42" s="7"/>
      <c r="I42" s="7"/>
      <c r="J42" s="7"/>
      <c r="K42" s="7"/>
      <c r="L42" s="7"/>
      <c r="M42" s="7"/>
      <c r="N42" s="7"/>
      <c r="O42" s="7"/>
      <c r="P42" s="7"/>
      <c r="Q42" s="7"/>
      <c r="R42" s="7"/>
      <c r="S42" s="10"/>
    </row>
    <row r="43" spans="1:19" x14ac:dyDescent="0.2">
      <c r="A43" s="7"/>
      <c r="B43" s="7"/>
      <c r="C43" s="7"/>
      <c r="D43" s="7"/>
      <c r="E43" s="7"/>
      <c r="F43" s="7"/>
      <c r="G43" s="7"/>
      <c r="H43" s="7"/>
      <c r="I43" s="7"/>
      <c r="J43" s="7"/>
      <c r="K43" s="7"/>
      <c r="L43" s="7"/>
      <c r="M43" s="7"/>
      <c r="N43" s="7"/>
      <c r="O43" s="7"/>
      <c r="P43" s="7"/>
      <c r="Q43" s="7"/>
      <c r="R43" s="7"/>
      <c r="S43" s="10"/>
    </row>
    <row r="44" spans="1:19" x14ac:dyDescent="0.2">
      <c r="A44" s="7"/>
      <c r="B44" s="7"/>
      <c r="C44" s="7"/>
      <c r="D44" s="7"/>
      <c r="E44" s="7"/>
      <c r="F44" s="7"/>
      <c r="G44" s="7"/>
      <c r="H44" s="7"/>
      <c r="I44" s="7"/>
      <c r="J44" s="7"/>
      <c r="K44" s="7"/>
      <c r="L44" s="7"/>
      <c r="M44" s="7"/>
      <c r="N44" s="7"/>
      <c r="O44" s="7"/>
      <c r="P44" s="7"/>
      <c r="Q44" s="7"/>
      <c r="R44" s="7"/>
      <c r="S44" s="10"/>
    </row>
    <row r="45" spans="1:19" x14ac:dyDescent="0.2">
      <c r="A45" s="7"/>
      <c r="B45" s="7"/>
      <c r="C45" s="7"/>
      <c r="D45" s="7"/>
      <c r="E45" s="7"/>
      <c r="F45" s="7"/>
      <c r="G45" s="7"/>
      <c r="H45" s="7"/>
      <c r="I45" s="7"/>
      <c r="J45" s="7"/>
      <c r="K45" s="7"/>
      <c r="L45" s="7"/>
      <c r="M45" s="7"/>
      <c r="N45" s="7"/>
      <c r="O45" s="7"/>
      <c r="P45" s="7"/>
      <c r="Q45" s="7"/>
      <c r="R45" s="7"/>
      <c r="S45" s="10"/>
    </row>
    <row r="46" spans="1:19" x14ac:dyDescent="0.2">
      <c r="A46" s="7"/>
      <c r="B46" s="7"/>
      <c r="C46" s="7"/>
      <c r="D46" s="7"/>
      <c r="E46" s="7"/>
      <c r="F46" s="7"/>
      <c r="G46" s="7"/>
      <c r="H46" s="7"/>
      <c r="I46" s="7"/>
      <c r="J46" s="7"/>
      <c r="K46" s="7"/>
      <c r="L46" s="7"/>
      <c r="M46" s="7"/>
      <c r="N46" s="7"/>
      <c r="O46" s="7"/>
      <c r="P46" s="7"/>
      <c r="Q46" s="7"/>
      <c r="R46" s="7"/>
      <c r="S46" s="10"/>
    </row>
    <row r="47" spans="1:19" x14ac:dyDescent="0.2">
      <c r="A47" s="7"/>
      <c r="B47" s="7"/>
      <c r="C47" s="7"/>
      <c r="D47" s="7"/>
      <c r="E47" s="7"/>
      <c r="F47" s="7"/>
      <c r="G47" s="7"/>
      <c r="H47" s="7"/>
      <c r="I47" s="7"/>
      <c r="J47" s="7"/>
      <c r="K47" s="7"/>
      <c r="L47" s="7"/>
      <c r="M47" s="7"/>
      <c r="N47" s="7"/>
      <c r="O47" s="7"/>
      <c r="P47" s="7"/>
      <c r="Q47" s="7"/>
      <c r="R47" s="7"/>
      <c r="S47" s="10"/>
    </row>
    <row r="48" spans="1:19" x14ac:dyDescent="0.2">
      <c r="A48" s="8"/>
      <c r="B48" s="8"/>
      <c r="C48" s="8"/>
      <c r="D48" s="8"/>
      <c r="E48" s="8"/>
      <c r="F48" s="8"/>
      <c r="G48" s="8"/>
      <c r="H48" s="8"/>
      <c r="I48" s="8"/>
      <c r="J48" s="8"/>
      <c r="K48" s="8"/>
      <c r="L48" s="8"/>
      <c r="M48" s="8"/>
      <c r="N48" s="8"/>
      <c r="O48" s="8"/>
      <c r="P48" s="8"/>
      <c r="Q48" s="8"/>
      <c r="R48" s="8"/>
      <c r="S48" s="11"/>
    </row>
  </sheetData>
  <mergeCells count="2">
    <mergeCell ref="N9:O9"/>
    <mergeCell ref="B2:S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4DA8-8CCA-44CF-B05C-2AF928747F06}">
  <dimension ref="A1:Y92"/>
  <sheetViews>
    <sheetView tabSelected="1" topLeftCell="A7" zoomScaleNormal="100" workbookViewId="0">
      <selection activeCell="X19" sqref="X19"/>
    </sheetView>
  </sheetViews>
  <sheetFormatPr defaultRowHeight="14.25" x14ac:dyDescent="0.2"/>
  <cols>
    <col min="11" max="11" width="19.25" customWidth="1"/>
    <col min="12" max="12" width="11" customWidth="1"/>
    <col min="13" max="13" width="1.875" customWidth="1"/>
    <col min="14" max="14" width="15.5" customWidth="1"/>
    <col min="15" max="15" width="2.25" customWidth="1"/>
    <col min="16" max="16" width="12.375" customWidth="1"/>
    <col min="17" max="17" width="9" customWidth="1"/>
  </cols>
  <sheetData>
    <row r="1" spans="1:25" x14ac:dyDescent="0.2">
      <c r="A1" s="15"/>
      <c r="B1" s="15"/>
      <c r="C1" s="15"/>
      <c r="D1" s="15"/>
      <c r="E1" s="15"/>
      <c r="F1" s="15"/>
      <c r="G1" s="15"/>
      <c r="H1" s="15"/>
      <c r="I1" s="15"/>
      <c r="J1" s="15"/>
      <c r="K1" s="15"/>
      <c r="L1" s="15"/>
      <c r="M1" s="15"/>
      <c r="N1" s="15"/>
      <c r="O1" s="15"/>
      <c r="P1" s="15"/>
      <c r="Q1" s="15"/>
      <c r="R1" s="15"/>
      <c r="S1" s="15"/>
      <c r="T1" s="15"/>
      <c r="U1" s="15"/>
      <c r="V1" s="15"/>
      <c r="W1" s="15"/>
      <c r="X1" s="51"/>
      <c r="Y1" s="51"/>
    </row>
    <row r="2" spans="1:25" x14ac:dyDescent="0.2">
      <c r="A2" s="15"/>
      <c r="B2" s="15"/>
      <c r="C2" s="15"/>
      <c r="D2" s="15"/>
      <c r="E2" s="15"/>
      <c r="F2" s="15"/>
      <c r="G2" s="15"/>
      <c r="H2" s="15"/>
      <c r="I2" s="15"/>
      <c r="J2" s="15"/>
      <c r="K2" s="15"/>
      <c r="L2" s="15"/>
      <c r="M2" s="15"/>
      <c r="N2" s="15"/>
      <c r="O2" s="15"/>
      <c r="P2" s="15"/>
      <c r="Q2" s="15"/>
      <c r="R2" s="15"/>
      <c r="S2" s="15"/>
      <c r="T2" s="15"/>
      <c r="U2" s="15"/>
      <c r="V2" s="15"/>
      <c r="W2" s="15"/>
      <c r="X2" s="51"/>
      <c r="Y2" s="51"/>
    </row>
    <row r="3" spans="1:25" x14ac:dyDescent="0.2">
      <c r="A3" s="15"/>
      <c r="B3" s="15"/>
      <c r="C3" s="15"/>
      <c r="D3" s="15"/>
      <c r="E3" s="15"/>
      <c r="F3" s="15"/>
      <c r="G3" s="15"/>
      <c r="H3" s="15"/>
      <c r="I3" s="15"/>
      <c r="J3" s="15"/>
      <c r="K3" s="15"/>
      <c r="L3" s="15"/>
      <c r="M3" s="15"/>
      <c r="N3" s="15"/>
      <c r="O3" s="15"/>
      <c r="P3" s="15"/>
      <c r="Q3" s="15"/>
      <c r="R3" s="15"/>
      <c r="S3" s="15"/>
      <c r="T3" s="15"/>
      <c r="U3" s="15"/>
      <c r="V3" s="15"/>
      <c r="W3" s="15"/>
      <c r="X3" s="51"/>
      <c r="Y3" s="51"/>
    </row>
    <row r="4" spans="1:25" x14ac:dyDescent="0.2">
      <c r="A4" s="15"/>
      <c r="B4" s="15"/>
      <c r="C4" s="15"/>
      <c r="D4" s="15"/>
      <c r="E4" s="15"/>
      <c r="F4" s="15"/>
      <c r="G4" s="15"/>
      <c r="H4" s="15"/>
      <c r="I4" s="15"/>
      <c r="J4" s="15"/>
      <c r="K4" s="15"/>
      <c r="L4" s="15"/>
      <c r="M4" s="15"/>
      <c r="N4" s="15"/>
      <c r="O4" s="15"/>
      <c r="P4" s="15"/>
      <c r="Q4" s="15"/>
      <c r="R4" s="15"/>
      <c r="S4" s="15"/>
      <c r="T4" s="15"/>
      <c r="U4" s="15"/>
      <c r="V4" s="15"/>
      <c r="W4" s="15"/>
      <c r="X4" s="51"/>
      <c r="Y4" s="51"/>
    </row>
    <row r="5" spans="1:25" x14ac:dyDescent="0.2">
      <c r="A5" s="15"/>
      <c r="B5" s="15"/>
      <c r="C5" s="15"/>
      <c r="D5" s="15"/>
      <c r="E5" s="15"/>
      <c r="F5" s="15"/>
      <c r="G5" s="15"/>
      <c r="H5" s="15"/>
      <c r="I5" s="15"/>
      <c r="J5" s="15"/>
      <c r="K5" s="15"/>
      <c r="L5" s="15"/>
      <c r="M5" s="15"/>
      <c r="N5" s="15"/>
      <c r="O5" s="15"/>
      <c r="P5" s="15"/>
      <c r="Q5" s="15"/>
      <c r="R5" s="15"/>
      <c r="S5" s="15"/>
      <c r="T5" s="15"/>
      <c r="U5" s="15"/>
      <c r="V5" s="15"/>
      <c r="W5" s="15"/>
      <c r="X5" s="51"/>
      <c r="Y5" s="51"/>
    </row>
    <row r="6" spans="1:25" x14ac:dyDescent="0.2">
      <c r="A6" s="15"/>
      <c r="B6" s="15"/>
      <c r="C6" s="15"/>
      <c r="D6" s="15"/>
      <c r="E6" s="15"/>
      <c r="F6" s="15"/>
      <c r="G6" s="15"/>
      <c r="H6" s="15"/>
      <c r="I6" s="15"/>
      <c r="J6" s="15"/>
      <c r="K6" s="15"/>
      <c r="L6" s="15"/>
      <c r="M6" s="15"/>
      <c r="N6" s="15"/>
      <c r="O6" s="15"/>
      <c r="P6" s="15"/>
      <c r="Q6" s="15"/>
      <c r="R6" s="15"/>
      <c r="S6" s="15"/>
      <c r="T6" s="15"/>
      <c r="U6" s="15"/>
      <c r="V6" s="15"/>
      <c r="W6" s="15"/>
      <c r="X6" s="51"/>
      <c r="Y6" s="51"/>
    </row>
    <row r="7" spans="1:25" x14ac:dyDescent="0.2">
      <c r="A7" s="15"/>
      <c r="B7" s="15"/>
      <c r="C7" s="15"/>
      <c r="D7" s="15"/>
      <c r="E7" s="15"/>
      <c r="F7" s="15"/>
      <c r="G7" s="15"/>
      <c r="H7" s="15"/>
      <c r="I7" s="15"/>
      <c r="J7" s="15"/>
      <c r="K7" s="15"/>
      <c r="L7" s="15"/>
      <c r="M7" s="15"/>
      <c r="N7" s="15"/>
      <c r="O7" s="15"/>
      <c r="P7" s="15"/>
      <c r="Q7" s="15"/>
      <c r="R7" s="15"/>
      <c r="S7" s="15"/>
      <c r="T7" s="15"/>
      <c r="U7" s="15"/>
      <c r="V7" s="15"/>
      <c r="W7" s="15"/>
      <c r="X7" s="51"/>
      <c r="Y7" s="51"/>
    </row>
    <row r="8" spans="1:25" x14ac:dyDescent="0.2">
      <c r="A8" s="15"/>
      <c r="B8" s="15"/>
      <c r="C8" s="15"/>
      <c r="D8" s="15"/>
      <c r="E8" s="15"/>
      <c r="F8" s="15"/>
      <c r="G8" s="15"/>
      <c r="H8" s="15"/>
      <c r="I8" s="15"/>
      <c r="J8" s="15"/>
      <c r="K8" s="15"/>
      <c r="L8" s="15"/>
      <c r="M8" s="15"/>
      <c r="N8" s="15"/>
      <c r="O8" s="15"/>
      <c r="P8" s="15"/>
      <c r="Q8" s="15"/>
      <c r="R8" s="15"/>
      <c r="S8" s="15"/>
      <c r="T8" s="15"/>
      <c r="U8" s="15"/>
      <c r="V8" s="15"/>
      <c r="W8" s="15"/>
      <c r="X8" s="51"/>
      <c r="Y8" s="51"/>
    </row>
    <row r="9" spans="1:25" x14ac:dyDescent="0.2">
      <c r="A9" s="15"/>
      <c r="B9" s="15"/>
      <c r="C9" s="15"/>
      <c r="D9" s="15"/>
      <c r="E9" s="15"/>
      <c r="F9" s="15"/>
      <c r="G9" s="15"/>
      <c r="H9" s="15"/>
      <c r="I9" s="15"/>
      <c r="J9" s="15"/>
      <c r="K9" s="15"/>
      <c r="L9" s="15"/>
      <c r="M9" s="15"/>
      <c r="N9" s="15"/>
      <c r="O9" s="15"/>
      <c r="P9" s="15"/>
      <c r="Q9" s="15"/>
      <c r="R9" s="15"/>
      <c r="S9" s="15"/>
      <c r="T9" s="15"/>
      <c r="U9" s="15"/>
      <c r="V9" s="15"/>
      <c r="W9" s="15"/>
      <c r="X9" s="51"/>
      <c r="Y9" s="51"/>
    </row>
    <row r="10" spans="1:25" x14ac:dyDescent="0.2">
      <c r="A10" s="15"/>
      <c r="B10" s="15"/>
      <c r="C10" s="15"/>
      <c r="D10" s="15"/>
      <c r="E10" s="15"/>
      <c r="F10" s="15"/>
      <c r="G10" s="15"/>
      <c r="H10" s="15"/>
      <c r="I10" s="15"/>
      <c r="J10" s="15"/>
      <c r="K10" s="15"/>
      <c r="L10" s="15"/>
      <c r="M10" s="15"/>
      <c r="N10" s="15"/>
      <c r="O10" s="15"/>
      <c r="P10" s="15"/>
      <c r="Q10" s="15"/>
      <c r="R10" s="15"/>
      <c r="S10" s="15"/>
      <c r="T10" s="15"/>
      <c r="U10" s="15"/>
      <c r="V10" s="15"/>
      <c r="W10" s="15"/>
      <c r="X10" s="51"/>
      <c r="Y10" s="51"/>
    </row>
    <row r="11" spans="1:25" x14ac:dyDescent="0.2">
      <c r="A11" s="15"/>
      <c r="B11" s="15"/>
      <c r="C11" s="15"/>
      <c r="D11" s="15"/>
      <c r="E11" s="15"/>
      <c r="F11" s="15"/>
      <c r="G11" s="15"/>
      <c r="H11" s="15"/>
      <c r="I11" s="15"/>
      <c r="J11" s="15"/>
      <c r="K11" s="15"/>
      <c r="L11" s="15"/>
      <c r="M11" s="15"/>
      <c r="N11" s="15"/>
      <c r="O11" s="15"/>
      <c r="P11" s="15"/>
      <c r="Q11" s="15"/>
      <c r="R11" s="15"/>
      <c r="S11" s="15"/>
      <c r="T11" s="15"/>
      <c r="U11" s="15"/>
      <c r="V11" s="15"/>
      <c r="W11" s="15"/>
      <c r="X11" s="51"/>
      <c r="Y11" s="51"/>
    </row>
    <row r="12" spans="1:25" x14ac:dyDescent="0.2">
      <c r="A12" s="15"/>
      <c r="B12" s="15"/>
      <c r="C12" s="15"/>
      <c r="D12" s="15"/>
      <c r="E12" s="15"/>
      <c r="F12" s="15"/>
      <c r="G12" s="15"/>
      <c r="H12" s="15"/>
      <c r="I12" s="15"/>
      <c r="J12" s="15"/>
      <c r="K12" s="15"/>
      <c r="L12" s="15"/>
      <c r="M12" s="15"/>
      <c r="N12" s="15"/>
      <c r="O12" s="15"/>
      <c r="P12" s="15"/>
      <c r="Q12" s="15"/>
      <c r="R12" s="15"/>
      <c r="S12" s="15"/>
      <c r="T12" s="15"/>
      <c r="U12" s="15"/>
      <c r="V12" s="15"/>
      <c r="W12" s="15"/>
      <c r="X12" s="51"/>
      <c r="Y12" s="51"/>
    </row>
    <row r="13" spans="1:25" x14ac:dyDescent="0.2">
      <c r="A13" s="15"/>
      <c r="B13" s="15"/>
      <c r="C13" s="15"/>
      <c r="D13" s="15"/>
      <c r="E13" s="15"/>
      <c r="F13" s="15"/>
      <c r="G13" s="15"/>
      <c r="H13" s="15"/>
      <c r="I13" s="15"/>
      <c r="J13" s="15"/>
      <c r="K13" s="15"/>
      <c r="L13" s="15"/>
      <c r="M13" s="15"/>
      <c r="N13" s="15"/>
      <c r="O13" s="15"/>
      <c r="P13" s="15"/>
      <c r="Q13" s="15"/>
      <c r="R13" s="15"/>
      <c r="S13" s="15"/>
      <c r="T13" s="15"/>
      <c r="U13" s="15"/>
      <c r="V13" s="15"/>
      <c r="W13" s="15"/>
      <c r="X13" s="51"/>
      <c r="Y13" s="51"/>
    </row>
    <row r="14" spans="1:25" x14ac:dyDescent="0.2">
      <c r="A14" s="15"/>
      <c r="B14" s="15"/>
      <c r="C14" s="15"/>
      <c r="D14" s="15"/>
      <c r="E14" s="15"/>
      <c r="F14" s="15"/>
      <c r="G14" s="15"/>
      <c r="H14" s="15"/>
      <c r="I14" s="15"/>
      <c r="J14" s="15"/>
      <c r="K14" s="15"/>
      <c r="L14" s="15"/>
      <c r="M14" s="15"/>
      <c r="N14" s="15"/>
      <c r="O14" s="15"/>
      <c r="P14" s="15"/>
      <c r="Q14" s="15"/>
      <c r="R14" s="15"/>
      <c r="S14" s="15"/>
      <c r="T14" s="15"/>
      <c r="U14" s="15"/>
      <c r="V14" s="15"/>
      <c r="W14" s="15"/>
      <c r="X14" s="51"/>
      <c r="Y14" s="51"/>
    </row>
    <row r="15" spans="1:25" x14ac:dyDescent="0.2">
      <c r="A15" s="15"/>
      <c r="B15" s="15"/>
      <c r="C15" s="15"/>
      <c r="D15" s="15"/>
      <c r="E15" s="15"/>
      <c r="F15" s="15"/>
      <c r="G15" s="15"/>
      <c r="H15" s="15"/>
      <c r="I15" s="15"/>
      <c r="J15" s="15"/>
      <c r="K15" s="15"/>
      <c r="L15" s="15"/>
      <c r="M15" s="15"/>
      <c r="N15" s="15"/>
      <c r="O15" s="15"/>
      <c r="P15" s="15"/>
      <c r="Q15" s="15"/>
      <c r="R15" s="15"/>
      <c r="S15" s="15"/>
      <c r="T15" s="15"/>
      <c r="U15" s="15"/>
      <c r="V15" s="15"/>
      <c r="W15" s="15"/>
      <c r="X15" s="51"/>
      <c r="Y15" s="51"/>
    </row>
    <row r="16" spans="1:25" x14ac:dyDescent="0.2">
      <c r="A16" s="15"/>
      <c r="B16" s="15"/>
      <c r="C16" s="15"/>
      <c r="D16" s="15"/>
      <c r="E16" s="15"/>
      <c r="F16" s="15"/>
      <c r="G16" s="15"/>
      <c r="H16" s="15"/>
      <c r="I16" s="15"/>
      <c r="J16" s="15"/>
      <c r="K16" s="15"/>
      <c r="L16" s="15"/>
      <c r="M16" s="15"/>
      <c r="N16" s="15"/>
      <c r="O16" s="15"/>
      <c r="P16" s="15"/>
      <c r="Q16" s="15"/>
      <c r="R16" s="15"/>
      <c r="S16" s="15"/>
      <c r="T16" s="15"/>
      <c r="U16" s="15"/>
      <c r="V16" s="15"/>
      <c r="W16" s="15"/>
      <c r="X16" s="51"/>
      <c r="Y16" s="51"/>
    </row>
    <row r="17" spans="1:25" x14ac:dyDescent="0.2">
      <c r="A17" s="15"/>
      <c r="B17" s="15"/>
      <c r="C17" s="15"/>
      <c r="D17" s="15"/>
      <c r="E17" s="15"/>
      <c r="F17" s="15"/>
      <c r="G17" s="15"/>
      <c r="H17" s="15"/>
      <c r="I17" s="15"/>
      <c r="J17" s="15"/>
      <c r="K17" s="15"/>
      <c r="L17" s="15"/>
      <c r="M17" s="15"/>
      <c r="N17" s="15"/>
      <c r="O17" s="15"/>
      <c r="P17" s="15"/>
      <c r="Q17" s="15"/>
      <c r="R17" s="15"/>
      <c r="S17" s="15"/>
      <c r="T17" s="15"/>
      <c r="U17" s="15"/>
      <c r="V17" s="15"/>
      <c r="W17" s="15"/>
      <c r="X17" s="51"/>
      <c r="Y17" s="51"/>
    </row>
    <row r="18" spans="1:25" x14ac:dyDescent="0.2">
      <c r="A18" s="15"/>
      <c r="B18" s="15"/>
      <c r="C18" s="15"/>
      <c r="D18" s="15"/>
      <c r="E18" s="15"/>
      <c r="F18" s="15"/>
      <c r="G18" s="15"/>
      <c r="H18" s="15"/>
      <c r="I18" s="15"/>
      <c r="J18" s="15"/>
      <c r="K18" s="15"/>
      <c r="L18" s="15"/>
      <c r="M18" s="15"/>
      <c r="N18" s="15"/>
      <c r="O18" s="15"/>
      <c r="P18" s="15"/>
      <c r="Q18" s="15"/>
      <c r="R18" s="15"/>
      <c r="S18" s="15"/>
      <c r="T18" s="15"/>
      <c r="U18" s="15"/>
      <c r="V18" s="15"/>
      <c r="W18" s="15"/>
      <c r="X18" s="51"/>
      <c r="Y18" s="51"/>
    </row>
    <row r="19" spans="1:25" x14ac:dyDescent="0.2">
      <c r="A19" s="15"/>
      <c r="B19" s="15"/>
      <c r="C19" s="15"/>
      <c r="D19" s="15"/>
      <c r="E19" s="15"/>
      <c r="F19" s="15"/>
      <c r="G19" s="15"/>
      <c r="H19" s="15"/>
      <c r="I19" s="15"/>
      <c r="J19" s="15"/>
      <c r="K19" s="15"/>
      <c r="L19" s="15"/>
      <c r="M19" s="15"/>
      <c r="N19" s="15"/>
      <c r="O19" s="15"/>
      <c r="P19" s="15"/>
      <c r="Q19" s="15"/>
      <c r="R19" s="15"/>
      <c r="S19" s="15"/>
      <c r="T19" s="15"/>
      <c r="U19" s="15"/>
      <c r="V19" s="15"/>
      <c r="W19" s="15"/>
      <c r="X19" s="51"/>
      <c r="Y19" s="51"/>
    </row>
    <row r="20" spans="1:25" x14ac:dyDescent="0.2">
      <c r="A20" s="15"/>
      <c r="B20" s="15"/>
      <c r="C20" s="15"/>
      <c r="D20" s="15"/>
      <c r="E20" s="15"/>
      <c r="F20" s="15"/>
      <c r="G20" s="15"/>
      <c r="H20" s="15"/>
      <c r="I20" s="15"/>
      <c r="J20" s="15"/>
      <c r="K20" s="15"/>
      <c r="L20" s="15"/>
      <c r="M20" s="15"/>
      <c r="N20" s="15"/>
      <c r="O20" s="15"/>
      <c r="P20" s="15"/>
      <c r="Q20" s="15"/>
      <c r="R20" s="15"/>
      <c r="S20" s="15"/>
      <c r="T20" s="15"/>
      <c r="U20" s="15"/>
      <c r="V20" s="15"/>
      <c r="W20" s="15"/>
      <c r="X20" s="51"/>
      <c r="Y20" s="51"/>
    </row>
    <row r="21" spans="1:25" x14ac:dyDescent="0.2">
      <c r="A21" s="15"/>
      <c r="B21" s="15"/>
      <c r="C21" s="15"/>
      <c r="D21" s="15"/>
      <c r="E21" s="15"/>
      <c r="F21" s="15"/>
      <c r="G21" s="15"/>
      <c r="H21" s="15"/>
      <c r="I21" s="15"/>
      <c r="J21" s="15"/>
      <c r="K21" s="15"/>
      <c r="L21" s="15"/>
      <c r="M21" s="15"/>
      <c r="N21" s="15"/>
      <c r="O21" s="15"/>
      <c r="P21" s="15"/>
      <c r="Q21" s="15"/>
      <c r="R21" s="15"/>
      <c r="S21" s="15"/>
      <c r="T21" s="15"/>
      <c r="U21" s="15"/>
      <c r="V21" s="15"/>
      <c r="W21" s="15"/>
      <c r="X21" s="51"/>
      <c r="Y21" s="51"/>
    </row>
    <row r="22" spans="1:25" x14ac:dyDescent="0.2">
      <c r="A22" s="15"/>
      <c r="B22" s="15"/>
      <c r="C22" s="15"/>
      <c r="D22" s="15"/>
      <c r="E22" s="15"/>
      <c r="F22" s="15"/>
      <c r="G22" s="15"/>
      <c r="H22" s="15"/>
      <c r="I22" s="15"/>
      <c r="J22" s="15"/>
      <c r="K22" s="15"/>
      <c r="L22" s="15"/>
      <c r="M22" s="15"/>
      <c r="N22" s="15"/>
      <c r="O22" s="15"/>
      <c r="P22" s="15"/>
      <c r="Q22" s="15"/>
      <c r="R22" s="15"/>
      <c r="S22" s="15"/>
      <c r="T22" s="15"/>
      <c r="U22" s="15"/>
      <c r="V22" s="15"/>
      <c r="W22" s="15"/>
      <c r="X22" s="51"/>
      <c r="Y22" s="51"/>
    </row>
    <row r="23" spans="1:25" x14ac:dyDescent="0.2">
      <c r="A23" s="15"/>
      <c r="B23" s="15"/>
      <c r="C23" s="15"/>
      <c r="D23" s="15"/>
      <c r="E23" s="15"/>
      <c r="F23" s="15"/>
      <c r="G23" s="15"/>
      <c r="H23" s="15"/>
      <c r="I23" s="15"/>
      <c r="J23" s="15"/>
      <c r="K23" s="15"/>
      <c r="L23" s="15"/>
      <c r="M23" s="15"/>
      <c r="N23" s="15"/>
      <c r="O23" s="15"/>
      <c r="P23" s="15"/>
      <c r="Q23" s="15"/>
      <c r="R23" s="15"/>
      <c r="S23" s="15"/>
      <c r="T23" s="15"/>
      <c r="U23" s="15"/>
      <c r="V23" s="15"/>
      <c r="W23" s="15"/>
      <c r="X23" s="51"/>
      <c r="Y23" s="51"/>
    </row>
    <row r="24" spans="1:25" x14ac:dyDescent="0.2">
      <c r="A24" s="15"/>
      <c r="B24" s="15"/>
      <c r="C24" s="15"/>
      <c r="D24" s="15"/>
      <c r="E24" s="15"/>
      <c r="F24" s="15"/>
      <c r="G24" s="15"/>
      <c r="H24" s="15"/>
      <c r="I24" s="15"/>
      <c r="J24" s="15"/>
      <c r="K24" s="15"/>
      <c r="L24" s="15"/>
      <c r="M24" s="15"/>
      <c r="N24" s="15"/>
      <c r="O24" s="15"/>
      <c r="P24" s="15"/>
      <c r="Q24" s="15"/>
      <c r="R24" s="15"/>
      <c r="S24" s="15"/>
      <c r="T24" s="15"/>
      <c r="U24" s="15"/>
      <c r="V24" s="15"/>
      <c r="W24" s="15"/>
      <c r="X24" s="51"/>
      <c r="Y24" s="51"/>
    </row>
    <row r="25" spans="1:25" ht="25.5" customHeight="1" x14ac:dyDescent="0.35">
      <c r="A25" s="15"/>
      <c r="B25" s="15"/>
      <c r="C25" s="15"/>
      <c r="D25" s="15"/>
      <c r="E25" s="15"/>
      <c r="F25" s="15"/>
      <c r="G25" s="15"/>
      <c r="H25" s="15"/>
      <c r="I25" s="15"/>
      <c r="J25" s="15"/>
      <c r="K25" s="47" t="s">
        <v>2084</v>
      </c>
      <c r="L25" s="48"/>
      <c r="M25" s="48"/>
      <c r="N25" s="48"/>
      <c r="O25" s="48"/>
      <c r="P25" s="49"/>
      <c r="Q25" s="15"/>
      <c r="R25" s="15"/>
      <c r="S25" s="15"/>
      <c r="T25" s="15"/>
      <c r="U25" s="15"/>
      <c r="V25" s="15"/>
      <c r="W25" s="15"/>
      <c r="X25" s="51"/>
      <c r="Y25" s="51"/>
    </row>
    <row r="26" spans="1:25" ht="21" x14ac:dyDescent="0.4">
      <c r="A26" s="15"/>
      <c r="B26" s="15"/>
      <c r="C26" s="15"/>
      <c r="D26" s="15"/>
      <c r="E26" s="15"/>
      <c r="F26" s="15"/>
      <c r="G26" s="15"/>
      <c r="H26" s="15"/>
      <c r="I26" s="15"/>
      <c r="J26" s="15"/>
      <c r="K26" s="19"/>
      <c r="L26" s="44" t="s">
        <v>2045</v>
      </c>
      <c r="M26" s="45"/>
      <c r="N26" s="45"/>
      <c r="O26" s="45"/>
      <c r="P26" s="46"/>
      <c r="Q26" s="15"/>
      <c r="R26" s="15"/>
      <c r="S26" s="15"/>
      <c r="T26" s="15"/>
      <c r="U26" s="15"/>
      <c r="V26" s="15"/>
      <c r="W26" s="15"/>
      <c r="X26" s="51"/>
      <c r="Y26" s="51"/>
    </row>
    <row r="27" spans="1:25" ht="17.25" x14ac:dyDescent="0.35">
      <c r="A27" s="15"/>
      <c r="B27" s="15"/>
      <c r="C27" s="15"/>
      <c r="D27" s="15"/>
      <c r="E27" s="15"/>
      <c r="F27" s="15"/>
      <c r="G27" s="15"/>
      <c r="H27" s="15"/>
      <c r="I27" s="15"/>
      <c r="J27" s="15"/>
      <c r="K27" s="27" t="s">
        <v>2083</v>
      </c>
      <c r="L27" s="30" t="str">
        <f xml:space="preserve"> IF(ISBLANK('Graph Tables'!B76), "Unchecked", 'Graph Tables'!B76)</f>
        <v>Urban</v>
      </c>
      <c r="M27" s="31"/>
      <c r="N27" s="31" t="str">
        <f>IF(ISBLANK('Graph Tables'!C76),"Unchecked",'Graph Tables'!C76)</f>
        <v>Suburban</v>
      </c>
      <c r="O27" s="31"/>
      <c r="P27" s="32" t="str">
        <f xml:space="preserve"> IF(ISBLANK('Graph Tables'!D76), "Unchecked", 'Graph Tables'!D76)</f>
        <v>Rural</v>
      </c>
      <c r="Q27" s="15"/>
      <c r="R27" s="15"/>
      <c r="S27" s="15"/>
      <c r="T27" s="15"/>
      <c r="U27" s="15"/>
      <c r="V27" s="15"/>
      <c r="W27" s="15"/>
      <c r="X27" s="51"/>
      <c r="Y27" s="51"/>
    </row>
    <row r="28" spans="1:25" ht="17.25" x14ac:dyDescent="0.35">
      <c r="A28" s="15"/>
      <c r="B28" s="15"/>
      <c r="C28" s="15"/>
      <c r="D28" s="15"/>
      <c r="E28" s="15"/>
      <c r="F28" s="15"/>
      <c r="G28" s="15"/>
      <c r="H28" s="15"/>
      <c r="I28" s="15"/>
      <c r="J28" s="15"/>
      <c r="K28" s="28" t="s">
        <v>2078</v>
      </c>
      <c r="L28" s="20">
        <f xml:space="preserve"> IFERROR('Graph Tables'!B77, "No Data")</f>
        <v>1</v>
      </c>
      <c r="M28" s="20"/>
      <c r="N28" s="21">
        <f xml:space="preserve"> IFERROR('Graph Tables'!C77, "No Data")</f>
        <v>1</v>
      </c>
      <c r="O28" s="21"/>
      <c r="P28" s="24" cm="1">
        <f t="array" ref="P28:P32" xml:space="preserve"> IFERROR('Graph Tables'!D77:D81, "No Data")</f>
        <v>1</v>
      </c>
      <c r="Q28" s="15"/>
      <c r="R28" s="15"/>
      <c r="S28" s="15"/>
      <c r="T28" s="15"/>
      <c r="U28" s="15"/>
      <c r="V28" s="15"/>
      <c r="W28" s="15"/>
      <c r="X28" s="51"/>
      <c r="Y28" s="51"/>
    </row>
    <row r="29" spans="1:25" ht="17.25" x14ac:dyDescent="0.35">
      <c r="A29" s="15"/>
      <c r="B29" s="15"/>
      <c r="C29" s="15"/>
      <c r="D29" s="15"/>
      <c r="E29" s="15"/>
      <c r="F29" s="15"/>
      <c r="G29" s="15"/>
      <c r="H29" s="15"/>
      <c r="I29" s="15"/>
      <c r="J29" s="15"/>
      <c r="K29" s="26" t="s">
        <v>2079</v>
      </c>
      <c r="L29" s="20">
        <f xml:space="preserve"> IFERROR('Graph Tables'!B78, "No Data")</f>
        <v>1.2565043503734998</v>
      </c>
      <c r="M29" s="20"/>
      <c r="N29" s="21">
        <f xml:space="preserve"> IFERROR('Graph Tables'!C78, "No Data")</f>
        <v>1.362787768343225</v>
      </c>
      <c r="O29" s="21"/>
      <c r="P29" s="24">
        <v>1.4354929934678597</v>
      </c>
      <c r="Q29" s="15"/>
      <c r="R29" s="15"/>
      <c r="S29" s="15"/>
      <c r="T29" s="15"/>
      <c r="U29" s="15"/>
      <c r="V29" s="15"/>
      <c r="W29" s="15"/>
      <c r="X29" s="51"/>
      <c r="Y29" s="51"/>
    </row>
    <row r="30" spans="1:25" ht="17.25" x14ac:dyDescent="0.35">
      <c r="A30" s="15"/>
      <c r="B30" s="15"/>
      <c r="C30" s="15"/>
      <c r="D30" s="15"/>
      <c r="E30" s="15"/>
      <c r="F30" s="15"/>
      <c r="G30" s="15"/>
      <c r="H30" s="15"/>
      <c r="I30" s="15"/>
      <c r="J30" s="15"/>
      <c r="K30" s="26" t="s">
        <v>2080</v>
      </c>
      <c r="L30" s="20">
        <f xml:space="preserve"> IFERROR('Graph Tables'!B79, "No Data")</f>
        <v>0.98018920288644606</v>
      </c>
      <c r="M30" s="20"/>
      <c r="N30" s="21">
        <f xml:space="preserve"> IFERROR('Graph Tables'!C79, "No Data")</f>
        <v>0.74420702624431079</v>
      </c>
      <c r="O30" s="21"/>
      <c r="P30" s="24">
        <v>1.1076845012407022</v>
      </c>
      <c r="Q30" s="15"/>
      <c r="R30" s="15"/>
      <c r="S30" s="15"/>
      <c r="T30" s="15"/>
      <c r="U30" s="15"/>
      <c r="V30" s="15"/>
      <c r="W30" s="15"/>
      <c r="X30" s="51"/>
      <c r="Y30" s="51"/>
    </row>
    <row r="31" spans="1:25" ht="17.25" x14ac:dyDescent="0.35">
      <c r="A31" s="15"/>
      <c r="B31" s="15"/>
      <c r="C31" s="15"/>
      <c r="D31" s="15"/>
      <c r="E31" s="15"/>
      <c r="F31" s="15"/>
      <c r="G31" s="15"/>
      <c r="H31" s="15"/>
      <c r="I31" s="15"/>
      <c r="J31" s="15"/>
      <c r="K31" s="26" t="s">
        <v>2081</v>
      </c>
      <c r="L31" s="20">
        <f xml:space="preserve"> IFERROR('Graph Tables'!B80, "No Data")</f>
        <v>1.095665045867424</v>
      </c>
      <c r="M31" s="20"/>
      <c r="N31" s="21">
        <f xml:space="preserve"> IFERROR('Graph Tables'!C80, "No Data")</f>
        <v>1.4387839537229921</v>
      </c>
      <c r="O31" s="21"/>
      <c r="P31" s="24">
        <v>1.3029286754799256</v>
      </c>
      <c r="Q31" s="15"/>
      <c r="R31" s="15"/>
      <c r="S31" s="15"/>
      <c r="T31" s="15"/>
      <c r="U31" s="15"/>
      <c r="V31" s="15"/>
      <c r="W31" s="15"/>
      <c r="X31" s="51"/>
      <c r="Y31" s="51"/>
    </row>
    <row r="32" spans="1:25" ht="17.25" x14ac:dyDescent="0.35">
      <c r="A32" s="15"/>
      <c r="B32" s="15"/>
      <c r="C32" s="15"/>
      <c r="D32" s="15"/>
      <c r="E32" s="15"/>
      <c r="F32" s="15"/>
      <c r="G32" s="15"/>
      <c r="H32" s="15"/>
      <c r="I32" s="15"/>
      <c r="J32" s="15"/>
      <c r="K32" s="29" t="s">
        <v>2082</v>
      </c>
      <c r="L32" s="20">
        <f xml:space="preserve"> IFERROR('Graph Tables'!B81, "No Data")</f>
        <v>1.1629670601676847</v>
      </c>
      <c r="M32" s="20"/>
      <c r="N32" s="21">
        <f xml:space="preserve"> IFERROR('Graph Tables'!C81, "No Data")</f>
        <v>1.0965916340987789</v>
      </c>
      <c r="O32" s="21"/>
      <c r="P32" s="24">
        <v>0.95753384282599174</v>
      </c>
      <c r="Q32" s="15"/>
      <c r="R32" s="15"/>
      <c r="S32" s="15"/>
      <c r="T32" s="15"/>
      <c r="U32" s="15"/>
      <c r="V32" s="15"/>
      <c r="W32" s="15"/>
      <c r="X32" s="51"/>
      <c r="Y32" s="51"/>
    </row>
    <row r="33" spans="1:25" x14ac:dyDescent="0.2">
      <c r="A33" s="15"/>
      <c r="B33" s="15"/>
      <c r="C33" s="15"/>
      <c r="D33" s="15"/>
      <c r="E33" s="15"/>
      <c r="F33" s="15"/>
      <c r="G33" s="15"/>
      <c r="H33" s="15"/>
      <c r="I33" s="15"/>
      <c r="J33" s="15"/>
      <c r="K33" s="22"/>
      <c r="L33" s="23"/>
      <c r="M33" s="23"/>
      <c r="N33" s="23"/>
      <c r="O33" s="23"/>
      <c r="P33" s="25"/>
      <c r="Q33" s="15"/>
      <c r="R33" s="15"/>
      <c r="S33" s="15"/>
      <c r="T33" s="15"/>
      <c r="U33" s="15"/>
      <c r="V33" s="15"/>
      <c r="W33" s="15"/>
      <c r="X33" s="51"/>
      <c r="Y33" s="51"/>
    </row>
    <row r="34" spans="1:25" x14ac:dyDescent="0.2">
      <c r="A34" s="15"/>
      <c r="B34" s="15"/>
      <c r="C34" s="15"/>
      <c r="D34" s="15"/>
      <c r="E34" s="15"/>
      <c r="F34" s="15"/>
      <c r="G34" s="15"/>
      <c r="H34" s="15"/>
      <c r="I34" s="15"/>
      <c r="J34" s="15"/>
      <c r="K34" s="22"/>
      <c r="L34" s="23"/>
      <c r="M34" s="23"/>
      <c r="N34" s="23"/>
      <c r="O34" s="23"/>
      <c r="P34" s="25"/>
      <c r="Q34" s="15"/>
      <c r="R34" s="15"/>
      <c r="S34" s="15"/>
      <c r="T34" s="15"/>
      <c r="U34" s="15"/>
      <c r="V34" s="15"/>
      <c r="W34" s="15"/>
      <c r="X34" s="51"/>
      <c r="Y34" s="51"/>
    </row>
    <row r="35" spans="1:25" x14ac:dyDescent="0.2">
      <c r="A35" s="15"/>
      <c r="B35" s="15"/>
      <c r="C35" s="15"/>
      <c r="D35" s="15"/>
      <c r="E35" s="15"/>
      <c r="F35" s="15"/>
      <c r="G35" s="15"/>
      <c r="H35" s="15"/>
      <c r="I35" s="15"/>
      <c r="J35" s="15"/>
      <c r="K35" s="34"/>
      <c r="L35" s="33"/>
      <c r="M35" s="33"/>
      <c r="N35" s="33"/>
      <c r="O35" s="33"/>
      <c r="P35" s="37"/>
      <c r="Q35" s="15"/>
      <c r="R35" s="15"/>
      <c r="S35" s="15"/>
      <c r="T35" s="15"/>
      <c r="U35" s="15"/>
      <c r="V35" s="15"/>
      <c r="W35" s="15"/>
      <c r="X35" s="51"/>
      <c r="Y35" s="51"/>
    </row>
    <row r="36" spans="1:25" x14ac:dyDescent="0.2">
      <c r="A36" s="15"/>
      <c r="B36" s="15"/>
      <c r="C36" s="15"/>
      <c r="D36" s="15"/>
      <c r="E36" s="15"/>
      <c r="F36" s="15"/>
      <c r="G36" s="15"/>
      <c r="H36" s="15"/>
      <c r="I36" s="15"/>
      <c r="J36" s="15"/>
      <c r="K36" s="35"/>
      <c r="L36" s="36"/>
      <c r="M36" s="36"/>
      <c r="N36" s="36"/>
      <c r="O36" s="36"/>
      <c r="P36" s="38"/>
      <c r="Q36" s="15"/>
      <c r="R36" s="15"/>
      <c r="S36" s="15"/>
      <c r="T36" s="15"/>
      <c r="U36" s="15"/>
      <c r="V36" s="15"/>
      <c r="W36" s="15"/>
      <c r="X36" s="51"/>
      <c r="Y36" s="51"/>
    </row>
    <row r="37" spans="1:25" x14ac:dyDescent="0.2">
      <c r="A37" s="15"/>
      <c r="B37" s="15"/>
      <c r="C37" s="15"/>
      <c r="D37" s="15"/>
      <c r="E37" s="15"/>
      <c r="F37" s="15"/>
      <c r="G37" s="15"/>
      <c r="H37" s="15"/>
      <c r="I37" s="15"/>
      <c r="J37" s="15"/>
      <c r="K37" s="15"/>
      <c r="L37" s="15"/>
      <c r="M37" s="15"/>
      <c r="N37" s="15"/>
      <c r="O37" s="15"/>
      <c r="P37" s="15"/>
      <c r="Q37" s="15"/>
      <c r="R37" s="15"/>
      <c r="S37" s="15"/>
      <c r="T37" s="15"/>
      <c r="U37" s="15"/>
      <c r="V37" s="15"/>
      <c r="W37" s="15"/>
      <c r="X37" s="51"/>
      <c r="Y37" s="51"/>
    </row>
    <row r="38" spans="1:25" x14ac:dyDescent="0.2">
      <c r="A38" s="15"/>
      <c r="B38" s="15"/>
      <c r="C38" s="15"/>
      <c r="D38" s="15"/>
      <c r="E38" s="15"/>
      <c r="F38" s="15"/>
      <c r="G38" s="15"/>
      <c r="H38" s="15"/>
      <c r="I38" s="15"/>
      <c r="J38" s="15"/>
      <c r="K38" s="15"/>
      <c r="L38" s="15"/>
      <c r="M38" s="15"/>
      <c r="N38" s="15"/>
      <c r="O38" s="15"/>
      <c r="P38" s="15"/>
      <c r="Q38" s="15"/>
      <c r="R38" s="15"/>
      <c r="S38" s="15"/>
      <c r="T38" s="15"/>
      <c r="U38" s="15"/>
      <c r="V38" s="15"/>
      <c r="W38" s="15"/>
      <c r="X38" s="51"/>
      <c r="Y38" s="51"/>
    </row>
    <row r="39" spans="1:25" x14ac:dyDescent="0.2">
      <c r="A39" s="15"/>
      <c r="B39" s="15"/>
      <c r="C39" s="15"/>
      <c r="D39" s="15"/>
      <c r="E39" s="15"/>
      <c r="F39" s="15"/>
      <c r="G39" s="15"/>
      <c r="H39" s="15"/>
      <c r="I39" s="15"/>
      <c r="J39" s="15"/>
      <c r="K39" s="15"/>
      <c r="L39" s="15"/>
      <c r="M39" s="15"/>
      <c r="N39" s="15"/>
      <c r="O39" s="15"/>
      <c r="P39" s="15"/>
      <c r="Q39" s="15"/>
      <c r="R39" s="15"/>
      <c r="S39" s="15"/>
      <c r="T39" s="15"/>
      <c r="U39" s="15"/>
      <c r="V39" s="15"/>
      <c r="W39" s="15"/>
      <c r="X39" s="51"/>
      <c r="Y39" s="51"/>
    </row>
    <row r="40" spans="1:25" x14ac:dyDescent="0.2">
      <c r="A40" s="15"/>
      <c r="B40" s="15"/>
      <c r="C40" s="15"/>
      <c r="D40" s="15"/>
      <c r="E40" s="15"/>
      <c r="F40" s="15"/>
      <c r="G40" s="15"/>
      <c r="H40" s="15"/>
      <c r="I40" s="15"/>
      <c r="J40" s="15"/>
      <c r="K40" s="15"/>
      <c r="L40" s="15"/>
      <c r="M40" s="15"/>
      <c r="N40" s="15"/>
      <c r="O40" s="15"/>
      <c r="P40" s="15"/>
      <c r="Q40" s="15"/>
      <c r="R40" s="15"/>
      <c r="S40" s="15"/>
      <c r="T40" s="15"/>
      <c r="U40" s="15"/>
      <c r="V40" s="15"/>
      <c r="W40" s="15"/>
      <c r="X40" s="51"/>
      <c r="Y40" s="51"/>
    </row>
    <row r="41" spans="1:25" x14ac:dyDescent="0.2">
      <c r="A41" s="15"/>
      <c r="B41" s="15"/>
      <c r="C41" s="15"/>
      <c r="D41" s="15"/>
      <c r="E41" s="15"/>
      <c r="F41" s="15"/>
      <c r="G41" s="15"/>
      <c r="H41" s="15"/>
      <c r="I41" s="15"/>
      <c r="J41" s="15"/>
      <c r="K41" s="15"/>
      <c r="L41" s="15"/>
      <c r="M41" s="15"/>
      <c r="N41" s="15"/>
      <c r="O41" s="15"/>
      <c r="P41" s="15"/>
      <c r="Q41" s="15"/>
      <c r="R41" s="15"/>
      <c r="S41" s="15"/>
      <c r="T41" s="15"/>
      <c r="U41" s="15"/>
      <c r="V41" s="15"/>
      <c r="W41" s="15"/>
      <c r="X41" s="51"/>
      <c r="Y41" s="51"/>
    </row>
    <row r="42" spans="1:25" x14ac:dyDescent="0.2">
      <c r="A42" s="15"/>
      <c r="B42" s="15"/>
      <c r="C42" s="15"/>
      <c r="D42" s="15"/>
      <c r="E42" s="15"/>
      <c r="F42" s="15"/>
      <c r="G42" s="15"/>
      <c r="H42" s="15"/>
      <c r="I42" s="15"/>
      <c r="J42" s="15"/>
      <c r="K42" s="15"/>
      <c r="L42" s="15"/>
      <c r="M42" s="15"/>
      <c r="N42" s="15"/>
      <c r="O42" s="15"/>
      <c r="P42" s="15"/>
      <c r="Q42" s="15"/>
      <c r="R42" s="15"/>
      <c r="S42" s="15"/>
      <c r="T42" s="15"/>
      <c r="U42" s="15"/>
      <c r="V42" s="15"/>
      <c r="W42" s="15"/>
      <c r="X42" s="51"/>
      <c r="Y42" s="51"/>
    </row>
    <row r="43" spans="1:25" x14ac:dyDescent="0.2">
      <c r="A43" s="15"/>
      <c r="B43" s="15"/>
      <c r="C43" s="15"/>
      <c r="D43" s="15"/>
      <c r="E43" s="15"/>
      <c r="F43" s="15"/>
      <c r="G43" s="15"/>
      <c r="H43" s="15"/>
      <c r="I43" s="15"/>
      <c r="J43" s="15"/>
      <c r="K43" s="15"/>
      <c r="L43" s="15"/>
      <c r="M43" s="15"/>
      <c r="N43" s="15"/>
      <c r="O43" s="15"/>
      <c r="P43" s="15"/>
      <c r="Q43" s="15"/>
      <c r="R43" s="15"/>
      <c r="S43" s="15"/>
      <c r="T43" s="15"/>
      <c r="U43" s="15"/>
      <c r="V43" s="15"/>
      <c r="W43" s="15"/>
      <c r="X43" s="51"/>
      <c r="Y43" s="51"/>
    </row>
    <row r="44" spans="1:25" x14ac:dyDescent="0.2">
      <c r="A44" s="15"/>
      <c r="B44" s="15"/>
      <c r="C44" s="15"/>
      <c r="D44" s="15"/>
      <c r="E44" s="15"/>
      <c r="F44" s="15"/>
      <c r="G44" s="15"/>
      <c r="H44" s="15"/>
      <c r="I44" s="15"/>
      <c r="J44" s="15"/>
      <c r="K44" s="15"/>
      <c r="L44" s="15"/>
      <c r="M44" s="15"/>
      <c r="N44" s="15"/>
      <c r="O44" s="15"/>
      <c r="P44" s="15"/>
      <c r="Q44" s="15"/>
      <c r="R44" s="15"/>
      <c r="S44" s="15"/>
      <c r="T44" s="15"/>
      <c r="U44" s="15"/>
      <c r="V44" s="15"/>
      <c r="W44" s="15"/>
      <c r="X44" s="51"/>
      <c r="Y44" s="51"/>
    </row>
    <row r="45" spans="1:25" x14ac:dyDescent="0.2">
      <c r="A45" s="15"/>
      <c r="B45" s="15"/>
      <c r="C45" s="15"/>
      <c r="D45" s="15"/>
      <c r="E45" s="15"/>
      <c r="F45" s="15"/>
      <c r="G45" s="15"/>
      <c r="H45" s="15"/>
      <c r="I45" s="15"/>
      <c r="J45" s="15"/>
      <c r="K45" s="15"/>
      <c r="L45" s="15"/>
      <c r="M45" s="15"/>
      <c r="N45" s="15"/>
      <c r="O45" s="15"/>
      <c r="P45" s="15"/>
      <c r="Q45" s="15"/>
      <c r="R45" s="15"/>
      <c r="S45" s="15"/>
      <c r="T45" s="15"/>
      <c r="U45" s="15"/>
      <c r="V45" s="15"/>
      <c r="W45" s="15"/>
      <c r="X45" s="51"/>
      <c r="Y45" s="51"/>
    </row>
    <row r="46" spans="1:25" x14ac:dyDescent="0.2">
      <c r="A46" s="15"/>
      <c r="B46" s="15"/>
      <c r="C46" s="15"/>
      <c r="D46" s="15"/>
      <c r="E46" s="15"/>
      <c r="F46" s="15"/>
      <c r="G46" s="15"/>
      <c r="H46" s="15"/>
      <c r="I46" s="15"/>
      <c r="J46" s="15"/>
      <c r="K46" s="15"/>
      <c r="L46" s="15"/>
      <c r="M46" s="15"/>
      <c r="N46" s="15"/>
      <c r="O46" s="15"/>
      <c r="P46" s="15"/>
      <c r="Q46" s="15"/>
      <c r="R46" s="15"/>
      <c r="S46" s="15"/>
      <c r="T46" s="15"/>
      <c r="U46" s="15"/>
      <c r="V46" s="15"/>
      <c r="W46" s="15"/>
      <c r="X46" s="51"/>
      <c r="Y46" s="51"/>
    </row>
    <row r="47" spans="1:25" x14ac:dyDescent="0.2">
      <c r="A47" s="15"/>
      <c r="B47" s="15"/>
      <c r="C47" s="15"/>
      <c r="D47" s="15"/>
      <c r="E47" s="15"/>
      <c r="F47" s="15"/>
      <c r="G47" s="15"/>
      <c r="H47" s="15"/>
      <c r="I47" s="15"/>
      <c r="J47" s="15"/>
      <c r="K47" s="15"/>
      <c r="L47" s="15"/>
      <c r="M47" s="15"/>
      <c r="N47" s="15"/>
      <c r="O47" s="15"/>
      <c r="P47" s="15"/>
      <c r="Q47" s="15"/>
      <c r="R47" s="15"/>
      <c r="S47" s="15"/>
      <c r="T47" s="15"/>
      <c r="U47" s="15"/>
      <c r="V47" s="15"/>
      <c r="W47" s="15"/>
      <c r="X47" s="51"/>
      <c r="Y47" s="51"/>
    </row>
    <row r="48" spans="1:25" x14ac:dyDescent="0.2">
      <c r="A48" s="15"/>
      <c r="B48" s="15"/>
      <c r="C48" s="15"/>
      <c r="D48" s="15"/>
      <c r="E48" s="15"/>
      <c r="F48" s="15"/>
      <c r="G48" s="15"/>
      <c r="H48" s="15"/>
      <c r="I48" s="15"/>
      <c r="J48" s="15"/>
      <c r="K48" s="15"/>
      <c r="L48" s="15"/>
      <c r="M48" s="15"/>
      <c r="N48" s="15"/>
      <c r="O48" s="15"/>
      <c r="P48" s="15"/>
      <c r="Q48" s="15"/>
      <c r="R48" s="15"/>
      <c r="S48" s="15"/>
      <c r="T48" s="15"/>
      <c r="U48" s="15"/>
      <c r="V48" s="15"/>
      <c r="W48" s="15"/>
      <c r="X48" s="51"/>
      <c r="Y48" s="51"/>
    </row>
    <row r="49" spans="1:25" x14ac:dyDescent="0.2">
      <c r="A49" s="15"/>
      <c r="B49" s="15"/>
      <c r="C49" s="15"/>
      <c r="D49" s="15"/>
      <c r="E49" s="15"/>
      <c r="F49" s="15"/>
      <c r="G49" s="15"/>
      <c r="H49" s="15"/>
      <c r="I49" s="15"/>
      <c r="J49" s="15"/>
      <c r="K49" s="15"/>
      <c r="L49" s="15"/>
      <c r="M49" s="15"/>
      <c r="N49" s="15"/>
      <c r="O49" s="15"/>
      <c r="P49" s="15"/>
      <c r="Q49" s="15"/>
      <c r="R49" s="15"/>
      <c r="S49" s="15"/>
      <c r="T49" s="15"/>
      <c r="U49" s="15"/>
      <c r="V49" s="15"/>
      <c r="W49" s="15"/>
      <c r="X49" s="51"/>
      <c r="Y49" s="51"/>
    </row>
    <row r="50" spans="1:25" x14ac:dyDescent="0.2">
      <c r="A50" s="15"/>
      <c r="B50" s="15"/>
      <c r="C50" s="15"/>
      <c r="D50" s="15"/>
      <c r="E50" s="15"/>
      <c r="F50" s="15"/>
      <c r="G50" s="15"/>
      <c r="H50" s="15"/>
      <c r="I50" s="15"/>
      <c r="J50" s="15"/>
      <c r="K50" s="15"/>
      <c r="L50" s="15"/>
      <c r="M50" s="15"/>
      <c r="N50" s="15"/>
      <c r="O50" s="15"/>
      <c r="P50" s="15"/>
      <c r="Q50" s="15"/>
      <c r="R50" s="15"/>
      <c r="S50" s="15"/>
      <c r="T50" s="15"/>
      <c r="U50" s="15"/>
      <c r="V50" s="15"/>
      <c r="W50" s="15"/>
      <c r="X50" s="51"/>
      <c r="Y50" s="51"/>
    </row>
    <row r="51" spans="1:25" x14ac:dyDescent="0.2">
      <c r="A51" s="15"/>
      <c r="B51" s="15"/>
      <c r="C51" s="15"/>
      <c r="D51" s="15"/>
      <c r="E51" s="15"/>
      <c r="F51" s="15"/>
      <c r="G51" s="15"/>
      <c r="H51" s="15"/>
      <c r="I51" s="15"/>
      <c r="J51" s="15"/>
      <c r="K51" s="15"/>
      <c r="L51" s="15"/>
      <c r="M51" s="15"/>
      <c r="N51" s="15"/>
      <c r="O51" s="15"/>
      <c r="P51" s="15"/>
      <c r="Q51" s="15"/>
      <c r="R51" s="15"/>
      <c r="S51" s="15"/>
      <c r="T51" s="15"/>
      <c r="U51" s="15"/>
      <c r="V51" s="15"/>
      <c r="W51" s="15"/>
      <c r="X51" s="51"/>
      <c r="Y51" s="51"/>
    </row>
    <row r="52" spans="1:25" x14ac:dyDescent="0.2">
      <c r="A52" s="15"/>
      <c r="B52" s="15"/>
      <c r="C52" s="15"/>
      <c r="D52" s="15"/>
      <c r="E52" s="15"/>
      <c r="F52" s="15"/>
      <c r="G52" s="15"/>
      <c r="H52" s="15"/>
      <c r="I52" s="15"/>
      <c r="J52" s="15"/>
      <c r="K52" s="15"/>
      <c r="L52" s="15"/>
      <c r="M52" s="15"/>
      <c r="N52" s="15"/>
      <c r="O52" s="15"/>
      <c r="P52" s="15"/>
      <c r="Q52" s="15"/>
      <c r="R52" s="15"/>
      <c r="S52" s="15"/>
      <c r="T52" s="15"/>
      <c r="U52" s="15"/>
      <c r="V52" s="15"/>
      <c r="W52" s="15"/>
      <c r="X52" s="51"/>
      <c r="Y52" s="51"/>
    </row>
    <row r="53" spans="1:25" x14ac:dyDescent="0.2">
      <c r="A53" s="51"/>
      <c r="B53" s="51"/>
      <c r="C53" s="51"/>
      <c r="D53" s="51"/>
      <c r="E53" s="51"/>
      <c r="F53" s="51"/>
      <c r="G53" s="51"/>
      <c r="H53" s="51"/>
      <c r="I53" s="51"/>
      <c r="J53" s="51"/>
      <c r="K53" s="51"/>
      <c r="L53" s="51"/>
      <c r="M53" s="51"/>
      <c r="N53" s="51"/>
      <c r="O53" s="51"/>
      <c r="P53" s="51"/>
      <c r="Q53" s="51"/>
      <c r="R53" s="51"/>
      <c r="S53" s="51"/>
      <c r="T53" s="51"/>
      <c r="U53" s="51"/>
      <c r="V53" s="51"/>
      <c r="W53" s="51"/>
      <c r="X53" s="51"/>
      <c r="Y53" s="51"/>
    </row>
    <row r="54" spans="1:25" x14ac:dyDescent="0.2">
      <c r="A54" s="51"/>
      <c r="B54" s="51"/>
      <c r="C54" s="51"/>
      <c r="D54" s="51"/>
      <c r="E54" s="51"/>
      <c r="F54" s="51"/>
      <c r="G54" s="51"/>
      <c r="H54" s="51"/>
      <c r="I54" s="51"/>
      <c r="J54" s="51"/>
      <c r="K54" s="51"/>
      <c r="L54" s="51"/>
      <c r="M54" s="51"/>
      <c r="N54" s="51"/>
      <c r="O54" s="51"/>
      <c r="P54" s="51"/>
      <c r="Q54" s="51"/>
      <c r="R54" s="51"/>
      <c r="S54" s="51"/>
      <c r="T54" s="51"/>
      <c r="U54" s="51"/>
      <c r="V54" s="51"/>
      <c r="W54" s="51"/>
      <c r="X54" s="51"/>
      <c r="Y54" s="51"/>
    </row>
    <row r="55" spans="1:25" x14ac:dyDescent="0.2">
      <c r="A55" s="51"/>
      <c r="B55" s="51"/>
      <c r="C55" s="51"/>
      <c r="D55" s="51"/>
      <c r="E55" s="51"/>
      <c r="F55" s="51"/>
      <c r="G55" s="51"/>
      <c r="H55" s="51"/>
      <c r="I55" s="51"/>
      <c r="J55" s="51"/>
      <c r="K55" s="51"/>
      <c r="L55" s="51"/>
      <c r="M55" s="51"/>
      <c r="N55" s="51"/>
      <c r="O55" s="51"/>
      <c r="P55" s="51"/>
      <c r="Q55" s="51"/>
      <c r="R55" s="51"/>
      <c r="S55" s="51"/>
      <c r="T55" s="51"/>
      <c r="U55" s="51"/>
      <c r="V55" s="51"/>
      <c r="W55" s="51"/>
      <c r="X55" s="51"/>
      <c r="Y55" s="51"/>
    </row>
    <row r="56" spans="1:25" x14ac:dyDescent="0.2">
      <c r="A56" s="51"/>
      <c r="B56" s="51"/>
      <c r="C56" s="51"/>
      <c r="D56" s="51"/>
      <c r="E56" s="51"/>
      <c r="F56" s="51"/>
      <c r="G56" s="51"/>
      <c r="H56" s="51"/>
      <c r="I56" s="51"/>
      <c r="J56" s="51"/>
      <c r="K56" s="51"/>
      <c r="L56" s="51"/>
      <c r="M56" s="51"/>
      <c r="N56" s="51"/>
      <c r="O56" s="51"/>
      <c r="P56" s="51"/>
      <c r="Q56" s="51"/>
      <c r="R56" s="51"/>
      <c r="S56" s="51"/>
      <c r="T56" s="51"/>
      <c r="U56" s="51"/>
      <c r="V56" s="51"/>
      <c r="W56" s="51"/>
      <c r="X56" s="51"/>
      <c r="Y56" s="51"/>
    </row>
    <row r="57" spans="1:25" x14ac:dyDescent="0.2">
      <c r="A57" s="51"/>
      <c r="B57" s="51"/>
      <c r="C57" s="51"/>
      <c r="D57" s="51"/>
      <c r="E57" s="51"/>
      <c r="F57" s="51"/>
      <c r="G57" s="51"/>
      <c r="H57" s="51"/>
      <c r="I57" s="51"/>
      <c r="J57" s="51"/>
      <c r="K57" s="51"/>
      <c r="L57" s="51"/>
      <c r="M57" s="51"/>
      <c r="N57" s="51"/>
      <c r="O57" s="51"/>
      <c r="P57" s="51"/>
      <c r="Q57" s="51"/>
      <c r="R57" s="51"/>
      <c r="S57" s="51"/>
      <c r="T57" s="51"/>
      <c r="U57" s="51"/>
      <c r="V57" s="51"/>
      <c r="W57" s="51"/>
      <c r="X57" s="51"/>
      <c r="Y57" s="51"/>
    </row>
    <row r="58" spans="1:25" x14ac:dyDescent="0.2">
      <c r="A58" s="51"/>
      <c r="B58" s="51"/>
      <c r="C58" s="51"/>
      <c r="D58" s="51"/>
      <c r="E58" s="51"/>
      <c r="F58" s="51"/>
      <c r="G58" s="51"/>
      <c r="H58" s="51"/>
      <c r="I58" s="51"/>
      <c r="J58" s="51"/>
      <c r="K58" s="51"/>
      <c r="L58" s="51"/>
      <c r="M58" s="51"/>
      <c r="N58" s="51"/>
      <c r="O58" s="51"/>
      <c r="P58" s="51"/>
      <c r="Q58" s="51"/>
      <c r="R58" s="51"/>
      <c r="S58" s="51"/>
      <c r="T58" s="51"/>
      <c r="U58" s="51"/>
      <c r="V58" s="51"/>
      <c r="W58" s="51"/>
      <c r="X58" s="51"/>
      <c r="Y58" s="51"/>
    </row>
    <row r="59" spans="1:25" x14ac:dyDescent="0.2">
      <c r="A59" s="51"/>
      <c r="B59" s="51"/>
      <c r="C59" s="51"/>
      <c r="D59" s="51"/>
      <c r="E59" s="51"/>
      <c r="F59" s="51"/>
      <c r="G59" s="51"/>
      <c r="H59" s="51"/>
      <c r="I59" s="51"/>
      <c r="J59" s="51"/>
      <c r="K59" s="51"/>
      <c r="L59" s="51"/>
      <c r="M59" s="51"/>
      <c r="N59" s="51"/>
      <c r="O59" s="51"/>
      <c r="P59" s="51"/>
      <c r="Q59" s="51"/>
      <c r="R59" s="51"/>
      <c r="S59" s="51"/>
      <c r="T59" s="51"/>
      <c r="U59" s="51"/>
      <c r="V59" s="51"/>
      <c r="W59" s="51"/>
      <c r="X59" s="51"/>
      <c r="Y59" s="51"/>
    </row>
    <row r="60" spans="1:25" x14ac:dyDescent="0.2">
      <c r="A60" s="51"/>
      <c r="B60" s="51"/>
      <c r="C60" s="51"/>
      <c r="D60" s="51"/>
      <c r="E60" s="51"/>
      <c r="F60" s="51"/>
      <c r="G60" s="51"/>
      <c r="H60" s="51"/>
      <c r="I60" s="51"/>
      <c r="J60" s="51"/>
      <c r="K60" s="51"/>
      <c r="L60" s="51"/>
      <c r="M60" s="51"/>
      <c r="N60" s="51"/>
      <c r="O60" s="51"/>
      <c r="P60" s="51"/>
      <c r="Q60" s="51"/>
      <c r="R60" s="51"/>
      <c r="S60" s="51"/>
      <c r="T60" s="51"/>
      <c r="U60" s="51"/>
      <c r="V60" s="51"/>
      <c r="W60" s="51"/>
      <c r="X60" s="51"/>
      <c r="Y60" s="51"/>
    </row>
    <row r="61" spans="1:25" x14ac:dyDescent="0.2">
      <c r="A61" s="51"/>
      <c r="B61" s="51"/>
      <c r="C61" s="51"/>
      <c r="D61" s="51"/>
      <c r="E61" s="51"/>
      <c r="F61" s="51"/>
      <c r="G61" s="51"/>
      <c r="H61" s="51"/>
      <c r="I61" s="51"/>
      <c r="J61" s="51"/>
      <c r="K61" s="51"/>
      <c r="L61" s="51"/>
      <c r="M61" s="51"/>
      <c r="N61" s="51"/>
      <c r="O61" s="51"/>
      <c r="P61" s="51"/>
      <c r="Q61" s="51"/>
      <c r="R61" s="51"/>
      <c r="S61" s="51"/>
      <c r="T61" s="51"/>
      <c r="U61" s="51"/>
      <c r="V61" s="51"/>
      <c r="W61" s="51"/>
      <c r="X61" s="51"/>
      <c r="Y61" s="51"/>
    </row>
    <row r="62" spans="1:25" x14ac:dyDescent="0.2">
      <c r="A62" s="51"/>
      <c r="B62" s="51"/>
      <c r="C62" s="51"/>
      <c r="D62" s="51"/>
      <c r="E62" s="51"/>
      <c r="F62" s="51"/>
      <c r="G62" s="51"/>
      <c r="H62" s="51"/>
      <c r="I62" s="51"/>
      <c r="J62" s="51"/>
      <c r="K62" s="51"/>
      <c r="L62" s="51"/>
      <c r="M62" s="51"/>
      <c r="N62" s="51"/>
      <c r="O62" s="51"/>
      <c r="P62" s="51"/>
      <c r="Q62" s="51"/>
      <c r="R62" s="51"/>
      <c r="S62" s="51"/>
      <c r="T62" s="51"/>
      <c r="U62" s="51"/>
      <c r="V62" s="51"/>
      <c r="W62" s="51"/>
      <c r="X62" s="51"/>
      <c r="Y62" s="51"/>
    </row>
    <row r="63" spans="1:25" x14ac:dyDescent="0.2">
      <c r="A63" s="51"/>
      <c r="B63" s="51"/>
      <c r="C63" s="51"/>
      <c r="D63" s="51"/>
      <c r="E63" s="51"/>
      <c r="F63" s="51"/>
      <c r="G63" s="51"/>
      <c r="H63" s="51"/>
      <c r="I63" s="51"/>
      <c r="J63" s="51"/>
      <c r="K63" s="51"/>
      <c r="L63" s="51"/>
      <c r="M63" s="51"/>
      <c r="N63" s="51"/>
      <c r="O63" s="51"/>
      <c r="P63" s="51"/>
      <c r="Q63" s="51"/>
      <c r="R63" s="51"/>
      <c r="S63" s="51"/>
      <c r="T63" s="51"/>
      <c r="U63" s="51"/>
      <c r="V63" s="51"/>
      <c r="W63" s="51"/>
      <c r="X63" s="51"/>
      <c r="Y63" s="51"/>
    </row>
    <row r="64" spans="1:25" x14ac:dyDescent="0.2">
      <c r="A64" s="51"/>
      <c r="B64" s="51"/>
      <c r="C64" s="51"/>
      <c r="D64" s="51"/>
      <c r="E64" s="51"/>
      <c r="F64" s="51"/>
      <c r="G64" s="51"/>
      <c r="H64" s="51"/>
      <c r="I64" s="51"/>
      <c r="J64" s="51"/>
      <c r="K64" s="51"/>
      <c r="L64" s="51"/>
      <c r="M64" s="51"/>
      <c r="N64" s="51"/>
      <c r="O64" s="51"/>
      <c r="P64" s="51"/>
      <c r="Q64" s="51"/>
      <c r="R64" s="51"/>
      <c r="S64" s="51"/>
      <c r="T64" s="51"/>
      <c r="U64" s="51"/>
      <c r="V64" s="51"/>
      <c r="W64" s="51"/>
      <c r="X64" s="51"/>
      <c r="Y64" s="51"/>
    </row>
    <row r="65" spans="1:25" x14ac:dyDescent="0.2">
      <c r="A65" s="51"/>
      <c r="B65" s="51"/>
      <c r="C65" s="51"/>
      <c r="D65" s="51"/>
      <c r="E65" s="51"/>
      <c r="F65" s="51"/>
      <c r="G65" s="51"/>
      <c r="H65" s="51"/>
      <c r="I65" s="51"/>
      <c r="J65" s="51"/>
      <c r="K65" s="51"/>
      <c r="L65" s="51"/>
      <c r="M65" s="51"/>
      <c r="N65" s="51"/>
      <c r="O65" s="51"/>
      <c r="P65" s="51"/>
      <c r="Q65" s="51"/>
      <c r="R65" s="51"/>
      <c r="S65" s="51"/>
      <c r="T65" s="51"/>
      <c r="U65" s="51"/>
      <c r="V65" s="51"/>
      <c r="W65" s="51"/>
      <c r="X65" s="51"/>
      <c r="Y65" s="51"/>
    </row>
    <row r="66" spans="1:25" x14ac:dyDescent="0.2">
      <c r="A66" s="51"/>
      <c r="B66" s="51"/>
      <c r="C66" s="51"/>
      <c r="D66" s="51"/>
      <c r="E66" s="51"/>
      <c r="F66" s="51"/>
      <c r="G66" s="51"/>
      <c r="H66" s="51"/>
      <c r="I66" s="51"/>
      <c r="J66" s="51"/>
      <c r="K66" s="51"/>
      <c r="L66" s="51"/>
      <c r="M66" s="51"/>
      <c r="N66" s="51"/>
      <c r="O66" s="51"/>
      <c r="P66" s="51"/>
      <c r="Q66" s="51"/>
      <c r="R66" s="51"/>
      <c r="S66" s="51"/>
      <c r="T66" s="51"/>
      <c r="U66" s="51"/>
      <c r="V66" s="51"/>
      <c r="W66" s="51"/>
      <c r="X66" s="51"/>
      <c r="Y66" s="51"/>
    </row>
    <row r="67" spans="1:25" x14ac:dyDescent="0.2">
      <c r="A67" s="51"/>
      <c r="B67" s="51"/>
      <c r="C67" s="51"/>
      <c r="D67" s="51"/>
      <c r="E67" s="51"/>
      <c r="F67" s="51"/>
      <c r="G67" s="51"/>
      <c r="H67" s="51"/>
      <c r="I67" s="51"/>
      <c r="J67" s="51"/>
      <c r="K67" s="51"/>
      <c r="L67" s="51"/>
      <c r="M67" s="51"/>
      <c r="N67" s="51"/>
      <c r="O67" s="51"/>
      <c r="P67" s="51"/>
      <c r="Q67" s="51"/>
      <c r="R67" s="51"/>
      <c r="S67" s="51"/>
      <c r="T67" s="51"/>
      <c r="U67" s="51"/>
      <c r="V67" s="51"/>
      <c r="W67" s="51"/>
      <c r="X67" s="51"/>
      <c r="Y67" s="51"/>
    </row>
    <row r="68" spans="1:25" x14ac:dyDescent="0.2">
      <c r="A68" s="51"/>
      <c r="B68" s="51"/>
      <c r="C68" s="51"/>
      <c r="D68" s="51"/>
      <c r="E68" s="51"/>
      <c r="F68" s="51"/>
      <c r="G68" s="51"/>
      <c r="H68" s="51"/>
      <c r="I68" s="51"/>
      <c r="J68" s="51"/>
      <c r="K68" s="51"/>
      <c r="L68" s="51"/>
      <c r="M68" s="51"/>
      <c r="N68" s="51"/>
      <c r="O68" s="51"/>
      <c r="P68" s="51"/>
      <c r="Q68" s="51"/>
      <c r="R68" s="51"/>
      <c r="S68" s="51"/>
      <c r="T68" s="51"/>
      <c r="U68" s="51"/>
      <c r="V68" s="51"/>
      <c r="W68" s="51"/>
      <c r="X68" s="51"/>
      <c r="Y68" s="51"/>
    </row>
    <row r="69" spans="1:25" x14ac:dyDescent="0.2">
      <c r="A69" s="51"/>
      <c r="B69" s="51"/>
      <c r="C69" s="51"/>
      <c r="D69" s="51"/>
      <c r="E69" s="51"/>
      <c r="F69" s="51"/>
      <c r="G69" s="51"/>
      <c r="H69" s="51"/>
      <c r="I69" s="51"/>
      <c r="J69" s="51"/>
      <c r="K69" s="51"/>
      <c r="L69" s="51"/>
      <c r="M69" s="51"/>
      <c r="N69" s="51"/>
      <c r="O69" s="51"/>
      <c r="P69" s="51"/>
      <c r="Q69" s="51"/>
      <c r="R69" s="51"/>
      <c r="S69" s="51"/>
      <c r="T69" s="51"/>
      <c r="U69" s="51"/>
      <c r="V69" s="51"/>
      <c r="W69" s="51"/>
      <c r="X69" s="51"/>
      <c r="Y69" s="51"/>
    </row>
    <row r="70" spans="1:25" x14ac:dyDescent="0.2">
      <c r="A70" s="51"/>
      <c r="B70" s="51"/>
      <c r="C70" s="51"/>
      <c r="D70" s="51"/>
      <c r="E70" s="51"/>
      <c r="F70" s="51"/>
      <c r="G70" s="51"/>
      <c r="H70" s="51"/>
      <c r="I70" s="51"/>
      <c r="J70" s="51"/>
      <c r="K70" s="51"/>
      <c r="L70" s="51"/>
      <c r="M70" s="51"/>
      <c r="N70" s="51"/>
      <c r="O70" s="51"/>
      <c r="P70" s="51"/>
      <c r="Q70" s="51"/>
      <c r="R70" s="51"/>
      <c r="S70" s="51"/>
      <c r="T70" s="51"/>
      <c r="U70" s="51"/>
      <c r="V70" s="51"/>
      <c r="W70" s="51"/>
      <c r="X70" s="51"/>
      <c r="Y70" s="51"/>
    </row>
    <row r="71" spans="1:25" x14ac:dyDescent="0.2">
      <c r="A71" s="51"/>
      <c r="B71" s="51"/>
      <c r="C71" s="51"/>
      <c r="D71" s="51"/>
      <c r="E71" s="51"/>
      <c r="F71" s="51"/>
      <c r="G71" s="51"/>
      <c r="H71" s="51"/>
      <c r="I71" s="51"/>
      <c r="J71" s="51"/>
      <c r="K71" s="51"/>
      <c r="L71" s="51"/>
      <c r="M71" s="51"/>
      <c r="N71" s="51"/>
      <c r="O71" s="51"/>
      <c r="P71" s="51"/>
      <c r="Q71" s="51"/>
      <c r="R71" s="51"/>
      <c r="S71" s="51"/>
      <c r="T71" s="51"/>
      <c r="U71" s="51"/>
      <c r="V71" s="51"/>
      <c r="W71" s="51"/>
      <c r="X71" s="51"/>
      <c r="Y71" s="51"/>
    </row>
    <row r="72" spans="1:25" x14ac:dyDescent="0.2">
      <c r="A72" s="51"/>
      <c r="B72" s="51"/>
      <c r="C72" s="51"/>
      <c r="D72" s="51"/>
      <c r="E72" s="51"/>
      <c r="F72" s="51"/>
      <c r="G72" s="51"/>
      <c r="H72" s="51"/>
      <c r="I72" s="51"/>
      <c r="J72" s="51"/>
      <c r="K72" s="51"/>
      <c r="L72" s="51"/>
      <c r="M72" s="51"/>
      <c r="N72" s="51"/>
      <c r="O72" s="51"/>
      <c r="P72" s="51"/>
      <c r="Q72" s="51"/>
      <c r="R72" s="51"/>
      <c r="S72" s="51"/>
      <c r="T72" s="51"/>
      <c r="U72" s="51"/>
      <c r="V72" s="51"/>
      <c r="W72" s="51"/>
      <c r="X72" s="51"/>
      <c r="Y72" s="51"/>
    </row>
    <row r="73" spans="1:25" x14ac:dyDescent="0.2">
      <c r="A73" s="51"/>
      <c r="B73" s="51"/>
      <c r="C73" s="51"/>
      <c r="D73" s="51"/>
      <c r="E73" s="51"/>
      <c r="F73" s="51"/>
      <c r="G73" s="51"/>
      <c r="H73" s="51"/>
      <c r="I73" s="51"/>
      <c r="J73" s="51"/>
      <c r="K73" s="51"/>
      <c r="L73" s="51"/>
      <c r="M73" s="51"/>
      <c r="N73" s="51"/>
      <c r="O73" s="51"/>
      <c r="P73" s="51"/>
      <c r="Q73" s="51"/>
      <c r="R73" s="51"/>
      <c r="S73" s="51"/>
      <c r="T73" s="51"/>
      <c r="U73" s="51"/>
      <c r="V73" s="51"/>
      <c r="W73" s="51"/>
      <c r="X73" s="51"/>
      <c r="Y73" s="51"/>
    </row>
    <row r="74" spans="1:25" x14ac:dyDescent="0.2">
      <c r="A74" s="51"/>
      <c r="B74" s="51"/>
      <c r="C74" s="51"/>
      <c r="D74" s="51"/>
      <c r="E74" s="51"/>
      <c r="F74" s="51"/>
      <c r="G74" s="51"/>
      <c r="H74" s="51"/>
      <c r="I74" s="51"/>
      <c r="J74" s="51"/>
      <c r="K74" s="51"/>
      <c r="L74" s="51"/>
      <c r="M74" s="51"/>
      <c r="N74" s="51"/>
      <c r="O74" s="51"/>
      <c r="P74" s="51"/>
      <c r="Q74" s="51"/>
      <c r="R74" s="51"/>
      <c r="S74" s="51"/>
      <c r="T74" s="51"/>
      <c r="U74" s="51"/>
      <c r="V74" s="51"/>
      <c r="W74" s="51"/>
      <c r="X74" s="51"/>
      <c r="Y74" s="51"/>
    </row>
    <row r="75" spans="1:25" x14ac:dyDescent="0.2">
      <c r="A75" s="51"/>
      <c r="B75" s="51"/>
      <c r="C75" s="51"/>
      <c r="D75" s="51"/>
      <c r="E75" s="51"/>
      <c r="F75" s="51"/>
      <c r="G75" s="51"/>
      <c r="H75" s="51"/>
      <c r="I75" s="51"/>
      <c r="J75" s="51"/>
      <c r="K75" s="51"/>
      <c r="L75" s="51"/>
      <c r="M75" s="51"/>
      <c r="N75" s="51"/>
      <c r="O75" s="51"/>
      <c r="P75" s="51"/>
      <c r="Q75" s="51"/>
      <c r="R75" s="51"/>
      <c r="S75" s="51"/>
      <c r="T75" s="51"/>
      <c r="U75" s="51"/>
      <c r="V75" s="51"/>
      <c r="W75" s="51"/>
      <c r="X75" s="51"/>
      <c r="Y75" s="51"/>
    </row>
    <row r="76" spans="1:25" x14ac:dyDescent="0.2">
      <c r="A76" s="51"/>
      <c r="B76" s="51"/>
      <c r="C76" s="51"/>
      <c r="D76" s="51"/>
      <c r="E76" s="51"/>
      <c r="F76" s="51"/>
      <c r="G76" s="51"/>
      <c r="H76" s="51"/>
      <c r="I76" s="51"/>
      <c r="J76" s="51"/>
      <c r="K76" s="51"/>
      <c r="L76" s="51"/>
      <c r="M76" s="51"/>
      <c r="N76" s="51"/>
      <c r="O76" s="51"/>
      <c r="P76" s="51"/>
      <c r="Q76" s="51"/>
      <c r="R76" s="51"/>
      <c r="S76" s="51"/>
      <c r="T76" s="51"/>
      <c r="U76" s="51"/>
      <c r="V76" s="51"/>
      <c r="W76" s="51"/>
      <c r="X76" s="51"/>
      <c r="Y76" s="51"/>
    </row>
    <row r="77" spans="1:25" x14ac:dyDescent="0.2">
      <c r="A77" s="51"/>
      <c r="B77" s="51"/>
      <c r="C77" s="51"/>
      <c r="D77" s="51"/>
      <c r="E77" s="51"/>
      <c r="F77" s="51"/>
      <c r="G77" s="51"/>
      <c r="H77" s="51"/>
      <c r="I77" s="51"/>
      <c r="J77" s="51"/>
      <c r="K77" s="51"/>
      <c r="L77" s="51"/>
      <c r="M77" s="51"/>
      <c r="N77" s="51"/>
      <c r="O77" s="51"/>
      <c r="P77" s="51"/>
      <c r="Q77" s="51"/>
      <c r="R77" s="51"/>
      <c r="S77" s="51"/>
      <c r="T77" s="51"/>
      <c r="U77" s="51"/>
      <c r="V77" s="51"/>
      <c r="W77" s="51"/>
      <c r="X77" s="51"/>
      <c r="Y77" s="51"/>
    </row>
    <row r="78" spans="1:25" x14ac:dyDescent="0.2">
      <c r="A78" s="51"/>
      <c r="B78" s="51"/>
      <c r="C78" s="51"/>
      <c r="D78" s="51"/>
      <c r="E78" s="51"/>
      <c r="F78" s="51"/>
      <c r="G78" s="51"/>
      <c r="H78" s="51"/>
      <c r="I78" s="51"/>
      <c r="J78" s="51"/>
      <c r="K78" s="51"/>
      <c r="L78" s="51"/>
      <c r="M78" s="51"/>
      <c r="N78" s="51"/>
      <c r="O78" s="51"/>
      <c r="P78" s="51"/>
      <c r="Q78" s="51"/>
      <c r="R78" s="51"/>
      <c r="S78" s="51"/>
      <c r="T78" s="51"/>
      <c r="U78" s="51"/>
      <c r="V78" s="51"/>
      <c r="W78" s="51"/>
      <c r="X78" s="51"/>
      <c r="Y78" s="51"/>
    </row>
    <row r="79" spans="1:25" x14ac:dyDescent="0.2">
      <c r="A79" s="51"/>
      <c r="B79" s="51"/>
      <c r="C79" s="51"/>
      <c r="D79" s="51"/>
      <c r="E79" s="51"/>
      <c r="F79" s="51"/>
      <c r="G79" s="51"/>
      <c r="H79" s="51"/>
      <c r="I79" s="51"/>
      <c r="J79" s="51"/>
      <c r="K79" s="51"/>
      <c r="L79" s="51"/>
      <c r="M79" s="51"/>
      <c r="N79" s="51"/>
      <c r="O79" s="51"/>
      <c r="P79" s="51"/>
      <c r="Q79" s="51"/>
      <c r="R79" s="51"/>
      <c r="S79" s="51"/>
      <c r="T79" s="51"/>
      <c r="U79" s="51"/>
      <c r="V79" s="51"/>
      <c r="W79" s="51"/>
      <c r="X79" s="51"/>
      <c r="Y79" s="51"/>
    </row>
    <row r="80" spans="1:25" x14ac:dyDescent="0.2">
      <c r="A80" s="51"/>
      <c r="B80" s="51"/>
      <c r="C80" s="51"/>
      <c r="D80" s="51"/>
      <c r="E80" s="51"/>
      <c r="F80" s="51"/>
      <c r="G80" s="51"/>
      <c r="H80" s="51"/>
      <c r="I80" s="51"/>
      <c r="J80" s="51"/>
      <c r="K80" s="51"/>
      <c r="L80" s="51"/>
      <c r="M80" s="51"/>
      <c r="N80" s="51"/>
      <c r="O80" s="51"/>
      <c r="P80" s="51"/>
      <c r="Q80" s="51"/>
      <c r="R80" s="51"/>
      <c r="S80" s="51"/>
      <c r="T80" s="51"/>
      <c r="U80" s="51"/>
      <c r="V80" s="51"/>
      <c r="W80" s="51"/>
      <c r="X80" s="51"/>
      <c r="Y80" s="51"/>
    </row>
    <row r="81" spans="1:25" x14ac:dyDescent="0.2">
      <c r="A81" s="51"/>
      <c r="B81" s="51"/>
      <c r="C81" s="51"/>
      <c r="D81" s="51"/>
      <c r="E81" s="51"/>
      <c r="F81" s="51"/>
      <c r="G81" s="51"/>
      <c r="H81" s="51"/>
      <c r="I81" s="51"/>
      <c r="J81" s="51"/>
      <c r="K81" s="51"/>
      <c r="L81" s="51"/>
      <c r="M81" s="51"/>
      <c r="N81" s="51"/>
      <c r="O81" s="51"/>
      <c r="P81" s="51"/>
      <c r="Q81" s="51"/>
      <c r="R81" s="51"/>
      <c r="S81" s="51"/>
      <c r="T81" s="51"/>
      <c r="U81" s="51"/>
      <c r="V81" s="51"/>
      <c r="W81" s="51"/>
      <c r="X81" s="51"/>
      <c r="Y81" s="51"/>
    </row>
    <row r="82" spans="1:25" x14ac:dyDescent="0.2">
      <c r="A82" s="51"/>
      <c r="B82" s="51"/>
      <c r="C82" s="51"/>
      <c r="D82" s="51"/>
      <c r="E82" s="51"/>
      <c r="F82" s="51"/>
      <c r="G82" s="51"/>
      <c r="H82" s="51"/>
      <c r="I82" s="51"/>
      <c r="J82" s="51"/>
      <c r="K82" s="51"/>
      <c r="L82" s="51"/>
      <c r="M82" s="51"/>
      <c r="N82" s="51"/>
      <c r="O82" s="51"/>
      <c r="P82" s="51"/>
      <c r="Q82" s="51"/>
      <c r="R82" s="51"/>
      <c r="S82" s="51"/>
      <c r="T82" s="51"/>
      <c r="U82" s="51"/>
      <c r="V82" s="51"/>
      <c r="W82" s="51"/>
      <c r="X82" s="51"/>
      <c r="Y82" s="51"/>
    </row>
    <row r="83" spans="1:25" x14ac:dyDescent="0.2">
      <c r="A83" s="51"/>
      <c r="B83" s="51"/>
      <c r="C83" s="51"/>
      <c r="D83" s="51"/>
      <c r="E83" s="51"/>
      <c r="F83" s="51"/>
      <c r="G83" s="51"/>
      <c r="H83" s="51"/>
      <c r="I83" s="51"/>
      <c r="J83" s="51"/>
      <c r="K83" s="51"/>
      <c r="L83" s="51"/>
      <c r="M83" s="51"/>
      <c r="N83" s="51"/>
      <c r="O83" s="51"/>
      <c r="P83" s="51"/>
      <c r="Q83" s="51"/>
      <c r="R83" s="51"/>
      <c r="S83" s="51"/>
      <c r="T83" s="51"/>
      <c r="U83" s="51"/>
      <c r="V83" s="51"/>
      <c r="W83" s="51"/>
      <c r="X83" s="51"/>
      <c r="Y83" s="51"/>
    </row>
    <row r="84" spans="1:25" x14ac:dyDescent="0.2">
      <c r="A84" s="51"/>
      <c r="B84" s="51"/>
      <c r="C84" s="51"/>
      <c r="D84" s="51"/>
      <c r="E84" s="51"/>
      <c r="F84" s="51"/>
      <c r="G84" s="51"/>
      <c r="H84" s="51"/>
      <c r="I84" s="51"/>
      <c r="J84" s="51"/>
      <c r="K84" s="51"/>
      <c r="L84" s="51"/>
      <c r="M84" s="51"/>
      <c r="N84" s="51"/>
      <c r="O84" s="51"/>
      <c r="P84" s="51"/>
      <c r="Q84" s="51"/>
      <c r="R84" s="51"/>
      <c r="S84" s="51"/>
      <c r="T84" s="51"/>
      <c r="U84" s="51"/>
      <c r="V84" s="51"/>
      <c r="W84" s="51"/>
      <c r="X84" s="51"/>
      <c r="Y84" s="51"/>
    </row>
    <row r="85" spans="1:25" x14ac:dyDescent="0.2">
      <c r="A85" s="51"/>
      <c r="B85" s="51"/>
      <c r="C85" s="51"/>
      <c r="D85" s="51"/>
      <c r="E85" s="51"/>
      <c r="F85" s="51"/>
      <c r="G85" s="51"/>
      <c r="H85" s="51"/>
      <c r="I85" s="51"/>
      <c r="J85" s="51"/>
      <c r="K85" s="51"/>
      <c r="L85" s="51"/>
      <c r="M85" s="51"/>
      <c r="N85" s="51"/>
      <c r="O85" s="51"/>
      <c r="P85" s="51"/>
      <c r="Q85" s="51"/>
      <c r="R85" s="51"/>
      <c r="S85" s="51"/>
      <c r="T85" s="51"/>
      <c r="U85" s="51"/>
      <c r="V85" s="51"/>
      <c r="W85" s="51"/>
      <c r="X85" s="51"/>
      <c r="Y85" s="51"/>
    </row>
    <row r="86" spans="1:25" x14ac:dyDescent="0.2">
      <c r="A86" s="51"/>
      <c r="B86" s="51"/>
      <c r="C86" s="51"/>
      <c r="D86" s="51"/>
      <c r="E86" s="51"/>
      <c r="F86" s="51"/>
      <c r="G86" s="51"/>
      <c r="H86" s="51"/>
      <c r="I86" s="51"/>
      <c r="J86" s="51"/>
      <c r="K86" s="51"/>
      <c r="L86" s="51"/>
      <c r="M86" s="51"/>
      <c r="N86" s="51"/>
      <c r="O86" s="51"/>
      <c r="P86" s="51"/>
      <c r="Q86" s="51"/>
      <c r="R86" s="51"/>
      <c r="S86" s="51"/>
      <c r="T86" s="51"/>
      <c r="U86" s="51"/>
      <c r="V86" s="51"/>
      <c r="W86" s="51"/>
      <c r="X86" s="51"/>
      <c r="Y86" s="51"/>
    </row>
    <row r="87" spans="1:25" x14ac:dyDescent="0.2">
      <c r="A87" s="51"/>
      <c r="B87" s="51"/>
      <c r="C87" s="51"/>
      <c r="D87" s="51"/>
      <c r="E87" s="51"/>
      <c r="F87" s="51"/>
      <c r="G87" s="51"/>
      <c r="H87" s="51"/>
      <c r="I87" s="51"/>
      <c r="J87" s="51"/>
      <c r="K87" s="51"/>
      <c r="L87" s="51"/>
      <c r="M87" s="51"/>
      <c r="N87" s="51"/>
      <c r="O87" s="51"/>
      <c r="P87" s="51"/>
      <c r="Q87" s="51"/>
      <c r="R87" s="51"/>
      <c r="S87" s="51"/>
      <c r="T87" s="51"/>
      <c r="U87" s="51"/>
      <c r="V87" s="51"/>
      <c r="W87" s="51"/>
      <c r="X87" s="51"/>
      <c r="Y87" s="51"/>
    </row>
    <row r="88" spans="1:25" x14ac:dyDescent="0.2">
      <c r="A88" s="51"/>
      <c r="B88" s="51"/>
      <c r="C88" s="51"/>
      <c r="D88" s="51"/>
      <c r="E88" s="51"/>
      <c r="F88" s="51"/>
      <c r="G88" s="51"/>
      <c r="H88" s="51"/>
      <c r="I88" s="51"/>
      <c r="J88" s="51"/>
      <c r="K88" s="51"/>
      <c r="L88" s="51"/>
      <c r="M88" s="51"/>
      <c r="N88" s="51"/>
      <c r="O88" s="51"/>
      <c r="P88" s="51"/>
      <c r="Q88" s="51"/>
      <c r="R88" s="51"/>
      <c r="S88" s="51"/>
      <c r="T88" s="51"/>
      <c r="U88" s="51"/>
      <c r="V88" s="51"/>
      <c r="W88" s="51"/>
      <c r="X88" s="51"/>
      <c r="Y88" s="51"/>
    </row>
    <row r="89" spans="1:25" x14ac:dyDescent="0.2">
      <c r="A89" s="51"/>
      <c r="B89" s="51"/>
      <c r="C89" s="51"/>
      <c r="D89" s="51"/>
      <c r="E89" s="51"/>
      <c r="F89" s="51"/>
      <c r="G89" s="51"/>
      <c r="H89" s="51"/>
      <c r="I89" s="51"/>
      <c r="J89" s="51"/>
      <c r="K89" s="51"/>
      <c r="L89" s="51"/>
      <c r="M89" s="51"/>
      <c r="N89" s="51"/>
      <c r="O89" s="51"/>
      <c r="P89" s="51"/>
      <c r="Q89" s="51"/>
      <c r="R89" s="51"/>
      <c r="S89" s="51"/>
      <c r="T89" s="51"/>
      <c r="U89" s="51"/>
      <c r="V89" s="51"/>
      <c r="W89" s="51"/>
      <c r="X89" s="51"/>
      <c r="Y89" s="51"/>
    </row>
    <row r="90" spans="1:25" x14ac:dyDescent="0.2">
      <c r="A90" s="51"/>
      <c r="B90" s="51"/>
      <c r="C90" s="51"/>
      <c r="D90" s="51"/>
      <c r="E90" s="51"/>
      <c r="F90" s="51"/>
      <c r="G90" s="51"/>
      <c r="H90" s="51"/>
      <c r="I90" s="51"/>
      <c r="J90" s="51"/>
      <c r="K90" s="51"/>
      <c r="L90" s="51"/>
      <c r="M90" s="51"/>
      <c r="N90" s="51"/>
      <c r="O90" s="51"/>
      <c r="P90" s="51"/>
      <c r="Q90" s="51"/>
      <c r="R90" s="51"/>
      <c r="S90" s="51"/>
      <c r="T90" s="51"/>
      <c r="U90" s="51"/>
      <c r="V90" s="51"/>
      <c r="W90" s="51"/>
      <c r="X90" s="51"/>
      <c r="Y90" s="51"/>
    </row>
    <row r="91" spans="1:25" x14ac:dyDescent="0.2">
      <c r="A91" s="51"/>
      <c r="B91" s="51"/>
      <c r="C91" s="51"/>
      <c r="D91" s="51"/>
      <c r="E91" s="51"/>
      <c r="F91" s="51"/>
      <c r="G91" s="51"/>
      <c r="H91" s="51"/>
      <c r="I91" s="51"/>
      <c r="J91" s="51"/>
      <c r="K91" s="51"/>
      <c r="L91" s="51"/>
      <c r="M91" s="51"/>
      <c r="N91" s="51"/>
      <c r="O91" s="51"/>
      <c r="P91" s="51"/>
      <c r="Q91" s="51"/>
      <c r="R91" s="51"/>
      <c r="S91" s="51"/>
      <c r="T91" s="51"/>
      <c r="U91" s="51"/>
      <c r="V91" s="51"/>
      <c r="W91" s="51"/>
      <c r="X91" s="51"/>
      <c r="Y91" s="51"/>
    </row>
    <row r="92" spans="1:25" x14ac:dyDescent="0.2">
      <c r="A92" s="51"/>
      <c r="B92" s="51"/>
      <c r="C92" s="51"/>
      <c r="D92" s="51"/>
      <c r="E92" s="51"/>
      <c r="F92" s="51"/>
      <c r="G92" s="51"/>
      <c r="H92" s="51"/>
      <c r="I92" s="51"/>
      <c r="J92" s="51"/>
      <c r="K92" s="51"/>
      <c r="L92" s="51"/>
      <c r="M92" s="51"/>
      <c r="N92" s="51"/>
      <c r="O92" s="51"/>
      <c r="P92" s="51"/>
      <c r="Q92" s="51"/>
      <c r="R92" s="51"/>
      <c r="S92" s="51"/>
      <c r="T92" s="51"/>
      <c r="U92" s="51"/>
      <c r="V92" s="51"/>
      <c r="W92" s="51"/>
      <c r="X92" s="51"/>
      <c r="Y92" s="51"/>
    </row>
  </sheetData>
  <mergeCells count="2">
    <mergeCell ref="L26:P26"/>
    <mergeCell ref="K25:P25"/>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 id="{C584F4A0-3BD5-4E85-8AE5-9F9458C00429}">
            <x14:iconSet iconSet="4Arrows" custom="1">
              <x14:cfvo type="percent">
                <xm:f>0</xm:f>
              </x14:cfvo>
              <x14:cfvo type="num">
                <xm:f>1</xm:f>
              </x14:cfvo>
              <x14:cfvo type="num">
                <xm:f>1</xm:f>
              </x14:cfvo>
              <x14:cfvo type="num">
                <xm:f>1</xm:f>
              </x14:cfvo>
              <x14:cfIcon iconSet="3Arrows" iconId="0"/>
              <x14:cfIcon iconSet="3Arrows" iconId="0"/>
              <x14:cfIcon iconSet="3Arrows" iconId="0"/>
              <x14:cfIcon iconSet="3Arrows" iconId="2"/>
            </x14:iconSet>
          </x14:cfRule>
          <xm:sqref>L29:L32</xm:sqref>
        </x14:conditionalFormatting>
        <x14:conditionalFormatting xmlns:xm="http://schemas.microsoft.com/office/excel/2006/main">
          <x14:cfRule type="iconSet" priority="5" id="{C2E84276-DA45-4D97-8583-457116A20F2F}">
            <x14:iconSet iconSet="3Arrows" custom="1">
              <x14:cfvo type="percent">
                <xm:f>0</xm:f>
              </x14:cfvo>
              <x14:cfvo type="num">
                <xm:f>0</xm:f>
              </x14:cfvo>
              <x14:cfvo type="num">
                <xm:f>1</xm:f>
              </x14:cfvo>
              <x14:cfIcon iconSet="NoIcons" iconId="0"/>
              <x14:cfIcon iconSet="3Arrows" iconId="0"/>
              <x14:cfIcon iconSet="3Arrows" iconId="2"/>
            </x14:iconSet>
          </x14:cfRule>
          <xm:sqref>M29:M32</xm:sqref>
        </x14:conditionalFormatting>
        <x14:conditionalFormatting xmlns:xm="http://schemas.microsoft.com/office/excel/2006/main">
          <x14:cfRule type="iconSet" priority="1" id="{A3E0D60B-3516-4D2B-8497-8EE9890F12A4}">
            <x14:iconSet iconSet="5Arrows" custom="1">
              <x14:cfvo type="percent">
                <xm:f>0</xm:f>
              </x14:cfvo>
              <x14:cfvo type="num">
                <xm:f>1</xm:f>
              </x14:cfvo>
              <x14:cfvo type="num">
                <xm:f>1</xm:f>
              </x14:cfvo>
              <x14:cfvo type="num">
                <xm:f>1</xm:f>
              </x14:cfvo>
              <x14:cfvo type="num">
                <xm:f>1</xm:f>
              </x14:cfvo>
              <x14:cfIcon iconSet="3Arrows" iconId="0"/>
              <x14:cfIcon iconSet="3Arrows" iconId="0"/>
              <x14:cfIcon iconSet="3Arrows" iconId="0"/>
              <x14:cfIcon iconSet="3Arrows" iconId="0"/>
              <x14:cfIcon iconSet="3Arrows" iconId="2"/>
            </x14:iconSet>
          </x14:cfRule>
          <xm:sqref>N29:N32</xm:sqref>
        </x14:conditionalFormatting>
        <x14:conditionalFormatting xmlns:xm="http://schemas.microsoft.com/office/excel/2006/main">
          <x14:cfRule type="iconSet" priority="4" id="{C3FECFF8-9ED7-401E-B07F-C62A44B316D6}">
            <x14:iconSet iconSet="4Arrows" custom="1">
              <x14:cfvo type="percent">
                <xm:f>0</xm:f>
              </x14:cfvo>
              <x14:cfvo type="num">
                <xm:f>1</xm:f>
              </x14:cfvo>
              <x14:cfvo type="num">
                <xm:f>1</xm:f>
              </x14:cfvo>
              <x14:cfvo type="num">
                <xm:f>1</xm:f>
              </x14:cfvo>
              <x14:cfIcon iconSet="3Arrows" iconId="0"/>
              <x14:cfIcon iconSet="3Arrows" iconId="2"/>
              <x14:cfIcon iconSet="3Arrows" iconId="2"/>
              <x14:cfIcon iconSet="3Arrows" iconId="2"/>
            </x14:iconSet>
          </x14:cfRule>
          <xm:sqref>O29:O32</xm:sqref>
        </x14:conditionalFormatting>
        <x14:conditionalFormatting xmlns:xm="http://schemas.microsoft.com/office/excel/2006/main">
          <x14:cfRule type="iconSet" priority="3" id="{4A620DCA-BE96-4296-B350-0AE2D34CE23C}">
            <x14:iconSet iconSet="4Arrows" custom="1">
              <x14:cfvo type="percent">
                <xm:f>0</xm:f>
              </x14:cfvo>
              <x14:cfvo type="num">
                <xm:f>1</xm:f>
              </x14:cfvo>
              <x14:cfvo type="num">
                <xm:f>1</xm:f>
              </x14:cfvo>
              <x14:cfvo type="num">
                <xm:f>1</xm:f>
              </x14:cfvo>
              <x14:cfIcon iconSet="3Arrows" iconId="0"/>
              <x14:cfIcon iconSet="NoIcons" iconId="0"/>
              <x14:cfIcon iconSet="NoIcons" iconId="0"/>
              <x14:cfIcon iconSet="3Arrows" iconId="2"/>
            </x14:iconSet>
          </x14:cfRule>
          <xm:sqref>P29:P32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9B019A25-043D-4B0B-9534-FE8A054D0BE6}">
          <x14:colorSeries rgb="FF000000"/>
          <x14:colorNegative rgb="FF0070C0"/>
          <x14:colorAxis rgb="FF000000"/>
          <x14:colorMarkers rgb="FF0070C0"/>
          <x14:colorFirst rgb="FF0070C0"/>
          <x14:colorLast rgb="FF0070C0"/>
          <x14:colorHigh rgb="FF0070C0"/>
          <x14:colorLow rgb="FF0070C0"/>
          <x14:sparklines>
            <x14:sparkline>
              <xm:f>'Severity Dashboard'!L28:L32</xm:f>
              <xm:sqref>L33</xm:sqref>
            </x14:sparkline>
            <x14:sparkline>
              <xm:f>'Severity Dashboard'!M28:M32</xm:f>
              <xm:sqref>M33</xm:sqref>
            </x14:sparkline>
          </x14:sparklines>
        </x14:sparklineGroup>
        <x14:sparklineGroup displayEmptyCellsAs="gap" xr2:uid="{8F2C0C9B-B708-446F-BCA5-39A22A9BB770}">
          <x14:colorSeries rgb="FF000000"/>
          <x14:colorNegative rgb="FF0070C0"/>
          <x14:colorAxis rgb="FF000000"/>
          <x14:colorMarkers rgb="FF0070C0"/>
          <x14:colorFirst rgb="FF0070C0"/>
          <x14:colorLast rgb="FF0070C0"/>
          <x14:colorHigh rgb="FF0070C0"/>
          <x14:colorLow rgb="FF0070C0"/>
          <x14:sparklines>
            <x14:sparkline>
              <xm:f>'Severity Dashboard'!N28:N32</xm:f>
              <xm:sqref>N33</xm:sqref>
            </x14:sparkline>
            <x14:sparkline>
              <xm:f>'Severity Dashboard'!O28:O32</xm:f>
              <xm:sqref>O33</xm:sqref>
            </x14:sparkline>
          </x14:sparklines>
        </x14:sparklineGroup>
        <x14:sparklineGroup displayEmptyCellsAs="gap" xr2:uid="{63263449-8E29-4A1E-A860-40FE72666C1E}">
          <x14:colorSeries rgb="FF000000"/>
          <x14:colorNegative rgb="FF0070C0"/>
          <x14:colorAxis rgb="FF000000"/>
          <x14:colorMarkers rgb="FF0070C0"/>
          <x14:colorFirst rgb="FF0070C0"/>
          <x14:colorLast rgb="FF0070C0"/>
          <x14:colorHigh rgb="FF0070C0"/>
          <x14:colorLow rgb="FF0070C0"/>
          <x14:sparklines>
            <x14:sparkline>
              <xm:f>'Severity Dashboard'!P28:P32</xm:f>
              <xm:sqref>P33</xm:sqref>
            </x14:sparkline>
          </x14:sparklines>
        </x14:sparklineGroup>
      </x14:sparklineGroup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BF9A-3056-4CEF-860C-0711D0EE0656}">
  <dimension ref="J32"/>
  <sheetViews>
    <sheetView workbookViewId="0">
      <selection activeCell="S1" sqref="S1:S1048576"/>
    </sheetView>
  </sheetViews>
  <sheetFormatPr defaultRowHeight="14.25" x14ac:dyDescent="0.2"/>
  <sheetData>
    <row r="32" spans="10:10" x14ac:dyDescent="0.2">
      <c r="J32" t="s">
        <v>2093</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1D51-96EE-42BC-A8D6-E29A45F2D445}">
  <dimension ref="A1:M117"/>
  <sheetViews>
    <sheetView topLeftCell="A94" workbookViewId="0">
      <selection activeCell="A113" sqref="A113"/>
    </sheetView>
  </sheetViews>
  <sheetFormatPr defaultRowHeight="14.25" x14ac:dyDescent="0.2"/>
  <cols>
    <col min="1" max="1" width="13.125" bestFit="1" customWidth="1"/>
    <col min="2" max="2" width="18.5" bestFit="1" customWidth="1"/>
    <col min="3" max="3" width="9.5" bestFit="1" customWidth="1"/>
    <col min="4" max="4" width="5.625" bestFit="1" customWidth="1"/>
    <col min="5" max="5" width="11.375" bestFit="1" customWidth="1"/>
    <col min="6" max="7" width="6" bestFit="1" customWidth="1"/>
    <col min="8" max="8" width="11.375" bestFit="1" customWidth="1"/>
    <col min="9" max="9" width="10.875" bestFit="1" customWidth="1"/>
    <col min="10" max="11" width="9.875" bestFit="1" customWidth="1"/>
    <col min="12" max="13" width="10.875" bestFit="1" customWidth="1"/>
    <col min="14" max="14" width="8.875" bestFit="1" customWidth="1"/>
    <col min="15" max="17" width="9.875" bestFit="1" customWidth="1"/>
    <col min="18" max="18" width="9.5" bestFit="1" customWidth="1"/>
    <col min="19" max="21" width="8.875" bestFit="1" customWidth="1"/>
    <col min="22" max="22" width="12.375" bestFit="1" customWidth="1"/>
  </cols>
  <sheetData>
    <row r="1" spans="1:13" x14ac:dyDescent="0.2">
      <c r="A1" s="50" t="s">
        <v>2050</v>
      </c>
      <c r="B1" s="50"/>
      <c r="C1" s="50"/>
      <c r="D1" s="50"/>
      <c r="E1" s="50" t="s">
        <v>2054</v>
      </c>
      <c r="F1" s="50"/>
      <c r="G1" s="50"/>
      <c r="H1" s="50"/>
      <c r="I1" s="50"/>
      <c r="K1" t="s">
        <v>2056</v>
      </c>
      <c r="L1" t="s">
        <v>2055</v>
      </c>
      <c r="M1" t="s">
        <v>2057</v>
      </c>
    </row>
    <row r="2" spans="1:13" x14ac:dyDescent="0.2">
      <c r="K2" s="6">
        <f xml:space="preserve"> SUM(TransformedData[Severity])</f>
        <v>2035169.4100000036</v>
      </c>
      <c r="L2">
        <f xml:space="preserve"> AVERAGE(TransformedData[Severity])</f>
        <v>1225.267555689346</v>
      </c>
      <c r="M2">
        <f xml:space="preserve"> MAX(TransformedData[Severity])</f>
        <v>13053.95</v>
      </c>
    </row>
    <row r="3" spans="1:13" x14ac:dyDescent="0.2">
      <c r="B3" t="s">
        <v>2051</v>
      </c>
      <c r="C3" t="s">
        <v>2049</v>
      </c>
      <c r="F3" t="s">
        <v>2052</v>
      </c>
      <c r="G3" t="s">
        <v>2049</v>
      </c>
      <c r="H3" t="s">
        <v>2053</v>
      </c>
    </row>
    <row r="4" spans="1:13" x14ac:dyDescent="0.2">
      <c r="B4">
        <v>1</v>
      </c>
      <c r="C4" cm="1">
        <f t="array" ref="C4:C8" xml:space="preserve"> FREQUENCY(TransformedData[Claim Count], 'Graph Tables'!B4:B7)</f>
        <v>1295</v>
      </c>
      <c r="F4" t="s">
        <v>8</v>
      </c>
      <c r="G4">
        <f xml:space="preserve"> COUNTIF(TransformedData[Territory], 'Graph Tables'!F4)</f>
        <v>823</v>
      </c>
      <c r="H4" s="5">
        <f xml:space="preserve"> ROUND(G4/(SUM($G$4:$G$6)), 3)</f>
        <v>0.495</v>
      </c>
    </row>
    <row r="5" spans="1:13" x14ac:dyDescent="0.2">
      <c r="B5">
        <v>2</v>
      </c>
      <c r="C5">
        <v>306</v>
      </c>
      <c r="F5" t="s">
        <v>16</v>
      </c>
      <c r="G5">
        <f xml:space="preserve"> COUNTIF(TransformedData[Territory], 'Graph Tables'!F5)</f>
        <v>463</v>
      </c>
      <c r="H5" s="5">
        <f t="shared" ref="H5:H6" si="0" xml:space="preserve"> ROUND(G5/(SUM($G$4:$G$6)), 3)</f>
        <v>0.27900000000000003</v>
      </c>
    </row>
    <row r="6" spans="1:13" x14ac:dyDescent="0.2">
      <c r="B6">
        <v>3</v>
      </c>
      <c r="C6">
        <v>55</v>
      </c>
      <c r="F6" t="s">
        <v>10</v>
      </c>
      <c r="G6">
        <f xml:space="preserve"> COUNTIF(TransformedData[Territory], 'Graph Tables'!F6)</f>
        <v>375</v>
      </c>
      <c r="H6" s="5">
        <f t="shared" si="0"/>
        <v>0.22600000000000001</v>
      </c>
    </row>
    <row r="7" spans="1:13" x14ac:dyDescent="0.2">
      <c r="B7">
        <v>4</v>
      </c>
      <c r="C7">
        <v>5</v>
      </c>
    </row>
    <row r="8" spans="1:13" x14ac:dyDescent="0.2">
      <c r="B8">
        <v>5</v>
      </c>
      <c r="C8">
        <v>0</v>
      </c>
    </row>
    <row r="9" spans="1:13" x14ac:dyDescent="0.2">
      <c r="C9">
        <f xml:space="preserve"> SUM(_xlfn.ANCHORARRAY(C4))</f>
        <v>1661</v>
      </c>
    </row>
    <row r="12" spans="1:13" x14ac:dyDescent="0.2">
      <c r="A12" s="12" t="s">
        <v>2061</v>
      </c>
      <c r="B12" s="12" t="s">
        <v>2062</v>
      </c>
    </row>
    <row r="13" spans="1:13" x14ac:dyDescent="0.2">
      <c r="A13" s="12" t="s">
        <v>2059</v>
      </c>
      <c r="B13" t="s">
        <v>8</v>
      </c>
      <c r="C13" t="s">
        <v>16</v>
      </c>
      <c r="D13" t="s">
        <v>10</v>
      </c>
      <c r="E13" t="s">
        <v>2060</v>
      </c>
    </row>
    <row r="14" spans="1:13" x14ac:dyDescent="0.2">
      <c r="A14" s="16" t="s">
        <v>2076</v>
      </c>
      <c r="B14" s="6">
        <v>24459.339999999997</v>
      </c>
      <c r="C14" s="6">
        <v>13805.429999999998</v>
      </c>
      <c r="D14" s="6">
        <v>13497.26</v>
      </c>
      <c r="E14" s="6">
        <v>51762.03</v>
      </c>
    </row>
    <row r="15" spans="1:13" x14ac:dyDescent="0.2">
      <c r="A15" s="16" t="s">
        <v>2075</v>
      </c>
      <c r="B15" s="6">
        <v>43727.419999999984</v>
      </c>
      <c r="C15" s="6">
        <v>35912.370000000003</v>
      </c>
      <c r="D15" s="6">
        <v>31936.750000000004</v>
      </c>
      <c r="E15" s="6">
        <v>111576.53999999998</v>
      </c>
    </row>
    <row r="16" spans="1:13" x14ac:dyDescent="0.2">
      <c r="A16" s="16" t="s">
        <v>2074</v>
      </c>
      <c r="B16" s="6">
        <v>78037.719999999958</v>
      </c>
      <c r="C16" s="6">
        <v>34202.32</v>
      </c>
      <c r="D16" s="6">
        <v>39389.589999999997</v>
      </c>
      <c r="E16" s="6">
        <v>151629.62999999995</v>
      </c>
    </row>
    <row r="17" spans="1:5" x14ac:dyDescent="0.2">
      <c r="A17" s="16" t="s">
        <v>2071</v>
      </c>
      <c r="B17" s="6">
        <v>79865.500000000015</v>
      </c>
      <c r="C17" s="6">
        <v>73082.109999999986</v>
      </c>
      <c r="D17" s="6">
        <v>48163.700000000012</v>
      </c>
      <c r="E17" s="6">
        <v>201111.31</v>
      </c>
    </row>
    <row r="18" spans="1:5" x14ac:dyDescent="0.2">
      <c r="A18" s="16" t="s">
        <v>2072</v>
      </c>
      <c r="B18" s="6">
        <v>120609.43000000005</v>
      </c>
      <c r="C18" s="6">
        <v>88529.36</v>
      </c>
      <c r="D18" s="6">
        <v>66889.290000000008</v>
      </c>
      <c r="E18" s="6">
        <v>276028.08000000007</v>
      </c>
    </row>
    <row r="19" spans="1:5" x14ac:dyDescent="0.2">
      <c r="A19" s="16" t="s">
        <v>2073</v>
      </c>
      <c r="B19" s="6">
        <v>158621.63999999996</v>
      </c>
      <c r="C19" s="6">
        <v>107386.98000000001</v>
      </c>
      <c r="D19" s="6">
        <v>89392.07</v>
      </c>
      <c r="E19" s="6">
        <v>355400.69</v>
      </c>
    </row>
    <row r="20" spans="1:5" x14ac:dyDescent="0.2">
      <c r="A20" s="16" t="s">
        <v>2070</v>
      </c>
      <c r="B20" s="6">
        <v>394851.84999999986</v>
      </c>
      <c r="C20" s="6">
        <v>254430.59999999998</v>
      </c>
      <c r="D20" s="6">
        <v>238378.68000000005</v>
      </c>
      <c r="E20" s="6">
        <v>887661.12999999989</v>
      </c>
    </row>
    <row r="21" spans="1:5" x14ac:dyDescent="0.2">
      <c r="A21" s="16" t="s">
        <v>2060</v>
      </c>
      <c r="B21" s="6">
        <v>900172.89999999979</v>
      </c>
      <c r="C21" s="6">
        <v>607349.16999999993</v>
      </c>
      <c r="D21" s="6">
        <v>527647.34000000008</v>
      </c>
      <c r="E21" s="6">
        <v>2035169.41</v>
      </c>
    </row>
    <row r="26" spans="1:5" x14ac:dyDescent="0.2">
      <c r="A26" s="12" t="s">
        <v>2061</v>
      </c>
      <c r="B26" s="12" t="s">
        <v>2062</v>
      </c>
    </row>
    <row r="27" spans="1:5" x14ac:dyDescent="0.2">
      <c r="A27" s="12" t="s">
        <v>2059</v>
      </c>
      <c r="B27" t="s">
        <v>8</v>
      </c>
      <c r="C27" t="s">
        <v>16</v>
      </c>
      <c r="D27" t="s">
        <v>10</v>
      </c>
      <c r="E27" t="s">
        <v>2060</v>
      </c>
    </row>
    <row r="28" spans="1:5" x14ac:dyDescent="0.2">
      <c r="A28" s="13">
        <v>1</v>
      </c>
      <c r="B28" s="14">
        <v>0.7588573150780259</v>
      </c>
      <c r="C28" s="14">
        <v>0.70771276430656793</v>
      </c>
      <c r="D28" s="14">
        <v>0.71244854565172255</v>
      </c>
      <c r="E28" s="14">
        <v>0.73156225849522794</v>
      </c>
    </row>
    <row r="29" spans="1:5" x14ac:dyDescent="0.2">
      <c r="A29" s="13">
        <v>2</v>
      </c>
      <c r="B29" s="14">
        <v>0.20626126380831944</v>
      </c>
      <c r="C29" s="14">
        <v>0.21687134272365916</v>
      </c>
      <c r="D29" s="14">
        <v>0.23967525355097957</v>
      </c>
      <c r="E29" s="14">
        <v>0.21809066007925093</v>
      </c>
    </row>
    <row r="30" spans="1:5" x14ac:dyDescent="0.2">
      <c r="A30" s="13">
        <v>3</v>
      </c>
      <c r="B30" s="14">
        <v>2.9485457738174532E-2</v>
      </c>
      <c r="C30" s="14">
        <v>7.5415892969772177E-2</v>
      </c>
      <c r="D30" s="14">
        <v>4.1707137195081824E-2</v>
      </c>
      <c r="E30" s="14">
        <v>4.6360980828618024E-2</v>
      </c>
    </row>
    <row r="31" spans="1:5" x14ac:dyDescent="0.2">
      <c r="A31" s="13">
        <v>4</v>
      </c>
      <c r="B31" s="14">
        <v>5.3959633754804229E-3</v>
      </c>
      <c r="C31" s="14">
        <v>0</v>
      </c>
      <c r="D31" s="14">
        <v>6.1690636022158248E-3</v>
      </c>
      <c r="E31" s="14">
        <v>3.9861005969031287E-3</v>
      </c>
    </row>
    <row r="32" spans="1:5" x14ac:dyDescent="0.2">
      <c r="A32" s="13" t="s">
        <v>2060</v>
      </c>
      <c r="B32" s="14">
        <v>1</v>
      </c>
      <c r="C32" s="14">
        <v>1</v>
      </c>
      <c r="D32" s="14">
        <v>1</v>
      </c>
      <c r="E32" s="14">
        <v>1</v>
      </c>
    </row>
    <row r="40" spans="1:5" x14ac:dyDescent="0.2">
      <c r="A40" s="12" t="s">
        <v>2061</v>
      </c>
      <c r="B40" s="12" t="s">
        <v>2062</v>
      </c>
    </row>
    <row r="41" spans="1:5" x14ac:dyDescent="0.2">
      <c r="A41" s="12" t="s">
        <v>2059</v>
      </c>
      <c r="B41" t="s">
        <v>10</v>
      </c>
      <c r="C41" t="s">
        <v>16</v>
      </c>
      <c r="D41" t="s">
        <v>8</v>
      </c>
      <c r="E41" t="s">
        <v>2060</v>
      </c>
    </row>
    <row r="42" spans="1:5" x14ac:dyDescent="0.2">
      <c r="A42" s="16" t="s">
        <v>2063</v>
      </c>
      <c r="B42" s="6">
        <v>65986.290000000008</v>
      </c>
      <c r="C42" s="6">
        <v>60210.680000000008</v>
      </c>
      <c r="D42" s="6">
        <v>79890.290000000008</v>
      </c>
      <c r="E42" s="6">
        <v>206087.26</v>
      </c>
    </row>
    <row r="43" spans="1:5" x14ac:dyDescent="0.2">
      <c r="A43" s="16" t="s">
        <v>2064</v>
      </c>
      <c r="B43" s="6">
        <v>85296.729999999981</v>
      </c>
      <c r="C43" s="6">
        <v>94442.92</v>
      </c>
      <c r="D43" s="6">
        <v>119761.32000000005</v>
      </c>
      <c r="E43" s="6">
        <v>299500.97000000003</v>
      </c>
    </row>
    <row r="44" spans="1:5" x14ac:dyDescent="0.2">
      <c r="A44" s="16" t="s">
        <v>2065</v>
      </c>
      <c r="B44" s="6">
        <v>91011.150000000009</v>
      </c>
      <c r="C44" s="6">
        <v>105194.78</v>
      </c>
      <c r="D44" s="6">
        <v>192674.72999999992</v>
      </c>
      <c r="E44" s="6">
        <v>388880.65999999992</v>
      </c>
    </row>
    <row r="45" spans="1:5" x14ac:dyDescent="0.2">
      <c r="A45" s="16" t="s">
        <v>2066</v>
      </c>
      <c r="B45" s="6">
        <v>97302.000000000015</v>
      </c>
      <c r="C45" s="6">
        <v>159414.67999999996</v>
      </c>
      <c r="D45" s="6">
        <v>220520.93999999986</v>
      </c>
      <c r="E45" s="6">
        <v>477237.61999999988</v>
      </c>
    </row>
    <row r="46" spans="1:5" x14ac:dyDescent="0.2">
      <c r="A46" s="16" t="s">
        <v>2067</v>
      </c>
      <c r="B46" s="6">
        <v>188051.16999999995</v>
      </c>
      <c r="C46" s="6">
        <v>188086.11000000002</v>
      </c>
      <c r="D46" s="6">
        <v>287325.61999999994</v>
      </c>
      <c r="E46" s="6">
        <v>663462.89999999991</v>
      </c>
    </row>
    <row r="47" spans="1:5" x14ac:dyDescent="0.2">
      <c r="A47" s="16" t="s">
        <v>2060</v>
      </c>
      <c r="B47" s="6">
        <v>527647.34</v>
      </c>
      <c r="C47" s="6">
        <v>607349.16999999993</v>
      </c>
      <c r="D47" s="6">
        <v>900172.89999999967</v>
      </c>
      <c r="E47" s="6">
        <v>2035169.4099999997</v>
      </c>
    </row>
    <row r="57" spans="1:5" x14ac:dyDescent="0.2">
      <c r="A57" s="12" t="s">
        <v>2068</v>
      </c>
      <c r="B57" s="12" t="s">
        <v>2062</v>
      </c>
    </row>
    <row r="58" spans="1:5" x14ac:dyDescent="0.2">
      <c r="A58" s="12" t="s">
        <v>2059</v>
      </c>
      <c r="B58" t="s">
        <v>8</v>
      </c>
      <c r="C58" t="s">
        <v>16</v>
      </c>
      <c r="D58" t="s">
        <v>10</v>
      </c>
      <c r="E58" t="s">
        <v>2060</v>
      </c>
    </row>
    <row r="59" spans="1:5" x14ac:dyDescent="0.2">
      <c r="A59" s="16" t="s">
        <v>2076</v>
      </c>
      <c r="B59" s="4">
        <v>61</v>
      </c>
      <c r="C59" s="4">
        <v>26</v>
      </c>
      <c r="D59" s="4">
        <v>22</v>
      </c>
      <c r="E59" s="4">
        <v>109</v>
      </c>
    </row>
    <row r="60" spans="1:5" x14ac:dyDescent="0.2">
      <c r="A60" s="16" t="s">
        <v>2075</v>
      </c>
      <c r="B60" s="4">
        <v>86</v>
      </c>
      <c r="C60" s="4">
        <v>52</v>
      </c>
      <c r="D60" s="4">
        <v>47</v>
      </c>
      <c r="E60" s="4">
        <v>185</v>
      </c>
    </row>
    <row r="61" spans="1:5" x14ac:dyDescent="0.2">
      <c r="A61" s="16" t="s">
        <v>2074</v>
      </c>
      <c r="B61" s="4">
        <v>119</v>
      </c>
      <c r="C61" s="4">
        <v>53</v>
      </c>
      <c r="D61" s="4">
        <v>52</v>
      </c>
      <c r="E61" s="4">
        <v>224</v>
      </c>
    </row>
    <row r="62" spans="1:5" x14ac:dyDescent="0.2">
      <c r="A62" s="16" t="s">
        <v>2071</v>
      </c>
      <c r="B62" s="4">
        <v>115</v>
      </c>
      <c r="C62" s="4">
        <v>86</v>
      </c>
      <c r="D62" s="4">
        <v>60</v>
      </c>
      <c r="E62" s="4">
        <v>261</v>
      </c>
    </row>
    <row r="63" spans="1:5" x14ac:dyDescent="0.2">
      <c r="A63" s="16" t="s">
        <v>2072</v>
      </c>
      <c r="B63" s="4">
        <v>143</v>
      </c>
      <c r="C63" s="4">
        <v>96</v>
      </c>
      <c r="D63" s="4">
        <v>63</v>
      </c>
      <c r="E63" s="4">
        <v>302</v>
      </c>
    </row>
    <row r="64" spans="1:5" x14ac:dyDescent="0.2">
      <c r="A64" s="16" t="s">
        <v>2073</v>
      </c>
      <c r="B64" s="4">
        <v>181</v>
      </c>
      <c r="C64" s="4">
        <v>111</v>
      </c>
      <c r="D64" s="4">
        <v>80</v>
      </c>
      <c r="E64" s="4">
        <v>372</v>
      </c>
    </row>
    <row r="65" spans="1:5" x14ac:dyDescent="0.2">
      <c r="A65" s="16" t="s">
        <v>2070</v>
      </c>
      <c r="B65" s="4">
        <v>310</v>
      </c>
      <c r="C65" s="4">
        <v>178</v>
      </c>
      <c r="D65" s="4">
        <v>151</v>
      </c>
      <c r="E65" s="4">
        <v>639</v>
      </c>
    </row>
    <row r="66" spans="1:5" x14ac:dyDescent="0.2">
      <c r="A66" s="16" t="s">
        <v>2060</v>
      </c>
      <c r="B66" s="4">
        <v>1015</v>
      </c>
      <c r="C66" s="4">
        <v>602</v>
      </c>
      <c r="D66" s="4">
        <v>475</v>
      </c>
      <c r="E66" s="4">
        <v>2092</v>
      </c>
    </row>
    <row r="75" spans="1:5" x14ac:dyDescent="0.2">
      <c r="A75" s="12" t="s">
        <v>2061</v>
      </c>
      <c r="B75" s="12" t="s">
        <v>2062</v>
      </c>
    </row>
    <row r="76" spans="1:5" x14ac:dyDescent="0.2">
      <c r="A76" s="12" t="s">
        <v>2059</v>
      </c>
      <c r="B76" t="s">
        <v>8</v>
      </c>
      <c r="C76" t="s">
        <v>16</v>
      </c>
      <c r="D76" t="s">
        <v>10</v>
      </c>
    </row>
    <row r="77" spans="1:5" x14ac:dyDescent="0.2">
      <c r="A77" s="18" t="s">
        <v>2078</v>
      </c>
      <c r="B77" s="14">
        <v>1</v>
      </c>
      <c r="C77" s="14">
        <v>1</v>
      </c>
      <c r="D77" s="14">
        <v>1</v>
      </c>
    </row>
    <row r="78" spans="1:5" x14ac:dyDescent="0.2">
      <c r="A78" s="18" t="s">
        <v>2079</v>
      </c>
      <c r="B78" s="14">
        <v>1.2565043503734998</v>
      </c>
      <c r="C78" s="14">
        <v>1.362787768343225</v>
      </c>
      <c r="D78" s="14">
        <v>1.4354929934678597</v>
      </c>
    </row>
    <row r="79" spans="1:5" x14ac:dyDescent="0.2">
      <c r="A79" s="18" t="s">
        <v>2080</v>
      </c>
      <c r="B79" s="14">
        <v>0.98018920288644606</v>
      </c>
      <c r="C79" s="14">
        <v>0.74420702624431079</v>
      </c>
      <c r="D79" s="14">
        <v>1.1076845012407022</v>
      </c>
    </row>
    <row r="80" spans="1:5" x14ac:dyDescent="0.2">
      <c r="A80" s="18" t="s">
        <v>2081</v>
      </c>
      <c r="B80" s="14">
        <v>1.095665045867424</v>
      </c>
      <c r="C80" s="14">
        <v>1.4387839537229921</v>
      </c>
      <c r="D80" s="14">
        <v>1.3029286754799256</v>
      </c>
    </row>
    <row r="81" spans="1:11" x14ac:dyDescent="0.2">
      <c r="A81" s="18" t="s">
        <v>2082</v>
      </c>
      <c r="B81" s="14">
        <v>1.1629670601676847</v>
      </c>
      <c r="C81" s="14">
        <v>1.0965916340987789</v>
      </c>
      <c r="D81" s="14">
        <v>0.95753384282599174</v>
      </c>
    </row>
    <row r="85" spans="1:11" x14ac:dyDescent="0.2">
      <c r="A85" s="12" t="s">
        <v>2061</v>
      </c>
      <c r="B85" s="12" t="s">
        <v>2062</v>
      </c>
      <c r="J85" t="s">
        <v>10</v>
      </c>
      <c r="K85" s="14">
        <f xml:space="preserve"> SUM(B87:G87)</f>
        <v>0.44230858403084988</v>
      </c>
    </row>
    <row r="86" spans="1:11" x14ac:dyDescent="0.2">
      <c r="A86" s="12" t="s">
        <v>2059</v>
      </c>
      <c r="B86" s="4">
        <v>0</v>
      </c>
      <c r="C86" s="4">
        <v>1</v>
      </c>
      <c r="D86" s="4">
        <v>2</v>
      </c>
      <c r="E86" s="4">
        <v>3</v>
      </c>
      <c r="F86" s="4">
        <v>4</v>
      </c>
      <c r="G86" s="4">
        <v>5</v>
      </c>
      <c r="J86" t="s">
        <v>16</v>
      </c>
      <c r="K86" s="14">
        <f xml:space="preserve"> SUM(B88:G88)</f>
        <v>0.29842683710541823</v>
      </c>
    </row>
    <row r="87" spans="1:11" x14ac:dyDescent="0.2">
      <c r="A87" s="16" t="s">
        <v>8</v>
      </c>
      <c r="B87" s="14">
        <v>0.22882575166064445</v>
      </c>
      <c r="C87" s="14">
        <v>0.14483984898338262</v>
      </c>
      <c r="D87" s="14">
        <v>5.3993883487075379E-2</v>
      </c>
      <c r="E87" s="14">
        <v>1.3092325321458124E-2</v>
      </c>
      <c r="F87" s="14">
        <v>0</v>
      </c>
      <c r="G87" s="14">
        <v>1.5567745782892831E-3</v>
      </c>
      <c r="J87" t="s">
        <v>8</v>
      </c>
      <c r="K87" s="14">
        <f xml:space="preserve"> SUM(B89:G89)</f>
        <v>0.25926457886373194</v>
      </c>
    </row>
    <row r="88" spans="1:11" x14ac:dyDescent="0.2">
      <c r="A88" s="16" t="s">
        <v>16</v>
      </c>
      <c r="B88" s="14">
        <v>0.15295761054112944</v>
      </c>
      <c r="C88" s="14">
        <v>8.9880817341884064E-2</v>
      </c>
      <c r="D88" s="14">
        <v>3.5082912336030031E-2</v>
      </c>
      <c r="E88" s="14">
        <v>1.7407759681293555E-2</v>
      </c>
      <c r="F88" s="14">
        <v>3.0977372050811232E-3</v>
      </c>
      <c r="G88" s="14">
        <v>0</v>
      </c>
      <c r="K88" s="14"/>
    </row>
    <row r="89" spans="1:11" x14ac:dyDescent="0.2">
      <c r="A89" s="16" t="s">
        <v>10</v>
      </c>
      <c r="B89" s="14">
        <v>0.13604336260144556</v>
      </c>
      <c r="C89" s="14">
        <v>9.2564215575547532E-2</v>
      </c>
      <c r="D89" s="14">
        <v>2.797910568044553E-2</v>
      </c>
      <c r="E89" s="14">
        <v>2.6778950062933573E-3</v>
      </c>
      <c r="F89" s="14">
        <v>0</v>
      </c>
      <c r="G89" s="14">
        <v>0</v>
      </c>
    </row>
    <row r="90" spans="1:11" x14ac:dyDescent="0.2">
      <c r="A90" s="16" t="s">
        <v>2060</v>
      </c>
      <c r="B90" s="14">
        <v>0.51782672480321945</v>
      </c>
      <c r="C90" s="14">
        <v>0.32728488190081423</v>
      </c>
      <c r="D90" s="14">
        <v>0.11705590150355094</v>
      </c>
      <c r="E90" s="14">
        <v>3.3177980009045031E-2</v>
      </c>
      <c r="F90" s="14">
        <v>3.0977372050811232E-3</v>
      </c>
      <c r="G90" s="14">
        <v>1.5567745782892831E-3</v>
      </c>
    </row>
    <row r="93" spans="1:11" x14ac:dyDescent="0.2">
      <c r="A93" s="12" t="s">
        <v>2059</v>
      </c>
      <c r="B93" t="s">
        <v>2068</v>
      </c>
    </row>
    <row r="94" spans="1:11" x14ac:dyDescent="0.2">
      <c r="A94" s="39" t="s">
        <v>2085</v>
      </c>
      <c r="B94" s="4">
        <v>1384</v>
      </c>
    </row>
    <row r="95" spans="1:11" x14ac:dyDescent="0.2">
      <c r="A95" s="39" t="s">
        <v>2086</v>
      </c>
      <c r="B95" s="4">
        <v>1901</v>
      </c>
    </row>
    <row r="96" spans="1:11" x14ac:dyDescent="0.2">
      <c r="A96" s="39" t="s">
        <v>2087</v>
      </c>
      <c r="B96" s="4">
        <v>2026</v>
      </c>
    </row>
    <row r="97" spans="1:2" x14ac:dyDescent="0.2">
      <c r="A97" s="39" t="s">
        <v>2088</v>
      </c>
      <c r="B97" s="4">
        <v>2066</v>
      </c>
    </row>
    <row r="98" spans="1:2" x14ac:dyDescent="0.2">
      <c r="A98" s="39" t="s">
        <v>2089</v>
      </c>
      <c r="B98" s="4">
        <v>2082</v>
      </c>
    </row>
    <row r="99" spans="1:2" x14ac:dyDescent="0.2">
      <c r="A99" s="39" t="s">
        <v>2090</v>
      </c>
      <c r="B99" s="4">
        <v>2087</v>
      </c>
    </row>
    <row r="100" spans="1:2" x14ac:dyDescent="0.2">
      <c r="A100" s="39" t="s">
        <v>2091</v>
      </c>
      <c r="B100" s="4">
        <v>2090</v>
      </c>
    </row>
    <row r="101" spans="1:2" x14ac:dyDescent="0.2">
      <c r="A101" s="39" t="s">
        <v>2092</v>
      </c>
      <c r="B101" s="4">
        <v>2092</v>
      </c>
    </row>
    <row r="102" spans="1:2" x14ac:dyDescent="0.2">
      <c r="A102" s="39" t="s">
        <v>2060</v>
      </c>
      <c r="B102" s="4"/>
    </row>
    <row r="111" spans="1:2" x14ac:dyDescent="0.2">
      <c r="A111" s="12" t="s">
        <v>2059</v>
      </c>
      <c r="B111" t="s">
        <v>2068</v>
      </c>
    </row>
    <row r="112" spans="1:2" x14ac:dyDescent="0.2">
      <c r="A112" s="16" t="s">
        <v>2063</v>
      </c>
      <c r="B112" s="14">
        <v>0.122848948374761</v>
      </c>
    </row>
    <row r="113" spans="1:2" x14ac:dyDescent="0.2">
      <c r="A113" s="16" t="s">
        <v>2064</v>
      </c>
      <c r="B113" s="14">
        <v>0.16204588910133844</v>
      </c>
    </row>
    <row r="114" spans="1:2" x14ac:dyDescent="0.2">
      <c r="A114" s="16" t="s">
        <v>2065</v>
      </c>
      <c r="B114" s="14">
        <v>0.21653919694072657</v>
      </c>
    </row>
    <row r="115" spans="1:2" x14ac:dyDescent="0.2">
      <c r="A115" s="16" t="s">
        <v>2066</v>
      </c>
      <c r="B115" s="14">
        <v>0.2208413001912046</v>
      </c>
    </row>
    <row r="116" spans="1:2" x14ac:dyDescent="0.2">
      <c r="A116" s="16" t="s">
        <v>2067</v>
      </c>
      <c r="B116" s="14">
        <v>0.27772466539196938</v>
      </c>
    </row>
    <row r="117" spans="1:2" x14ac:dyDescent="0.2">
      <c r="A117" s="16" t="s">
        <v>2060</v>
      </c>
      <c r="B117" s="14">
        <v>1</v>
      </c>
    </row>
  </sheetData>
  <sortState xmlns:xlrd2="http://schemas.microsoft.com/office/spreadsheetml/2017/richdata2" ref="A40:E47">
    <sortCondition ref="A42" customList="0-2,3-5,6-8,9-11,12-15"/>
  </sortState>
  <mergeCells count="2">
    <mergeCell ref="A1:D1"/>
    <mergeCell ref="E1:I1"/>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E49ACB-3670-47B1-8CD0-D3F47D6B79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PricingSeverityModel</vt:lpstr>
      <vt:lpstr>Transformed Data</vt:lpstr>
      <vt:lpstr>Freq. Data Visualization</vt:lpstr>
      <vt:lpstr>Severity Dashboard</vt:lpstr>
      <vt:lpstr>Sample Observations</vt:lpstr>
      <vt:lpstr>Graph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Gomberg</dc:creator>
  <cp:lastModifiedBy>Ryan Gomberg</cp:lastModifiedBy>
  <cp:lastPrinted>2026-01-07T04:36:21Z</cp:lastPrinted>
  <dcterms:created xsi:type="dcterms:W3CDTF">2025-12-17T09:37:31Z</dcterms:created>
  <dcterms:modified xsi:type="dcterms:W3CDTF">2026-01-07T10:04:42Z</dcterms:modified>
</cp:coreProperties>
</file>
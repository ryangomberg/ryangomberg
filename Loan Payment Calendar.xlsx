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166925"/>
  <mc:AlternateContent xmlns:mc="http://schemas.openxmlformats.org/markup-compatibility/2006">
    <mc:Choice Requires="x15">
      <x15ac:absPath xmlns:x15ac="http://schemas.microsoft.com/office/spreadsheetml/2010/11/ac" url="C:\Users\Gamer\OneDrive\Documents\SOA\"/>
    </mc:Choice>
  </mc:AlternateContent>
  <xr:revisionPtr revIDLastSave="0" documentId="13_ncr:1_{6F429940-5789-4DD8-A854-3C13367FE445}" xr6:coauthVersionLast="47" xr6:coauthVersionMax="47" xr10:uidLastSave="{00000000-0000-0000-0000-000000000000}"/>
  <bookViews>
    <workbookView xWindow="-120" yWindow="-120" windowWidth="29040" windowHeight="15840" tabRatio="678" activeTab="2" xr2:uid="{7ED5893B-C5DB-49D8-8A39-A63CD132CA7F}"/>
  </bookViews>
  <sheets>
    <sheet name="Introduction" sheetId="1" r:id="rId1"/>
    <sheet name="Master Data" sheetId="51" r:id="rId2"/>
    <sheet name="Sample Analytics" sheetId="28" r:id="rId3"/>
    <sheet name="Mar 2026" sheetId="52" r:id="rId4"/>
    <sheet name="Apr 2026" sheetId="44" r:id="rId5"/>
    <sheet name="May 2026" sheetId="53" r:id="rId6"/>
    <sheet name="Jun 2026" sheetId="50" r:id="rId7"/>
    <sheet name="Jul 2026" sheetId="49" r:id="rId8"/>
    <sheet name="Aug 2026" sheetId="45" r:id="rId9"/>
    <sheet name="Sep 2026" sheetId="56" r:id="rId10"/>
    <sheet name="Oct 2026" sheetId="55" r:id="rId11"/>
    <sheet name="Nov 2026" sheetId="54" r:id="rId12"/>
    <sheet name="Dec 2026" sheetId="46" r:id="rId13"/>
    <sheet name="Jan 2027" sheetId="48" r:id="rId14"/>
    <sheet name="Feb 2027" sheetId="47" r:id="rId15"/>
  </sheets>
  <calcPr calcId="191029"/>
  <pivotCaches>
    <pivotCache cacheId="13" r:id="rId1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B7BF002-1BA8-4A26-A5D4-EB75A186AEB1}" keepAlive="1" name="Query - Apr 2026(1)" description="Connection to the 'Apr 2026' query in the workbook." type="5" refreshedVersion="0" background="1">
    <dbPr connection="Provider=Microsoft.Mashup.OleDb.1;Data Source=$Workbook$;Location=&quot;Apr 2026&quot;;Extended Properties=&quot;&quot;" command="SELECT * FROM [Apr 2026]"/>
  </connection>
  <connection id="2" xr16:uid="{EB5CD167-72B9-41BA-8A30-455BD2A81E05}" keepAlive="1" name="Query - Aug 2026(1)" description="Connection to the 'Aug 2026' query in the workbook." type="5" refreshedVersion="0" background="1">
    <dbPr connection="Provider=Microsoft.Mashup.OleDb.1;Data Source=$Workbook$;Location=&quot;Aug 2026&quot;;Extended Properties=&quot;&quot;" command="SELECT * FROM [Aug 2026]"/>
  </connection>
  <connection id="3" xr16:uid="{85F00D66-0D63-4574-B922-EADB2C2DD202}" keepAlive="1" name="Query - Dec 2026(1)" description="Connection to the 'Dec 2026' query in the workbook." type="5" refreshedVersion="8" background="1" saveData="1">
    <dbPr connection="Provider=Microsoft.Mashup.OleDb.1;Data Source=$Workbook$;Location=&quot;Dec 2026&quot;;Extended Properties=&quot;&quot;" command="SELECT * FROM [Dec 2026]"/>
  </connection>
  <connection id="4" xr16:uid="{5A4B1C87-A367-475D-8413-0CD52E98972F}" keepAlive="1" name="Query - Feb 2027(1)" description="Connection to the 'Feb 2027' query in the workbook." type="5" refreshedVersion="8" background="1" saveData="1">
    <dbPr connection="Provider=Microsoft.Mashup.OleDb.1;Data Source=$Workbook$;Location=&quot;Feb 2027&quot;;Extended Properties=&quot;&quot;" command="SELECT * FROM [Feb 2027]"/>
  </connection>
  <connection id="5" xr16:uid="{755F6819-4630-499A-87B4-1D8EB83712C3}" keepAlive="1" name="Query - Jan 2027(1)" description="Connection to the 'Jan 2027' query in the workbook." type="5" refreshedVersion="8" background="1" saveData="1">
    <dbPr connection="Provider=Microsoft.Mashup.OleDb.1;Data Source=$Workbook$;Location=&quot;Jan 2027&quot;;Extended Properties=&quot;&quot;" command="SELECT * FROM [Jan 2027]"/>
  </connection>
  <connection id="6" xr16:uid="{71E005A0-37CB-43E9-93DD-A0105C1A5744}" keepAlive="1" name="Query - Jul 2026(1)" description="Connection to the 'Jul 2026' query in the workbook." type="5" refreshedVersion="8" background="1" saveData="1">
    <dbPr connection="Provider=Microsoft.Mashup.OleDb.1;Data Source=$Workbook$;Location=&quot;Jul 2026&quot;;Extended Properties=&quot;&quot;" command="SELECT * FROM [Jul 2026]"/>
  </connection>
  <connection id="7" xr16:uid="{DE5A0D59-B9AC-40C5-8C56-D864074040D4}" keepAlive="1" name="Query - Jun 2026(1)" description="Connection to the 'Jun 2026' query in the workbook." type="5" refreshedVersion="0" background="1">
    <dbPr connection="Provider=Microsoft.Mashup.OleDb.1;Data Source=$Workbook$;Location=&quot;Jun 2026&quot;;Extended Properties=&quot;&quot;" command="SELECT * FROM [Jun 2026]"/>
  </connection>
  <connection id="8" xr16:uid="{5C26712B-4F55-4798-9421-FECFC8255F06}" keepAlive="1" name="Query - Mar 2026(1)" description="Connection to the 'Mar 2026' query in the workbook." type="5" refreshedVersion="8" background="1" saveData="1">
    <dbPr connection="Provider=Microsoft.Mashup.OleDb.1;Data Source=$Workbook$;Location=&quot;Mar 2026&quot;;Extended Properties=&quot;&quot;" command="SELECT * FROM [Mar 2026]"/>
  </connection>
  <connection id="9" xr16:uid="{3EEA89AE-A9EE-4D38-AB96-E508C80947EB}" keepAlive="1" name="Query - Master Data(1)" description="Connection to the 'Master Data' query in the workbook." type="5" refreshedVersion="8" background="1" saveData="1">
    <dbPr connection="Provider=Microsoft.Mashup.OleDb.1;Data Source=$Workbook$;Location=&quot;Master Data&quot;;Extended Properties=&quot;&quot;" command="SELECT * FROM [Master Data]"/>
  </connection>
  <connection id="10" xr16:uid="{2B4040B9-8E26-4047-A70C-817C108C3DC8}" keepAlive="1" name="Query - May 2026(1)" description="Connection to the 'May 2026' query in the workbook." type="5" refreshedVersion="8" background="1" saveData="1">
    <dbPr connection="Provider=Microsoft.Mashup.OleDb.1;Data Source=$Workbook$;Location=&quot;May 2026&quot;;Extended Properties=&quot;&quot;" command="SELECT * FROM [May 2026]"/>
  </connection>
  <connection id="11" xr16:uid="{F5AFEECC-4CE1-41AA-8983-582366868F80}" keepAlive="1" name="Query - Nov 2026(1)" description="Connection to the 'Nov 2026' query in the workbook." type="5" refreshedVersion="8" background="1" saveData="1">
    <dbPr connection="Provider=Microsoft.Mashup.OleDb.1;Data Source=$Workbook$;Location=&quot;Nov 2026&quot;;Extended Properties=&quot;&quot;" command="SELECT * FROM [Nov 2026]"/>
  </connection>
  <connection id="12" xr16:uid="{59A70ED6-DF03-414E-9FC1-7E012EA5FDCE}" keepAlive="1" name="Query - Oct 2026(1)" description="Connection to the 'Oct 2026' query in the workbook." type="5" refreshedVersion="8" background="1" saveData="1">
    <dbPr connection="Provider=Microsoft.Mashup.OleDb.1;Data Source=$Workbook$;Location=&quot;Oct 2026&quot;;Extended Properties=&quot;&quot;" command="SELECT * FROM [Oct 2026]"/>
  </connection>
  <connection id="13" xr16:uid="{6DE49AB7-1759-4E97-BC91-59F5A0B3F07A}" keepAlive="1" name="Query - Sep 2026(1)" description="Connection to the 'Sep 2026' query in the workbook." type="5" refreshedVersion="8" background="1" saveData="1">
    <dbPr connection="Provider=Microsoft.Mashup.OleDb.1;Data Source=$Workbook$;Location=&quot;Sep 2026&quot;;Extended Properties=&quot;&quot;" command="SELECT * FROM [Sep 2026]"/>
  </connection>
</connections>
</file>

<file path=xl/sharedStrings.xml><?xml version="1.0" encoding="utf-8"?>
<sst xmlns="http://schemas.openxmlformats.org/spreadsheetml/2006/main" count="285" uniqueCount="34">
  <si>
    <t>John M.</t>
  </si>
  <si>
    <t>Principal</t>
  </si>
  <si>
    <t>Interest</t>
  </si>
  <si>
    <t>Borrower</t>
  </si>
  <si>
    <t>Payment Date</t>
  </si>
  <si>
    <t>Payment Amount</t>
  </si>
  <si>
    <t>Ken J.</t>
  </si>
  <si>
    <t>Paul H.</t>
  </si>
  <si>
    <t>Maria A.</t>
  </si>
  <si>
    <t>Ryan S.</t>
  </si>
  <si>
    <t>Damian L.</t>
  </si>
  <si>
    <t>Florence W.</t>
  </si>
  <si>
    <t>Eva G.</t>
  </si>
  <si>
    <t>Jenny T.</t>
  </si>
  <si>
    <t>Oscar B.</t>
  </si>
  <si>
    <t>Mike Y.</t>
  </si>
  <si>
    <t>Row Labels</t>
  </si>
  <si>
    <t>Grand Total</t>
  </si>
  <si>
    <t>2026</t>
  </si>
  <si>
    <t>2027</t>
  </si>
  <si>
    <t>Sum of Payment Amount</t>
  </si>
  <si>
    <t>Mar</t>
  </si>
  <si>
    <t>Apr</t>
  </si>
  <si>
    <t>May</t>
  </si>
  <si>
    <t>Jun</t>
  </si>
  <si>
    <t>Jul</t>
  </si>
  <si>
    <t>Aug</t>
  </si>
  <si>
    <t>Sep</t>
  </si>
  <si>
    <t>Oct</t>
  </si>
  <si>
    <t>Nov</t>
  </si>
  <si>
    <t>Dec</t>
  </si>
  <si>
    <t>Jan</t>
  </si>
  <si>
    <t>Feb</t>
  </si>
  <si>
    <t>Linda 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</si>
</sst>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font>
    <font>
      <sz val="1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14" fontId="0" fillId="0" borderId="0" xfId="0" applyNumberFormat="1"/>
    <xf numFmtId="0" fontId="0" fillId="0" borderId="0" xfId="0" applyNumberFormat="1"/>
    <xf numFmtId="0" fontId="1" fillId="0" borderId="0" xfId="0" applyFont="1" applyFill="1" applyBorder="1"/>
    <xf numFmtId="0" fontId="1" fillId="0" borderId="0" xfId="0" applyNumberFormat="1" applyFont="1" applyFill="1" applyBorder="1"/>
    <xf numFmtId="14" fontId="1" fillId="0" borderId="0" xfId="0" applyNumberFormat="1" applyFont="1" applyFill="1" applyBorder="1"/>
    <xf numFmtId="0" fontId="0" fillId="0" borderId="0" xfId="0" pivotButton="1"/>
    <xf numFmtId="0" fontId="0" fillId="0" borderId="0" xfId="0" applyAlignment="1">
      <alignment horizontal="left"/>
    </xf>
    <xf numFmtId="0" fontId="0" fillId="0" borderId="0" xfId="0" applyAlignment="1">
      <alignment horizontal="left" indent="1"/>
    </xf>
    <xf numFmtId="10" fontId="0" fillId="0" borderId="0" xfId="0" applyNumberFormat="1"/>
  </cellXfs>
  <cellStyles count="1">
    <cellStyle name="Normal" xfId="0" builtinId="0"/>
  </cellStyles>
  <dxfs count="7">
    <dxf>
      <font>
        <b val="0"/>
        <i val="0"/>
        <strike val="0"/>
        <condense val="0"/>
        <extend val="0"/>
        <outline val="0"/>
        <shadow val="0"/>
        <u val="none"/>
        <vertAlign val="baseline"/>
        <sz val="11"/>
        <color auto="1"/>
        <name val="Arial"/>
        <family val="2"/>
        <scheme val="none"/>
      </font>
      <fill>
        <patternFill patternType="none">
          <fgColor indexed="64"/>
          <bgColor indexed="65"/>
        </patternFill>
      </fill>
    </dxf>
    <dxf>
      <font>
        <b val="0"/>
        <i val="0"/>
        <strike val="0"/>
        <condense val="0"/>
        <extend val="0"/>
        <outline val="0"/>
        <shadow val="0"/>
        <u val="none"/>
        <vertAlign val="baseline"/>
        <sz val="11"/>
        <color auto="1"/>
        <name val="Arial"/>
        <family val="2"/>
        <scheme val="none"/>
      </font>
      <fill>
        <patternFill patternType="none">
          <fgColor indexed="64"/>
          <bgColor indexed="65"/>
        </patternFill>
      </fill>
    </dxf>
    <dxf>
      <font>
        <b val="0"/>
        <i val="0"/>
        <strike val="0"/>
        <condense val="0"/>
        <extend val="0"/>
        <outline val="0"/>
        <shadow val="0"/>
        <u val="none"/>
        <vertAlign val="baseline"/>
        <sz val="11"/>
        <color auto="1"/>
        <name val="Arial"/>
        <family val="2"/>
        <scheme val="none"/>
      </font>
      <fill>
        <patternFill patternType="none">
          <fgColor indexed="64"/>
          <bgColor indexed="65"/>
        </patternFill>
      </fill>
    </dxf>
    <dxf>
      <font>
        <b val="0"/>
        <i val="0"/>
        <strike val="0"/>
        <condense val="0"/>
        <extend val="0"/>
        <outline val="0"/>
        <shadow val="0"/>
        <u val="none"/>
        <vertAlign val="baseline"/>
        <sz val="11"/>
        <color auto="1"/>
        <name val="Arial"/>
        <family val="2"/>
        <scheme val="none"/>
      </font>
      <fill>
        <patternFill patternType="none">
          <fgColor indexed="64"/>
          <bgColor indexed="65"/>
        </patternFill>
      </fill>
    </dxf>
    <dxf>
      <font>
        <b val="0"/>
        <i val="0"/>
        <strike val="0"/>
        <condense val="0"/>
        <extend val="0"/>
        <outline val="0"/>
        <shadow val="0"/>
        <u val="none"/>
        <vertAlign val="baseline"/>
        <sz val="11"/>
        <color auto="1"/>
        <name val="Arial"/>
        <family val="2"/>
        <scheme val="none"/>
      </font>
      <fill>
        <patternFill patternType="none">
          <fgColor indexed="64"/>
          <bgColor indexed="65"/>
        </patternFill>
      </fill>
    </dxf>
    <dxf>
      <font>
        <b val="0"/>
        <i val="0"/>
        <strike val="0"/>
        <condense val="0"/>
        <extend val="0"/>
        <outline val="0"/>
        <shadow val="0"/>
        <u val="none"/>
        <vertAlign val="baseline"/>
        <sz val="11"/>
        <color auto="1"/>
        <name val="Arial"/>
        <family val="2"/>
        <scheme val="none"/>
      </font>
      <numFmt numFmtId="19" formatCode="m/d/yyyy"/>
      <fill>
        <patternFill patternType="none">
          <fgColor indexed="64"/>
          <bgColor indexed="65"/>
        </patternFill>
      </fill>
    </dxf>
    <dxf>
      <font>
        <b val="0"/>
        <i val="0"/>
        <strike val="0"/>
        <condense val="0"/>
        <extend val="0"/>
        <outline val="0"/>
        <shadow val="0"/>
        <u val="none"/>
        <vertAlign val="baseline"/>
        <sz val="11"/>
        <color auto="1"/>
        <name val="Arial"/>
        <family val="2"/>
        <scheme val="none"/>
      </font>
      <fill>
        <patternFill patternType="none">
          <fgColor indexed="64"/>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 Payment Calendar.xlsx]Sample Analytics!IncomeByMonth</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latin typeface="Aptos" panose="020B0004020202020204" pitchFamily="34" charset="0"/>
              </a:rPr>
              <a:t>Payment</a:t>
            </a:r>
            <a:r>
              <a:rPr lang="en-US" b="1" baseline="0">
                <a:solidFill>
                  <a:sysClr val="windowText" lastClr="000000"/>
                </a:solidFill>
                <a:latin typeface="Aptos" panose="020B0004020202020204" pitchFamily="34" charset="0"/>
              </a:rPr>
              <a:t> Income by Month</a:t>
            </a:r>
            <a:endParaRPr lang="en-US" b="1">
              <a:solidFill>
                <a:sysClr val="windowText" lastClr="000000"/>
              </a:solidFill>
              <a:latin typeface="Aptos" panose="020B00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'Sample Analytics'!$C$2</c:f>
              <c:strCache>
                <c:ptCount val="1"/>
                <c:pt idx="0">
                  <c:v>Total</c:v>
                </c:pt>
              </c:strCache>
            </c:strRef>
          </c:tx>
          <c:spPr>
            <a:ln w="28575" cap="rnd">
              <a:solidFill>
                <a:srgbClr val="00B050"/>
              </a:solidFill>
              <a:round/>
            </a:ln>
            <a:effectLst/>
          </c:spPr>
          <c:marker>
            <c:symbol val="none"/>
          </c:marker>
          <c:cat>
            <c:multiLvlStrRef>
              <c:f>'Sample Analytics'!$B$3:$B$17</c:f>
              <c:multiLvlStrCache>
                <c:ptCount val="12"/>
                <c:lvl>
                  <c:pt idx="0">
                    <c:v>Mar</c:v>
                  </c:pt>
                  <c:pt idx="1">
                    <c:v>Apr</c:v>
                  </c:pt>
                  <c:pt idx="2">
                    <c:v>May</c:v>
                  </c:pt>
                  <c:pt idx="3">
                    <c:v>Jun</c:v>
                  </c:pt>
                  <c:pt idx="4">
                    <c:v>Jul</c:v>
                  </c:pt>
                  <c:pt idx="5">
                    <c:v>Aug</c:v>
                  </c:pt>
                  <c:pt idx="6">
                    <c:v>Sep</c:v>
                  </c:pt>
                  <c:pt idx="7">
                    <c:v>Oct</c:v>
                  </c:pt>
                  <c:pt idx="8">
                    <c:v>Nov</c:v>
                  </c:pt>
                  <c:pt idx="9">
                    <c:v>Dec</c:v>
                  </c:pt>
                  <c:pt idx="10">
                    <c:v>Jan</c:v>
                  </c:pt>
                  <c:pt idx="11">
                    <c:v>Feb</c:v>
                  </c:pt>
                </c:lvl>
                <c:lvl>
                  <c:pt idx="0">
                    <c:v>2026</c:v>
                  </c:pt>
                  <c:pt idx="10">
                    <c:v>2027</c:v>
                  </c:pt>
                </c:lvl>
              </c:multiLvlStrCache>
            </c:multiLvlStrRef>
          </c:cat>
          <c:val>
            <c:numRef>
              <c:f>'Sample Analytics'!$C$3:$C$17</c:f>
              <c:numCache>
                <c:formatCode>General</c:formatCode>
                <c:ptCount val="12"/>
                <c:pt idx="0">
                  <c:v>2972.32</c:v>
                </c:pt>
                <c:pt idx="1">
                  <c:v>3640.4900000000002</c:v>
                </c:pt>
                <c:pt idx="2">
                  <c:v>4818.2900000000009</c:v>
                </c:pt>
                <c:pt idx="3">
                  <c:v>3584.2599999999998</c:v>
                </c:pt>
                <c:pt idx="4">
                  <c:v>4085.9800000000005</c:v>
                </c:pt>
                <c:pt idx="5">
                  <c:v>3165.6</c:v>
                </c:pt>
                <c:pt idx="6">
                  <c:v>4636.16</c:v>
                </c:pt>
                <c:pt idx="7">
                  <c:v>4455.3500000000004</c:v>
                </c:pt>
                <c:pt idx="8">
                  <c:v>5263</c:v>
                </c:pt>
                <c:pt idx="9">
                  <c:v>4028.97</c:v>
                </c:pt>
                <c:pt idx="10">
                  <c:v>4085.9800000000005</c:v>
                </c:pt>
                <c:pt idx="11">
                  <c:v>3165.6</c:v>
                </c:pt>
              </c:numCache>
            </c:numRef>
          </c:val>
          <c:smooth val="0"/>
          <c:extLst>
            <c:ext xmlns:c16="http://schemas.microsoft.com/office/drawing/2014/chart" uri="{C3380CC4-5D6E-409C-BE32-E72D297353CC}">
              <c16:uniqueId val="{00000000-2D34-4D50-BFDF-5E701EAE2584}"/>
            </c:ext>
          </c:extLst>
        </c:ser>
        <c:dLbls>
          <c:showLegendKey val="0"/>
          <c:showVal val="0"/>
          <c:showCatName val="0"/>
          <c:showSerName val="0"/>
          <c:showPercent val="0"/>
          <c:showBubbleSize val="0"/>
        </c:dLbls>
        <c:smooth val="0"/>
        <c:axId val="78643951"/>
        <c:axId val="78644431"/>
      </c:lineChart>
      <c:catAx>
        <c:axId val="78643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Aptos" panose="020B0004020202020204" pitchFamily="34" charset="0"/>
                <a:ea typeface="+mn-ea"/>
                <a:cs typeface="+mn-cs"/>
              </a:defRPr>
            </a:pPr>
            <a:endParaRPr lang="en-US"/>
          </a:p>
        </c:txPr>
        <c:crossAx val="78644431"/>
        <c:crosses val="autoZero"/>
        <c:auto val="1"/>
        <c:lblAlgn val="ctr"/>
        <c:lblOffset val="100"/>
        <c:noMultiLvlLbl val="0"/>
      </c:catAx>
      <c:valAx>
        <c:axId val="786444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Aptos" panose="020B0004020202020204" pitchFamily="34" charset="0"/>
                <a:ea typeface="+mn-ea"/>
                <a:cs typeface="+mn-cs"/>
              </a:defRPr>
            </a:pPr>
            <a:endParaRPr lang="en-US"/>
          </a:p>
        </c:txPr>
        <c:crossAx val="78643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Aptos"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 Payment Calendar.xlsx]Sample Analytics!RunningTotalIncome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latin typeface="Aptos" panose="020B0004020202020204" pitchFamily="34" charset="0"/>
              </a:rPr>
              <a:t>Income Running Total from</a:t>
            </a:r>
            <a:r>
              <a:rPr lang="en-US" b="1" baseline="0">
                <a:solidFill>
                  <a:sysClr val="windowText" lastClr="000000"/>
                </a:solidFill>
                <a:latin typeface="Aptos" panose="020B0004020202020204" pitchFamily="34" charset="0"/>
              </a:rPr>
              <a:t> Mar '26 to Feb '27</a:t>
            </a:r>
            <a:endParaRPr lang="en-US" b="1">
              <a:solidFill>
                <a:sysClr val="windowText" lastClr="000000"/>
              </a:solidFill>
              <a:latin typeface="Aptos" panose="020B00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F0"/>
          </a:solidFill>
          <a:ln>
            <a:solidFill>
              <a:srgbClr val="00B0F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'Sample Analytics'!$C$20</c:f>
              <c:strCache>
                <c:ptCount val="1"/>
                <c:pt idx="0">
                  <c:v>Total</c:v>
                </c:pt>
              </c:strCache>
            </c:strRef>
          </c:tx>
          <c:spPr>
            <a:solidFill>
              <a:srgbClr val="00B0F0"/>
            </a:solidFill>
            <a:ln>
              <a:solidFill>
                <a:srgbClr val="00B0F0"/>
              </a:solidFill>
            </a:ln>
            <a:effectLst/>
          </c:spPr>
          <c:invertIfNegative val="0"/>
          <c:cat>
            <c:strRef>
              <c:f>'Sample Analytics'!$B$21:$B$33</c:f>
              <c:strCache>
                <c:ptCount val="12"/>
                <c:pt idx="0">
                  <c:v>Mar</c:v>
                </c:pt>
                <c:pt idx="1">
                  <c:v>Apr</c:v>
                </c:pt>
                <c:pt idx="2">
                  <c:v>May</c:v>
                </c:pt>
                <c:pt idx="3">
                  <c:v>Jun</c:v>
                </c:pt>
                <c:pt idx="4">
                  <c:v>Jul</c:v>
                </c:pt>
                <c:pt idx="5">
                  <c:v>Aug</c:v>
                </c:pt>
                <c:pt idx="6">
                  <c:v>Sep</c:v>
                </c:pt>
                <c:pt idx="7">
                  <c:v>Oct</c:v>
                </c:pt>
                <c:pt idx="8">
                  <c:v>Nov</c:v>
                </c:pt>
                <c:pt idx="9">
                  <c:v>Dec</c:v>
                </c:pt>
                <c:pt idx="10">
                  <c:v>Jan</c:v>
                </c:pt>
                <c:pt idx="11">
                  <c:v>Feb</c:v>
                </c:pt>
              </c:strCache>
            </c:strRef>
          </c:cat>
          <c:val>
            <c:numRef>
              <c:f>'Sample Analytics'!$C$21:$C$33</c:f>
              <c:numCache>
                <c:formatCode>0.00%</c:formatCode>
                <c:ptCount val="12"/>
                <c:pt idx="0">
                  <c:v>6.2050018788359564E-2</c:v>
                </c:pt>
                <c:pt idx="1">
                  <c:v>0.1380487244791449</c:v>
                </c:pt>
                <c:pt idx="2">
                  <c:v>0.23863513005720013</c:v>
                </c:pt>
                <c:pt idx="3">
                  <c:v>0.31345998079412135</c:v>
                </c:pt>
                <c:pt idx="4">
                  <c:v>0.39875871571124383</c:v>
                </c:pt>
                <c:pt idx="5">
                  <c:v>0.46484363909648863</c:v>
                </c:pt>
                <c:pt idx="6">
                  <c:v>0.56162790697674414</c:v>
                </c:pt>
                <c:pt idx="7">
                  <c:v>0.65463759341989891</c:v>
                </c:pt>
                <c:pt idx="8">
                  <c:v>0.76450774497933283</c:v>
                </c:pt>
                <c:pt idx="9">
                  <c:v>0.84861634169763267</c:v>
                </c:pt>
                <c:pt idx="10">
                  <c:v>0.93391507661475515</c:v>
                </c:pt>
                <c:pt idx="11">
                  <c:v>1</c:v>
                </c:pt>
              </c:numCache>
            </c:numRef>
          </c:val>
          <c:extLst>
            <c:ext xmlns:c16="http://schemas.microsoft.com/office/drawing/2014/chart" uri="{C3380CC4-5D6E-409C-BE32-E72D297353CC}">
              <c16:uniqueId val="{00000000-1E9C-451C-8077-87D8CFB6F4DF}"/>
            </c:ext>
          </c:extLst>
        </c:ser>
        <c:dLbls>
          <c:showLegendKey val="0"/>
          <c:showVal val="0"/>
          <c:showCatName val="0"/>
          <c:showSerName val="0"/>
          <c:showPercent val="0"/>
          <c:showBubbleSize val="0"/>
        </c:dLbls>
        <c:gapWidth val="219"/>
        <c:overlap val="-27"/>
        <c:axId val="373719440"/>
        <c:axId val="373727600"/>
      </c:barChart>
      <c:catAx>
        <c:axId val="373719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Aptos" panose="020B0004020202020204" pitchFamily="34" charset="0"/>
                <a:ea typeface="+mn-ea"/>
                <a:cs typeface="+mn-cs"/>
              </a:defRPr>
            </a:pPr>
            <a:endParaRPr lang="en-US"/>
          </a:p>
        </c:txPr>
        <c:crossAx val="373727600"/>
        <c:crosses val="autoZero"/>
        <c:auto val="1"/>
        <c:lblAlgn val="ctr"/>
        <c:lblOffset val="100"/>
        <c:noMultiLvlLbl val="0"/>
      </c:catAx>
      <c:valAx>
        <c:axId val="373727600"/>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Aptos" panose="020B0004020202020204" pitchFamily="34" charset="0"/>
                <a:ea typeface="+mn-ea"/>
                <a:cs typeface="+mn-cs"/>
              </a:defRPr>
            </a:pPr>
            <a:endParaRPr lang="en-US"/>
          </a:p>
        </c:txPr>
        <c:crossAx val="373719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685799</xdr:colOff>
      <xdr:row>0</xdr:row>
      <xdr:rowOff>180974</xdr:rowOff>
    </xdr:from>
    <xdr:to>
      <xdr:col>9</xdr:col>
      <xdr:colOff>542924</xdr:colOff>
      <xdr:row>19</xdr:row>
      <xdr:rowOff>104774</xdr:rowOff>
    </xdr:to>
    <xdr:sp macro="" textlink="">
      <xdr:nvSpPr>
        <xdr:cNvPr id="2" name="TextBox 1">
          <a:extLst>
            <a:ext uri="{FF2B5EF4-FFF2-40B4-BE49-F238E27FC236}">
              <a16:creationId xmlns:a16="http://schemas.microsoft.com/office/drawing/2014/main" id="{2BD55990-D1A1-A943-B3A0-57C8B49D243A}"/>
            </a:ext>
          </a:extLst>
        </xdr:cNvPr>
        <xdr:cNvSpPr txBox="1"/>
      </xdr:nvSpPr>
      <xdr:spPr>
        <a:xfrm>
          <a:off x="685799" y="180974"/>
          <a:ext cx="6029325" cy="3362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atin typeface="Palatino Linotype" panose="02040502050505030304" pitchFamily="18" charset="0"/>
              <a:cs typeface="Arial" panose="020B0604020202020204" pitchFamily="34" charset="0"/>
            </a:rPr>
            <a:t>This workbook</a:t>
          </a:r>
          <a:r>
            <a:rPr lang="en-US" sz="1100" b="1" baseline="0">
              <a:latin typeface="Palatino Linotype" panose="02040502050505030304" pitchFamily="18" charset="0"/>
              <a:cs typeface="Arial" panose="020B0604020202020204" pitchFamily="34" charset="0"/>
            </a:rPr>
            <a:t> is used in conjuction with the "Loan Amortization UserForm.xlsm" workbook. Make sure it is open.</a:t>
          </a:r>
        </a:p>
        <a:p>
          <a:endParaRPr lang="en-US" sz="1100" b="1" baseline="0">
            <a:latin typeface="Palatino Linotype" panose="02040502050505030304" pitchFamily="18" charset="0"/>
            <a:cs typeface="Arial" panose="020B0604020202020204" pitchFamily="34" charset="0"/>
          </a:endParaRPr>
        </a:p>
        <a:p>
          <a:r>
            <a:rPr lang="en-US" sz="1100" b="0" baseline="0">
              <a:latin typeface="Palatino Linotype" panose="02040502050505030304" pitchFamily="18" charset="0"/>
              <a:cs typeface="Arial" panose="020B0604020202020204" pitchFamily="34" charset="0"/>
            </a:rPr>
            <a:t>As briefly described in the amortization workbook, when submitting information in the UserForm, payments will be recorded in the sheets Mar 2026 - Feb 2027, depending on which payments in the amortization schedule are within the time frame. Additionally, the payments are added to the Master Data, which contains the expected payments of every borrower throughout the Mar 2026 - Feb 2027. However, it will need to be manually sorted if you wish for the dates to be in order.</a:t>
          </a:r>
        </a:p>
        <a:p>
          <a:endParaRPr lang="en-US" sz="1100" b="0" baseline="0">
            <a:latin typeface="Palatino Linotype" panose="02040502050505030304" pitchFamily="18" charset="0"/>
            <a:cs typeface="Arial" panose="020B0604020202020204" pitchFamily="34" charset="0"/>
          </a:endParaRPr>
        </a:p>
        <a:p>
          <a:r>
            <a:rPr lang="en-US" sz="1100" b="0" baseline="0">
              <a:latin typeface="Palatino Linotype" panose="02040502050505030304" pitchFamily="18" charset="0"/>
              <a:cs typeface="Arial" panose="020B0604020202020204" pitchFamily="34" charset="0"/>
            </a:rPr>
            <a:t>This way, PivotTables/Charts can be used to generate dashboards and investigate different metrics such as</a:t>
          </a:r>
        </a:p>
        <a:p>
          <a:r>
            <a:rPr lang="en-US" sz="1100" b="0" baseline="0">
              <a:latin typeface="Palatino Linotype" panose="02040502050505030304" pitchFamily="18" charset="0"/>
              <a:cs typeface="Arial" panose="020B0604020202020204" pitchFamily="34" charset="0"/>
            </a:rPr>
            <a:t>- Income per month</a:t>
          </a:r>
        </a:p>
        <a:p>
          <a:r>
            <a:rPr lang="en-US" sz="1100" b="0" baseline="0">
              <a:latin typeface="Palatino Linotype" panose="02040502050505030304" pitchFamily="18" charset="0"/>
              <a:cs typeface="Arial" panose="020B0604020202020204" pitchFamily="34" charset="0"/>
            </a:rPr>
            <a:t>- Interest paid by a certain borrower</a:t>
          </a:r>
        </a:p>
        <a:p>
          <a:r>
            <a:rPr lang="en-US" sz="1100" b="0" baseline="0">
              <a:latin typeface="Palatino Linotype" panose="02040502050505030304" pitchFamily="18" charset="0"/>
              <a:cs typeface="Arial" panose="020B0604020202020204" pitchFamily="34" charset="0"/>
            </a:rPr>
            <a:t>- Running totals of income</a:t>
          </a:r>
        </a:p>
        <a:p>
          <a:endParaRPr lang="en-US" sz="1100" b="0" baseline="0">
            <a:latin typeface="Palatino Linotype" panose="02040502050505030304" pitchFamily="18" charset="0"/>
            <a:cs typeface="Arial" panose="020B0604020202020204" pitchFamily="34" charset="0"/>
          </a:endParaRPr>
        </a:p>
        <a:p>
          <a:r>
            <a:rPr lang="en-US" sz="1100" b="0" baseline="0">
              <a:latin typeface="Palatino Linotype" panose="02040502050505030304" pitchFamily="18" charset="0"/>
              <a:cs typeface="Arial" panose="020B0604020202020204" pitchFamily="34" charset="0"/>
            </a:rPr>
            <a:t>When new data is added, PivotTables/Charts, upon refreshing, will be updated. </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385762</xdr:colOff>
      <xdr:row>1</xdr:row>
      <xdr:rowOff>133350</xdr:rowOff>
    </xdr:from>
    <xdr:to>
      <xdr:col>12</xdr:col>
      <xdr:colOff>242887</xdr:colOff>
      <xdr:row>16</xdr:row>
      <xdr:rowOff>161925</xdr:rowOff>
    </xdr:to>
    <xdr:graphicFrame macro="">
      <xdr:nvGraphicFramePr>
        <xdr:cNvPr id="2" name="IncomeChart">
          <a:extLst>
            <a:ext uri="{FF2B5EF4-FFF2-40B4-BE49-F238E27FC236}">
              <a16:creationId xmlns:a16="http://schemas.microsoft.com/office/drawing/2014/main" id="{B6C00CC1-34F2-160D-F7E6-7337796F91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433387</xdr:colOff>
      <xdr:row>19</xdr:row>
      <xdr:rowOff>19050</xdr:rowOff>
    </xdr:from>
    <xdr:to>
      <xdr:col>13</xdr:col>
      <xdr:colOff>314325</xdr:colOff>
      <xdr:row>34</xdr:row>
      <xdr:rowOff>47625</xdr:rowOff>
    </xdr:to>
    <xdr:graphicFrame macro="">
      <xdr:nvGraphicFramePr>
        <xdr:cNvPr id="3" name="RTIncomeChart">
          <a:extLst>
            <a:ext uri="{FF2B5EF4-FFF2-40B4-BE49-F238E27FC236}">
              <a16:creationId xmlns:a16="http://schemas.microsoft.com/office/drawing/2014/main" id="{A2427D7E-4E78-E75A-C5D7-E9A67502AA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mer" refreshedDate="46097.929172337965" createdVersion="8" refreshedVersion="8" minRefreshableVersion="3" recordCount="94" xr:uid="{0BDB9471-1A1F-42D7-ADBD-4E39640ACC94}">
  <cacheSource type="worksheet">
    <worksheetSource name="MData"/>
  </cacheSource>
  <cacheFields count="8">
    <cacheField name="Borrower" numFmtId="0">
      <sharedItems/>
    </cacheField>
    <cacheField name="Payment Date" numFmtId="14">
      <sharedItems containsSemiMixedTypes="0" containsNonDate="0" containsDate="1" containsString="0" minDate="2026-03-15T00:00:00" maxDate="2027-02-24T00:00:00" count="82">
        <d v="2026-03-15T00:00:00"/>
        <d v="2026-03-23T00:00:00"/>
        <d v="2026-03-26T00:00:00"/>
        <d v="2026-03-27T00:00:00"/>
        <d v="2026-04-04T00:00:00"/>
        <d v="2026-04-06T00:00:00"/>
        <d v="2026-04-07T00:00:00"/>
        <d v="2026-04-08T00:00:00"/>
        <d v="2026-04-15T00:00:00"/>
        <d v="2026-04-23T00:00:00"/>
        <d v="2026-05-06T00:00:00"/>
        <d v="2026-05-07T00:00:00"/>
        <d v="2026-05-15T00:00:00"/>
        <d v="2026-05-17T00:00:00"/>
        <d v="2026-05-21T00:00:00"/>
        <d v="2026-05-23T00:00:00"/>
        <d v="2026-05-27T00:00:00"/>
        <d v="2026-06-06T00:00:00"/>
        <d v="2026-06-07T00:00:00"/>
        <d v="2026-06-15T00:00:00"/>
        <d v="2026-06-17T00:00:00"/>
        <d v="2026-06-23T00:00:00"/>
        <d v="2026-06-26T00:00:00"/>
        <d v="2026-07-06T00:00:00"/>
        <d v="2026-07-07T00:00:00"/>
        <d v="2026-07-08T00:00:00"/>
        <d v="2026-07-11T00:00:00"/>
        <d v="2026-07-15T00:00:00"/>
        <d v="2026-07-17T00:00:00"/>
        <d v="2026-07-23T00:00:00"/>
        <d v="2026-07-27T00:00:00"/>
        <d v="2026-08-06T00:00:00"/>
        <d v="2026-08-07T00:00:00"/>
        <d v="2026-08-11T00:00:00"/>
        <d v="2026-08-15T00:00:00"/>
        <d v="2026-08-17T00:00:00"/>
        <d v="2026-08-23T00:00:00"/>
        <d v="2026-09-06T00:00:00"/>
        <d v="2026-09-07T00:00:00"/>
        <d v="2026-09-11T00:00:00"/>
        <d v="2026-09-15T00:00:00"/>
        <d v="2026-09-17T00:00:00"/>
        <d v="2026-09-23T00:00:00"/>
        <d v="2026-09-26T00:00:00"/>
        <d v="2026-09-27T00:00:00"/>
        <d v="2026-10-04T00:00:00"/>
        <d v="2026-10-06T00:00:00"/>
        <d v="2026-10-07T00:00:00"/>
        <d v="2026-10-08T00:00:00"/>
        <d v="2026-10-11T00:00:00"/>
        <d v="2026-10-15T00:00:00"/>
        <d v="2026-10-17T00:00:00"/>
        <d v="2026-10-23T00:00:00"/>
        <d v="2026-11-06T00:00:00"/>
        <d v="2026-11-07T00:00:00"/>
        <d v="2026-11-11T00:00:00"/>
        <d v="2026-11-15T00:00:00"/>
        <d v="2026-11-17T00:00:00"/>
        <d v="2026-11-21T00:00:00"/>
        <d v="2026-11-23T00:00:00"/>
        <d v="2026-11-27T00:00:00"/>
        <d v="2026-12-06T00:00:00"/>
        <d v="2026-12-07T00:00:00"/>
        <d v="2026-12-11T00:00:00"/>
        <d v="2026-12-15T00:00:00"/>
        <d v="2026-12-17T00:00:00"/>
        <d v="2026-12-23T00:00:00"/>
        <d v="2026-12-26T00:00:00"/>
        <d v="2027-01-06T00:00:00"/>
        <d v="2027-01-07T00:00:00"/>
        <d v="2027-01-08T00:00:00"/>
        <d v="2027-01-11T00:00:00"/>
        <d v="2027-01-15T00:00:00"/>
        <d v="2027-01-17T00:00:00"/>
        <d v="2027-01-23T00:00:00"/>
        <d v="2027-01-27T00:00:00"/>
        <d v="2027-02-06T00:00:00"/>
        <d v="2027-02-07T00:00:00"/>
        <d v="2027-02-11T00:00:00"/>
        <d v="2027-02-15T00:00:00"/>
        <d v="2027-02-17T00:00:00"/>
        <d v="2027-02-23T00:00:00"/>
      </sharedItems>
      <fieldGroup par="7"/>
    </cacheField>
    <cacheField name="Payment Amount" numFmtId="0">
      <sharedItems containsSemiMixedTypes="0" containsString="0" containsNumber="1" minValue="307.85000000000002" maxValue="1490.21"/>
    </cacheField>
    <cacheField name="Principal" numFmtId="0">
      <sharedItems containsSemiMixedTypes="0" containsString="0" containsNumber="1" minValue="135.4" maxValue="772.36"/>
    </cacheField>
    <cacheField name="Interest" numFmtId="0">
      <sharedItems containsSemiMixedTypes="0" containsString="0" containsNumber="1" minValue="65.239999999999995" maxValue="1107.71"/>
    </cacheField>
    <cacheField name="Months (Payment Date)" numFmtId="0" databaseField="0">
      <fieldGroup base="1">
        <rangePr groupBy="months" startDate="2026-03-15T00:00:00" endDate="2027-02-24T00:00:00"/>
        <groupItems count="14">
          <s v="&lt;3/15/2026"/>
          <s v="Jan"/>
          <s v="Feb"/>
          <s v="Mar"/>
          <s v="Apr"/>
          <s v="May"/>
          <s v="Jun"/>
          <s v="Jul"/>
          <s v="Aug"/>
          <s v="Sep"/>
          <s v="Oct"/>
          <s v="Nov"/>
          <s v="Dec"/>
          <s v="&gt;2/24/2027"/>
        </groupItems>
      </fieldGroup>
    </cacheField>
    <cacheField name="Quarters (Payment Date)" numFmtId="0" databaseField="0">
      <fieldGroup base="1">
        <rangePr groupBy="quarters" startDate="2026-03-15T00:00:00" endDate="2027-02-24T00:00:00"/>
        <groupItems count="6">
          <s v="&lt;3/15/2026"/>
          <s v="Qtr1"/>
          <s v="Qtr2"/>
          <s v="Qtr3"/>
          <s v="Qtr4"/>
          <s v="&gt;2/24/2027"/>
        </groupItems>
      </fieldGroup>
    </cacheField>
    <cacheField name="Years (Payment Date)" numFmtId="0" databaseField="0">
      <fieldGroup base="1">
        <rangePr groupBy="years" startDate="2026-03-15T00:00:00" endDate="2027-02-24T00:00:00"/>
        <groupItems count="4">
          <s v="&lt;3/15/2026"/>
          <s v="2026"/>
          <s v="2027"/>
          <s v="&gt;2/24/2027"/>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4">
  <r>
    <s v="John M."/>
    <x v="0"/>
    <n v="485.05"/>
    <n v="382.92"/>
    <n v="102.13"/>
  </r>
  <r>
    <s v="Paul H."/>
    <x v="0"/>
    <n v="469.69"/>
    <n v="227.89"/>
    <n v="241.8"/>
  </r>
  <r>
    <s v="Oscar B."/>
    <x v="1"/>
    <n v="547.02"/>
    <n v="430.85"/>
    <n v="116.17"/>
  </r>
  <r>
    <s v="Maria A."/>
    <x v="2"/>
    <n v="863.37"/>
    <n v="332.87"/>
    <n v="530.5"/>
  </r>
  <r>
    <s v="Jenny T."/>
    <x v="3"/>
    <n v="607.19000000000005"/>
    <n v="324.79000000000002"/>
    <n v="282.39999999999998"/>
  </r>
  <r>
    <s v="Linda V."/>
    <x v="4"/>
    <n v="976.56"/>
    <n v="762.89"/>
    <n v="213.67"/>
  </r>
  <r>
    <s v="Eva G."/>
    <x v="5"/>
    <n v="541.13"/>
    <n v="364.29"/>
    <n v="176.84"/>
  </r>
  <r>
    <s v="Ken J."/>
    <x v="6"/>
    <n v="307.85000000000002"/>
    <n v="202.42"/>
    <n v="105.43"/>
  </r>
  <r>
    <s v="Damian L."/>
    <x v="7"/>
    <n v="313.19"/>
    <n v="135.4"/>
    <n v="177.79"/>
  </r>
  <r>
    <s v="John M."/>
    <x v="8"/>
    <n v="485.05"/>
    <n v="385.44"/>
    <n v="99.61"/>
  </r>
  <r>
    <s v="Paul H."/>
    <x v="8"/>
    <n v="469.69"/>
    <n v="229.27"/>
    <n v="240.42"/>
  </r>
  <r>
    <s v="Oscar B."/>
    <x v="9"/>
    <n v="547.02"/>
    <n v="433"/>
    <n v="114.02"/>
  </r>
  <r>
    <s v="Eva G."/>
    <x v="10"/>
    <n v="541.13"/>
    <n v="368.31"/>
    <n v="172.82"/>
  </r>
  <r>
    <s v="Ken J."/>
    <x v="11"/>
    <n v="307.85000000000002"/>
    <n v="204.79"/>
    <n v="103.06"/>
  </r>
  <r>
    <s v="John M."/>
    <x v="12"/>
    <n v="485.05"/>
    <n v="387.98"/>
    <n v="97.07"/>
  </r>
  <r>
    <s v="Paul H."/>
    <x v="12"/>
    <n v="469.69"/>
    <n v="230.66"/>
    <n v="239.03"/>
  </r>
  <r>
    <s v="Florence W."/>
    <x v="13"/>
    <n v="370.15"/>
    <n v="285.82"/>
    <n v="84.33"/>
  </r>
  <r>
    <s v="Ryan S."/>
    <x v="14"/>
    <n v="1490.21"/>
    <n v="382.5"/>
    <n v="1107.71"/>
  </r>
  <r>
    <s v="Oscar B."/>
    <x v="15"/>
    <n v="547.02"/>
    <n v="435.15"/>
    <n v="111.87"/>
  </r>
  <r>
    <s v="Jenny T."/>
    <x v="16"/>
    <n v="607.19000000000005"/>
    <n v="331.63"/>
    <n v="275.56"/>
  </r>
  <r>
    <s v="Eva G."/>
    <x v="17"/>
    <n v="541.13"/>
    <n v="372.38"/>
    <n v="168.75"/>
  </r>
  <r>
    <s v="Ken J."/>
    <x v="18"/>
    <n v="307.85000000000002"/>
    <n v="207.19"/>
    <n v="100.66"/>
  </r>
  <r>
    <s v="John M."/>
    <x v="19"/>
    <n v="485.05"/>
    <n v="390.54"/>
    <n v="94.51"/>
  </r>
  <r>
    <s v="Paul H."/>
    <x v="19"/>
    <n v="469.69"/>
    <n v="232.05"/>
    <n v="237.64"/>
  </r>
  <r>
    <s v="Florence W."/>
    <x v="20"/>
    <n v="370.15"/>
    <n v="287.88"/>
    <n v="82.27"/>
  </r>
  <r>
    <s v="Oscar B."/>
    <x v="21"/>
    <n v="547.02"/>
    <n v="437.32"/>
    <n v="109.7"/>
  </r>
  <r>
    <s v="Maria A."/>
    <x v="22"/>
    <n v="863.37"/>
    <n v="340.9"/>
    <n v="522.47"/>
  </r>
  <r>
    <s v="Eva G."/>
    <x v="23"/>
    <n v="541.13"/>
    <n v="376.5"/>
    <n v="164.63"/>
  </r>
  <r>
    <s v="Ken J."/>
    <x v="24"/>
    <n v="307.85000000000002"/>
    <n v="209.61"/>
    <n v="98.24"/>
  </r>
  <r>
    <s v="Damian L."/>
    <x v="25"/>
    <n v="313.19"/>
    <n v="140.21"/>
    <n v="172.98"/>
  </r>
  <r>
    <s v="Mike Y."/>
    <x v="26"/>
    <n v="444.71"/>
    <n v="340.58"/>
    <n v="104.13"/>
  </r>
  <r>
    <s v="John M."/>
    <x v="27"/>
    <n v="485.05"/>
    <n v="393.11"/>
    <n v="91.94"/>
  </r>
  <r>
    <s v="Paul H."/>
    <x v="27"/>
    <n v="469.69"/>
    <n v="233.45"/>
    <n v="236.24"/>
  </r>
  <r>
    <s v="Florence W."/>
    <x v="28"/>
    <n v="370.15"/>
    <n v="289.95999999999998"/>
    <n v="80.19"/>
  </r>
  <r>
    <s v="Oscar B."/>
    <x v="29"/>
    <n v="547.02"/>
    <n v="439.5"/>
    <n v="107.52"/>
  </r>
  <r>
    <s v="Jenny T."/>
    <x v="30"/>
    <n v="607.19000000000005"/>
    <n v="338.62"/>
    <n v="268.57"/>
  </r>
  <r>
    <s v="Eva G."/>
    <x v="31"/>
    <n v="541.13"/>
    <n v="380.66"/>
    <n v="160.47"/>
  </r>
  <r>
    <s v="Ken J."/>
    <x v="32"/>
    <n v="307.85000000000002"/>
    <n v="212.07"/>
    <n v="95.78"/>
  </r>
  <r>
    <s v="Mike Y."/>
    <x v="33"/>
    <n v="444.71"/>
    <n v="343.11"/>
    <n v="101.6"/>
  </r>
  <r>
    <s v="John M."/>
    <x v="34"/>
    <n v="485.05"/>
    <n v="395.7"/>
    <n v="89.35"/>
  </r>
  <r>
    <s v="Paul H."/>
    <x v="34"/>
    <n v="469.69"/>
    <n v="234.86"/>
    <n v="234.83"/>
  </r>
  <r>
    <s v="Florence W."/>
    <x v="35"/>
    <n v="370.15"/>
    <n v="292.05"/>
    <n v="78.099999999999994"/>
  </r>
  <r>
    <s v="Oscar B."/>
    <x v="36"/>
    <n v="547.02"/>
    <n v="441.7"/>
    <n v="105.32"/>
  </r>
  <r>
    <s v="Eva G."/>
    <x v="37"/>
    <n v="541.13"/>
    <n v="384.87"/>
    <n v="156.26"/>
  </r>
  <r>
    <s v="Ken J."/>
    <x v="38"/>
    <n v="307.85000000000002"/>
    <n v="214.55"/>
    <n v="93.3"/>
  </r>
  <r>
    <s v="Mike Y."/>
    <x v="39"/>
    <n v="444.71"/>
    <n v="345.66"/>
    <n v="99.05"/>
  </r>
  <r>
    <s v="John M."/>
    <x v="40"/>
    <n v="485.05"/>
    <n v="398.31"/>
    <n v="86.74"/>
  </r>
  <r>
    <s v="Paul H."/>
    <x v="40"/>
    <n v="469.69"/>
    <n v="236.28"/>
    <n v="233.41"/>
  </r>
  <r>
    <s v="Florence W."/>
    <x v="41"/>
    <n v="370.15"/>
    <n v="294.14999999999998"/>
    <n v="76"/>
  </r>
  <r>
    <s v="Oscar B."/>
    <x v="42"/>
    <n v="547.02"/>
    <n v="443.9"/>
    <n v="103.12"/>
  </r>
  <r>
    <s v="Maria A."/>
    <x v="43"/>
    <n v="863.37"/>
    <n v="349.12"/>
    <n v="514.25"/>
  </r>
  <r>
    <s v="Jenny T."/>
    <x v="44"/>
    <n v="607.19000000000005"/>
    <n v="345.76"/>
    <n v="261.43"/>
  </r>
  <r>
    <s v="Linda V."/>
    <x v="45"/>
    <n v="976.56"/>
    <n v="772.36"/>
    <n v="204.2"/>
  </r>
  <r>
    <s v="Eva G."/>
    <x v="46"/>
    <n v="541.13"/>
    <n v="389.12"/>
    <n v="152.01"/>
  </r>
  <r>
    <s v="Ken J."/>
    <x v="47"/>
    <n v="307.85000000000002"/>
    <n v="217.07"/>
    <n v="90.78"/>
  </r>
  <r>
    <s v="Damian L."/>
    <x v="48"/>
    <n v="313.19"/>
    <n v="145.19999999999999"/>
    <n v="167.99"/>
  </r>
  <r>
    <s v="Mike Y."/>
    <x v="49"/>
    <n v="444.71"/>
    <n v="348.23"/>
    <n v="96.48"/>
  </r>
  <r>
    <s v="John M."/>
    <x v="50"/>
    <n v="485.05"/>
    <n v="400.93"/>
    <n v="84.12"/>
  </r>
  <r>
    <s v="Paul H."/>
    <x v="50"/>
    <n v="469.69"/>
    <n v="237.71"/>
    <n v="231.98"/>
  </r>
  <r>
    <s v="Florence W."/>
    <x v="51"/>
    <n v="370.15"/>
    <n v="296.27"/>
    <n v="73.88"/>
  </r>
  <r>
    <s v="Oscar B."/>
    <x v="52"/>
    <n v="547.02"/>
    <n v="446.11"/>
    <n v="100.91"/>
  </r>
  <r>
    <s v="Eva G."/>
    <x v="53"/>
    <n v="541.13"/>
    <n v="393.42"/>
    <n v="147.71"/>
  </r>
  <r>
    <s v="Ken J."/>
    <x v="54"/>
    <n v="307.85000000000002"/>
    <n v="219.61"/>
    <n v="88.24"/>
  </r>
  <r>
    <s v="Mike Y."/>
    <x v="55"/>
    <n v="444.71"/>
    <n v="350.82"/>
    <n v="93.89"/>
  </r>
  <r>
    <s v="John M."/>
    <x v="56"/>
    <n v="485.05"/>
    <n v="403.57"/>
    <n v="81.48"/>
  </r>
  <r>
    <s v="Paul H."/>
    <x v="56"/>
    <n v="469.69"/>
    <n v="239.15"/>
    <n v="230.54"/>
  </r>
  <r>
    <s v="Florence W."/>
    <x v="57"/>
    <n v="370.15"/>
    <n v="298.41000000000003"/>
    <n v="71.739999999999995"/>
  </r>
  <r>
    <s v="Ryan S."/>
    <x v="58"/>
    <n v="1490.21"/>
    <n v="404.8"/>
    <n v="1085.4100000000001"/>
  </r>
  <r>
    <s v="Oscar B."/>
    <x v="59"/>
    <n v="547.02"/>
    <n v="448.34"/>
    <n v="98.68"/>
  </r>
  <r>
    <s v="Jenny T."/>
    <x v="60"/>
    <n v="607.19000000000005"/>
    <n v="353.05"/>
    <n v="254.14"/>
  </r>
  <r>
    <s v="Eva G."/>
    <x v="61"/>
    <n v="541.13"/>
    <n v="397.77"/>
    <n v="143.36000000000001"/>
  </r>
  <r>
    <s v="Ken J."/>
    <x v="62"/>
    <n v="307.85000000000002"/>
    <n v="222.18"/>
    <n v="85.67"/>
  </r>
  <r>
    <s v="Mike Y."/>
    <x v="63"/>
    <n v="444.71"/>
    <n v="353.43"/>
    <n v="91.28"/>
  </r>
  <r>
    <s v="John M."/>
    <x v="64"/>
    <n v="485.05"/>
    <n v="406.23"/>
    <n v="78.819999999999993"/>
  </r>
  <r>
    <s v="Paul H."/>
    <x v="64"/>
    <n v="469.69"/>
    <n v="240.6"/>
    <n v="229.09"/>
  </r>
  <r>
    <s v="Florence W."/>
    <x v="65"/>
    <n v="370.15"/>
    <n v="300.56"/>
    <n v="69.59"/>
  </r>
  <r>
    <s v="Oscar B."/>
    <x v="66"/>
    <n v="547.02"/>
    <n v="450.57"/>
    <n v="96.45"/>
  </r>
  <r>
    <s v="Maria A."/>
    <x v="67"/>
    <n v="863.37"/>
    <n v="357.53"/>
    <n v="505.84"/>
  </r>
  <r>
    <s v="Eva G."/>
    <x v="68"/>
    <n v="541.13"/>
    <n v="402.17"/>
    <n v="138.96"/>
  </r>
  <r>
    <s v="Ken J."/>
    <x v="69"/>
    <n v="307.85000000000002"/>
    <n v="224.79"/>
    <n v="83.06"/>
  </r>
  <r>
    <s v="Damian L."/>
    <x v="70"/>
    <n v="313.19"/>
    <n v="150.36000000000001"/>
    <n v="162.83000000000001"/>
  </r>
  <r>
    <s v="Mike Y."/>
    <x v="71"/>
    <n v="444.71"/>
    <n v="356.06"/>
    <n v="88.65"/>
  </r>
  <r>
    <s v="John M."/>
    <x v="72"/>
    <n v="485.05"/>
    <n v="408.91"/>
    <n v="76.14"/>
  </r>
  <r>
    <s v="Paul H."/>
    <x v="72"/>
    <n v="469.69"/>
    <n v="242.05"/>
    <n v="227.64"/>
  </r>
  <r>
    <s v="Florence W."/>
    <x v="73"/>
    <n v="370.15"/>
    <n v="302.73"/>
    <n v="67.42"/>
  </r>
  <r>
    <s v="Oscar B."/>
    <x v="74"/>
    <n v="547.02"/>
    <n v="452.82"/>
    <n v="94.2"/>
  </r>
  <r>
    <s v="Jenny T."/>
    <x v="75"/>
    <n v="607.19000000000005"/>
    <n v="360.49"/>
    <n v="246.7"/>
  </r>
  <r>
    <s v="Eva G."/>
    <x v="76"/>
    <n v="541.13"/>
    <n v="406.61"/>
    <n v="134.52000000000001"/>
  </r>
  <r>
    <s v="Ken J."/>
    <x v="77"/>
    <n v="307.85000000000002"/>
    <n v="227.42"/>
    <n v="80.430000000000007"/>
  </r>
  <r>
    <s v="Mike Y."/>
    <x v="78"/>
    <n v="444.71"/>
    <n v="358.71"/>
    <n v="86"/>
  </r>
  <r>
    <s v="John M."/>
    <x v="79"/>
    <n v="485.05"/>
    <n v="411.6"/>
    <n v="73.45"/>
  </r>
  <r>
    <s v="Paul H."/>
    <x v="79"/>
    <n v="469.69"/>
    <n v="243.51"/>
    <n v="226.18"/>
  </r>
  <r>
    <s v="Florence W."/>
    <x v="80"/>
    <n v="370.15"/>
    <n v="304.91000000000003"/>
    <n v="65.239999999999995"/>
  </r>
  <r>
    <s v="Oscar B."/>
    <x v="81"/>
    <n v="547.02"/>
    <n v="455.07"/>
    <n v="91.9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A198983-0F04-4410-8AAA-1CCBCA5490CA}" name="RunningTotalIncome"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20:C33" firstHeaderRow="1" firstDataRow="1" firstDataCol="1"/>
  <pivotFields count="8">
    <pivotField showAll="0"/>
    <pivotField numFmtId="14" showAll="0">
      <items count="83">
        <item x="0"/>
        <item x="1"/>
        <item x="2"/>
        <item x="3"/>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4"/>
        <item x="45"/>
        <item t="default"/>
      </items>
    </pivotField>
    <pivotField dataField="1" showAll="0"/>
    <pivotField showAll="0"/>
    <pivotField showAll="0"/>
    <pivotField axis="axisRow" showAll="0" nonAutoSortDefault="1" defaultSubtotal="0">
      <items count="14">
        <item x="3"/>
        <item x="4"/>
        <item x="5"/>
        <item x="6"/>
        <item x="7"/>
        <item x="8"/>
        <item x="9"/>
        <item x="10"/>
        <item x="11"/>
        <item x="12"/>
        <item x="1"/>
        <item x="2"/>
        <item x="0"/>
        <item x="13"/>
      </items>
    </pivotField>
    <pivotField showAll="0" defaultSubtotal="0"/>
    <pivotField showAll="0" defaultSubtotal="0">
      <items count="4">
        <item x="0"/>
        <item x="1"/>
        <item x="2"/>
        <item x="3"/>
      </items>
    </pivotField>
  </pivotFields>
  <rowFields count="1">
    <field x="5"/>
  </rowFields>
  <rowItems count="13">
    <i>
      <x/>
    </i>
    <i>
      <x v="1"/>
    </i>
    <i>
      <x v="2"/>
    </i>
    <i>
      <x v="3"/>
    </i>
    <i>
      <x v="4"/>
    </i>
    <i>
      <x v="5"/>
    </i>
    <i>
      <x v="6"/>
    </i>
    <i>
      <x v="7"/>
    </i>
    <i>
      <x v="8"/>
    </i>
    <i>
      <x v="9"/>
    </i>
    <i>
      <x v="10"/>
    </i>
    <i>
      <x v="11"/>
    </i>
    <i t="grand">
      <x/>
    </i>
  </rowItems>
  <colItems count="1">
    <i/>
  </colItems>
  <dataFields count="1">
    <dataField name="Sum of Payment Amount" fld="2" baseField="5" baseItem="0" numFmtId="10">
      <extLst>
        <ext xmlns:x14="http://schemas.microsoft.com/office/spreadsheetml/2009/9/main" uri="{E15A36E0-9728-4e99-A89B-3F7291B0FE68}">
          <x14:dataField pivotShowAs="percentOfRunningTotal"/>
        </ext>
      </extLst>
    </dataField>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A02FE7E-D18A-474B-9F32-625A079E91EF}" name="IncomeByMonth"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2:C17" firstHeaderRow="1" firstDataRow="1" firstDataCol="1"/>
  <pivotFields count="8">
    <pivotField showAll="0"/>
    <pivotField numFmtId="14" showAll="0">
      <items count="83">
        <item x="0"/>
        <item x="1"/>
        <item x="2"/>
        <item x="3"/>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4"/>
        <item x="45"/>
        <item t="default"/>
      </items>
    </pivotField>
    <pivotField dataField="1"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sd="0" x="0"/>
        <item x="1"/>
        <item x="2"/>
        <item sd="0" x="3"/>
        <item t="default"/>
      </items>
    </pivotField>
  </pivotFields>
  <rowFields count="2">
    <field x="7"/>
    <field x="5"/>
  </rowFields>
  <rowItems count="15">
    <i>
      <x v="1"/>
    </i>
    <i r="1">
      <x v="3"/>
    </i>
    <i r="1">
      <x v="4"/>
    </i>
    <i r="1">
      <x v="5"/>
    </i>
    <i r="1">
      <x v="6"/>
    </i>
    <i r="1">
      <x v="7"/>
    </i>
    <i r="1">
      <x v="8"/>
    </i>
    <i r="1">
      <x v="9"/>
    </i>
    <i r="1">
      <x v="10"/>
    </i>
    <i r="1">
      <x v="11"/>
    </i>
    <i r="1">
      <x v="12"/>
    </i>
    <i>
      <x v="2"/>
    </i>
    <i r="1">
      <x v="1"/>
    </i>
    <i r="1">
      <x v="2"/>
    </i>
    <i t="grand">
      <x/>
    </i>
  </rowItems>
  <colItems count="1">
    <i/>
  </colItems>
  <dataFields count="1">
    <dataField name="Sum of Payment Amount" fld="2" baseField="0" baseItem="0"/>
  </dataFields>
  <chartFormats count="1">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D9FD52A6-1902-443D-BB98-78DA74C3BE70}" name="MData" displayName="MData" ref="A1:E95" totalsRowShown="0" headerRowDxfId="0" dataDxfId="1">
  <autoFilter ref="A1:E95" xr:uid="{D9FD52A6-1902-443D-BB98-78DA74C3BE70}"/>
  <sortState xmlns:xlrd2="http://schemas.microsoft.com/office/spreadsheetml/2017/richdata2" ref="A2:E95">
    <sortCondition ref="B1:B95"/>
  </sortState>
  <tableColumns count="5">
    <tableColumn id="1" xr3:uid="{D69C0827-2EE9-4EAA-8FBC-F0FCCF1CF4FC}" name="Borrower" dataDxfId="6"/>
    <tableColumn id="2" xr3:uid="{74CC12D2-7A19-4055-BB52-07BCBC80F73B}" name="Payment Date" dataDxfId="5"/>
    <tableColumn id="3" xr3:uid="{A2EC1849-AB49-400F-A9F8-53CC8E694BEC}" name="Payment Amount" dataDxfId="4"/>
    <tableColumn id="4" xr3:uid="{2FD86972-C34B-4753-AAA7-A6AEED7FAD75}" name="Principal" dataDxfId="3"/>
    <tableColumn id="5" xr3:uid="{D2DCE783-3723-4F82-B298-C3BE7C99D38D}" name="Interest"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EE464-7879-4B40-9D9C-5B93A7D7643C}">
  <sheetPr codeName="Sheet1"/>
  <dimension ref="A1"/>
  <sheetViews>
    <sheetView workbookViewId="0">
      <selection activeCell="N15" sqref="N15"/>
    </sheetView>
  </sheetViews>
  <sheetFormatPr defaultRowHeight="14.25" x14ac:dyDescent="0.2"/>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46781-4859-4AA6-B10D-05803FBD7F6F}">
  <sheetPr codeName="Sheet15"/>
  <dimension ref="A1:E95"/>
  <sheetViews>
    <sheetView workbookViewId="0">
      <selection activeCell="H19" sqref="H19"/>
    </sheetView>
  </sheetViews>
  <sheetFormatPr defaultRowHeight="14.25" x14ac:dyDescent="0.2"/>
  <cols>
    <col min="1" max="1" width="11.25" bestFit="1" customWidth="1"/>
    <col min="2" max="2" width="15.125" style="1" bestFit="1" customWidth="1"/>
    <col min="3" max="3" width="17.625" bestFit="1" customWidth="1"/>
    <col min="4" max="4" width="10.625" bestFit="1" customWidth="1"/>
    <col min="5" max="5" width="9.75" bestFit="1" customWidth="1"/>
  </cols>
  <sheetData>
    <row r="1" spans="1:5" x14ac:dyDescent="0.2">
      <c r="A1" s="3" t="s">
        <v>3</v>
      </c>
      <c r="B1" s="5" t="s">
        <v>4</v>
      </c>
      <c r="C1" s="3" t="s">
        <v>5</v>
      </c>
      <c r="D1" s="3" t="s">
        <v>1</v>
      </c>
      <c r="E1" s="3" t="s">
        <v>2</v>
      </c>
    </row>
    <row r="2" spans="1:5" x14ac:dyDescent="0.2">
      <c r="A2" s="3" t="s">
        <v>0</v>
      </c>
      <c r="B2" s="5">
        <v>46096</v>
      </c>
      <c r="C2" s="3">
        <v>485.05</v>
      </c>
      <c r="D2" s="3">
        <v>382.92</v>
      </c>
      <c r="E2" s="3">
        <v>102.13</v>
      </c>
    </row>
    <row r="3" spans="1:5" x14ac:dyDescent="0.2">
      <c r="A3" s="3" t="s">
        <v>7</v>
      </c>
      <c r="B3" s="5">
        <v>46096</v>
      </c>
      <c r="C3" s="3">
        <v>469.69</v>
      </c>
      <c r="D3" s="3">
        <v>227.89</v>
      </c>
      <c r="E3" s="3">
        <v>241.8</v>
      </c>
    </row>
    <row r="4" spans="1:5" x14ac:dyDescent="0.2">
      <c r="A4" s="3" t="s">
        <v>14</v>
      </c>
      <c r="B4" s="5">
        <v>46104</v>
      </c>
      <c r="C4" s="3">
        <v>547.02</v>
      </c>
      <c r="D4" s="3">
        <v>430.85</v>
      </c>
      <c r="E4" s="3">
        <v>116.17</v>
      </c>
    </row>
    <row r="5" spans="1:5" x14ac:dyDescent="0.2">
      <c r="A5" s="3" t="s">
        <v>8</v>
      </c>
      <c r="B5" s="5">
        <v>46107</v>
      </c>
      <c r="C5" s="3">
        <v>863.37</v>
      </c>
      <c r="D5" s="3">
        <v>332.87</v>
      </c>
      <c r="E5" s="3">
        <v>530.5</v>
      </c>
    </row>
    <row r="6" spans="1:5" x14ac:dyDescent="0.2">
      <c r="A6" s="3" t="s">
        <v>13</v>
      </c>
      <c r="B6" s="5">
        <v>46108</v>
      </c>
      <c r="C6" s="3">
        <v>607.19000000000005</v>
      </c>
      <c r="D6" s="3">
        <v>324.79000000000002</v>
      </c>
      <c r="E6" s="3">
        <v>282.39999999999998</v>
      </c>
    </row>
    <row r="7" spans="1:5" x14ac:dyDescent="0.2">
      <c r="A7" s="3" t="s">
        <v>33</v>
      </c>
      <c r="B7" s="5">
        <v>46116</v>
      </c>
      <c r="C7" s="3">
        <v>976.56</v>
      </c>
      <c r="D7" s="3">
        <v>762.89</v>
      </c>
      <c r="E7" s="3">
        <v>213.67</v>
      </c>
    </row>
    <row r="8" spans="1:5" x14ac:dyDescent="0.2">
      <c r="A8" s="3" t="s">
        <v>12</v>
      </c>
      <c r="B8" s="5">
        <v>46118</v>
      </c>
      <c r="C8" s="3">
        <v>541.13</v>
      </c>
      <c r="D8" s="3">
        <v>364.29</v>
      </c>
      <c r="E8" s="3">
        <v>176.84</v>
      </c>
    </row>
    <row r="9" spans="1:5" x14ac:dyDescent="0.2">
      <c r="A9" s="3" t="s">
        <v>6</v>
      </c>
      <c r="B9" s="5">
        <v>46119</v>
      </c>
      <c r="C9" s="3">
        <v>307.85000000000002</v>
      </c>
      <c r="D9" s="3">
        <v>202.42</v>
      </c>
      <c r="E9" s="3">
        <v>105.43</v>
      </c>
    </row>
    <row r="10" spans="1:5" x14ac:dyDescent="0.2">
      <c r="A10" s="3" t="s">
        <v>10</v>
      </c>
      <c r="B10" s="5">
        <v>46120</v>
      </c>
      <c r="C10" s="3">
        <v>313.19</v>
      </c>
      <c r="D10" s="3">
        <v>135.4</v>
      </c>
      <c r="E10" s="3">
        <v>177.79</v>
      </c>
    </row>
    <row r="11" spans="1:5" x14ac:dyDescent="0.2">
      <c r="A11" s="3" t="s">
        <v>0</v>
      </c>
      <c r="B11" s="5">
        <v>46127</v>
      </c>
      <c r="C11" s="3">
        <v>485.05</v>
      </c>
      <c r="D11" s="3">
        <v>385.44</v>
      </c>
      <c r="E11" s="3">
        <v>99.61</v>
      </c>
    </row>
    <row r="12" spans="1:5" x14ac:dyDescent="0.2">
      <c r="A12" s="3" t="s">
        <v>7</v>
      </c>
      <c r="B12" s="5">
        <v>46127</v>
      </c>
      <c r="C12" s="3">
        <v>469.69</v>
      </c>
      <c r="D12" s="3">
        <v>229.27</v>
      </c>
      <c r="E12" s="3">
        <v>240.42</v>
      </c>
    </row>
    <row r="13" spans="1:5" x14ac:dyDescent="0.2">
      <c r="A13" s="3" t="s">
        <v>14</v>
      </c>
      <c r="B13" s="5">
        <v>46135</v>
      </c>
      <c r="C13" s="3">
        <v>547.02</v>
      </c>
      <c r="D13" s="3">
        <v>433</v>
      </c>
      <c r="E13" s="3">
        <v>114.02</v>
      </c>
    </row>
    <row r="14" spans="1:5" x14ac:dyDescent="0.2">
      <c r="A14" s="3" t="s">
        <v>12</v>
      </c>
      <c r="B14" s="5">
        <v>46148</v>
      </c>
      <c r="C14" s="3">
        <v>541.13</v>
      </c>
      <c r="D14" s="3">
        <v>368.31</v>
      </c>
      <c r="E14" s="3">
        <v>172.82</v>
      </c>
    </row>
    <row r="15" spans="1:5" x14ac:dyDescent="0.2">
      <c r="A15" s="3" t="s">
        <v>6</v>
      </c>
      <c r="B15" s="5">
        <v>46149</v>
      </c>
      <c r="C15" s="3">
        <v>307.85000000000002</v>
      </c>
      <c r="D15" s="3">
        <v>204.79</v>
      </c>
      <c r="E15" s="3">
        <v>103.06</v>
      </c>
    </row>
    <row r="16" spans="1:5" x14ac:dyDescent="0.2">
      <c r="A16" s="3" t="s">
        <v>0</v>
      </c>
      <c r="B16" s="5">
        <v>46157</v>
      </c>
      <c r="C16" s="3">
        <v>485.05</v>
      </c>
      <c r="D16" s="3">
        <v>387.98</v>
      </c>
      <c r="E16" s="3">
        <v>97.07</v>
      </c>
    </row>
    <row r="17" spans="1:5" x14ac:dyDescent="0.2">
      <c r="A17" s="3" t="s">
        <v>7</v>
      </c>
      <c r="B17" s="5">
        <v>46157</v>
      </c>
      <c r="C17" s="3">
        <v>469.69</v>
      </c>
      <c r="D17" s="3">
        <v>230.66</v>
      </c>
      <c r="E17" s="3">
        <v>239.03</v>
      </c>
    </row>
    <row r="18" spans="1:5" x14ac:dyDescent="0.2">
      <c r="A18" s="3" t="s">
        <v>11</v>
      </c>
      <c r="B18" s="5">
        <v>46159</v>
      </c>
      <c r="C18" s="3">
        <v>370.15</v>
      </c>
      <c r="D18" s="3">
        <v>285.82</v>
      </c>
      <c r="E18" s="3">
        <v>84.33</v>
      </c>
    </row>
    <row r="19" spans="1:5" x14ac:dyDescent="0.2">
      <c r="A19" s="3" t="s">
        <v>9</v>
      </c>
      <c r="B19" s="5">
        <v>46163</v>
      </c>
      <c r="C19" s="3">
        <v>1490.21</v>
      </c>
      <c r="D19" s="3">
        <v>382.5</v>
      </c>
      <c r="E19" s="3">
        <v>1107.71</v>
      </c>
    </row>
    <row r="20" spans="1:5" x14ac:dyDescent="0.2">
      <c r="A20" s="3" t="s">
        <v>14</v>
      </c>
      <c r="B20" s="5">
        <v>46165</v>
      </c>
      <c r="C20" s="3">
        <v>547.02</v>
      </c>
      <c r="D20" s="3">
        <v>435.15</v>
      </c>
      <c r="E20" s="3">
        <v>111.87</v>
      </c>
    </row>
    <row r="21" spans="1:5" x14ac:dyDescent="0.2">
      <c r="A21" s="3" t="s">
        <v>13</v>
      </c>
      <c r="B21" s="5">
        <v>46169</v>
      </c>
      <c r="C21" s="3">
        <v>607.19000000000005</v>
      </c>
      <c r="D21" s="3">
        <v>331.63</v>
      </c>
      <c r="E21" s="3">
        <v>275.56</v>
      </c>
    </row>
    <row r="22" spans="1:5" x14ac:dyDescent="0.2">
      <c r="A22" s="3" t="s">
        <v>12</v>
      </c>
      <c r="B22" s="5">
        <v>46179</v>
      </c>
      <c r="C22" s="3">
        <v>541.13</v>
      </c>
      <c r="D22" s="3">
        <v>372.38</v>
      </c>
      <c r="E22" s="3">
        <v>168.75</v>
      </c>
    </row>
    <row r="23" spans="1:5" x14ac:dyDescent="0.2">
      <c r="A23" s="3" t="s">
        <v>6</v>
      </c>
      <c r="B23" s="5">
        <v>46180</v>
      </c>
      <c r="C23" s="3">
        <v>307.85000000000002</v>
      </c>
      <c r="D23" s="3">
        <v>207.19</v>
      </c>
      <c r="E23" s="3">
        <v>100.66</v>
      </c>
    </row>
    <row r="24" spans="1:5" x14ac:dyDescent="0.2">
      <c r="A24" s="3" t="s">
        <v>0</v>
      </c>
      <c r="B24" s="5">
        <v>46188</v>
      </c>
      <c r="C24" s="3">
        <v>485.05</v>
      </c>
      <c r="D24" s="3">
        <v>390.54</v>
      </c>
      <c r="E24" s="3">
        <v>94.51</v>
      </c>
    </row>
    <row r="25" spans="1:5" x14ac:dyDescent="0.2">
      <c r="A25" s="3" t="s">
        <v>7</v>
      </c>
      <c r="B25" s="5">
        <v>46188</v>
      </c>
      <c r="C25" s="3">
        <v>469.69</v>
      </c>
      <c r="D25" s="3">
        <v>232.05</v>
      </c>
      <c r="E25" s="3">
        <v>237.64</v>
      </c>
    </row>
    <row r="26" spans="1:5" x14ac:dyDescent="0.2">
      <c r="A26" s="3" t="s">
        <v>11</v>
      </c>
      <c r="B26" s="5">
        <v>46190</v>
      </c>
      <c r="C26" s="3">
        <v>370.15</v>
      </c>
      <c r="D26" s="3">
        <v>287.88</v>
      </c>
      <c r="E26" s="3">
        <v>82.27</v>
      </c>
    </row>
    <row r="27" spans="1:5" x14ac:dyDescent="0.2">
      <c r="A27" s="3" t="s">
        <v>14</v>
      </c>
      <c r="B27" s="5">
        <v>46196</v>
      </c>
      <c r="C27" s="3">
        <v>547.02</v>
      </c>
      <c r="D27" s="3">
        <v>437.32</v>
      </c>
      <c r="E27" s="3">
        <v>109.7</v>
      </c>
    </row>
    <row r="28" spans="1:5" x14ac:dyDescent="0.2">
      <c r="A28" s="3" t="s">
        <v>8</v>
      </c>
      <c r="B28" s="5">
        <v>46199</v>
      </c>
      <c r="C28" s="3">
        <v>863.37</v>
      </c>
      <c r="D28" s="3">
        <v>340.9</v>
      </c>
      <c r="E28" s="3">
        <v>522.47</v>
      </c>
    </row>
    <row r="29" spans="1:5" x14ac:dyDescent="0.2">
      <c r="A29" s="3" t="s">
        <v>12</v>
      </c>
      <c r="B29" s="5">
        <v>46209</v>
      </c>
      <c r="C29" s="3">
        <v>541.13</v>
      </c>
      <c r="D29" s="3">
        <v>376.5</v>
      </c>
      <c r="E29" s="3">
        <v>164.63</v>
      </c>
    </row>
    <row r="30" spans="1:5" x14ac:dyDescent="0.2">
      <c r="A30" s="3" t="s">
        <v>6</v>
      </c>
      <c r="B30" s="5">
        <v>46210</v>
      </c>
      <c r="C30" s="3">
        <v>307.85000000000002</v>
      </c>
      <c r="D30" s="3">
        <v>209.61</v>
      </c>
      <c r="E30" s="3">
        <v>98.24</v>
      </c>
    </row>
    <row r="31" spans="1:5" x14ac:dyDescent="0.2">
      <c r="A31" s="3" t="s">
        <v>10</v>
      </c>
      <c r="B31" s="5">
        <v>46211</v>
      </c>
      <c r="C31" s="3">
        <v>313.19</v>
      </c>
      <c r="D31" s="3">
        <v>140.21</v>
      </c>
      <c r="E31" s="3">
        <v>172.98</v>
      </c>
    </row>
    <row r="32" spans="1:5" x14ac:dyDescent="0.2">
      <c r="A32" s="3" t="s">
        <v>15</v>
      </c>
      <c r="B32" s="5">
        <v>46214</v>
      </c>
      <c r="C32" s="3">
        <v>444.71</v>
      </c>
      <c r="D32" s="3">
        <v>340.58</v>
      </c>
      <c r="E32" s="3">
        <v>104.13</v>
      </c>
    </row>
    <row r="33" spans="1:5" x14ac:dyDescent="0.2">
      <c r="A33" s="3" t="s">
        <v>0</v>
      </c>
      <c r="B33" s="5">
        <v>46218</v>
      </c>
      <c r="C33" s="3">
        <v>485.05</v>
      </c>
      <c r="D33" s="3">
        <v>393.11</v>
      </c>
      <c r="E33" s="3">
        <v>91.94</v>
      </c>
    </row>
    <row r="34" spans="1:5" x14ac:dyDescent="0.2">
      <c r="A34" s="3" t="s">
        <v>7</v>
      </c>
      <c r="B34" s="5">
        <v>46218</v>
      </c>
      <c r="C34" s="3">
        <v>469.69</v>
      </c>
      <c r="D34" s="3">
        <v>233.45</v>
      </c>
      <c r="E34" s="3">
        <v>236.24</v>
      </c>
    </row>
    <row r="35" spans="1:5" x14ac:dyDescent="0.2">
      <c r="A35" s="3" t="s">
        <v>11</v>
      </c>
      <c r="B35" s="5">
        <v>46220</v>
      </c>
      <c r="C35" s="3">
        <v>370.15</v>
      </c>
      <c r="D35" s="3">
        <v>289.95999999999998</v>
      </c>
      <c r="E35" s="3">
        <v>80.19</v>
      </c>
    </row>
    <row r="36" spans="1:5" x14ac:dyDescent="0.2">
      <c r="A36" s="3" t="s">
        <v>14</v>
      </c>
      <c r="B36" s="5">
        <v>46226</v>
      </c>
      <c r="C36" s="3">
        <v>547.02</v>
      </c>
      <c r="D36" s="3">
        <v>439.5</v>
      </c>
      <c r="E36" s="3">
        <v>107.52</v>
      </c>
    </row>
    <row r="37" spans="1:5" x14ac:dyDescent="0.2">
      <c r="A37" s="3" t="s">
        <v>13</v>
      </c>
      <c r="B37" s="5">
        <v>46230</v>
      </c>
      <c r="C37" s="3">
        <v>607.19000000000005</v>
      </c>
      <c r="D37" s="3">
        <v>338.62</v>
      </c>
      <c r="E37" s="3">
        <v>268.57</v>
      </c>
    </row>
    <row r="38" spans="1:5" x14ac:dyDescent="0.2">
      <c r="A38" s="3" t="s">
        <v>12</v>
      </c>
      <c r="B38" s="5">
        <v>46240</v>
      </c>
      <c r="C38" s="3">
        <v>541.13</v>
      </c>
      <c r="D38" s="3">
        <v>380.66</v>
      </c>
      <c r="E38" s="3">
        <v>160.47</v>
      </c>
    </row>
    <row r="39" spans="1:5" x14ac:dyDescent="0.2">
      <c r="A39" s="3" t="s">
        <v>6</v>
      </c>
      <c r="B39" s="5">
        <v>46241</v>
      </c>
      <c r="C39" s="3">
        <v>307.85000000000002</v>
      </c>
      <c r="D39" s="3">
        <v>212.07</v>
      </c>
      <c r="E39" s="3">
        <v>95.78</v>
      </c>
    </row>
    <row r="40" spans="1:5" x14ac:dyDescent="0.2">
      <c r="A40" s="3" t="s">
        <v>15</v>
      </c>
      <c r="B40" s="5">
        <v>46245</v>
      </c>
      <c r="C40" s="3">
        <v>444.71</v>
      </c>
      <c r="D40" s="3">
        <v>343.11</v>
      </c>
      <c r="E40" s="3">
        <v>101.6</v>
      </c>
    </row>
    <row r="41" spans="1:5" x14ac:dyDescent="0.2">
      <c r="A41" s="3" t="s">
        <v>0</v>
      </c>
      <c r="B41" s="5">
        <v>46249</v>
      </c>
      <c r="C41" s="3">
        <v>485.05</v>
      </c>
      <c r="D41" s="3">
        <v>395.7</v>
      </c>
      <c r="E41" s="3">
        <v>89.35</v>
      </c>
    </row>
    <row r="42" spans="1:5" x14ac:dyDescent="0.2">
      <c r="A42" s="3" t="s">
        <v>7</v>
      </c>
      <c r="B42" s="5">
        <v>46249</v>
      </c>
      <c r="C42" s="3">
        <v>469.69</v>
      </c>
      <c r="D42" s="3">
        <v>234.86</v>
      </c>
      <c r="E42" s="3">
        <v>234.83</v>
      </c>
    </row>
    <row r="43" spans="1:5" x14ac:dyDescent="0.2">
      <c r="A43" s="3" t="s">
        <v>11</v>
      </c>
      <c r="B43" s="5">
        <v>46251</v>
      </c>
      <c r="C43" s="3">
        <v>370.15</v>
      </c>
      <c r="D43" s="3">
        <v>292.05</v>
      </c>
      <c r="E43" s="3">
        <v>78.099999999999994</v>
      </c>
    </row>
    <row r="44" spans="1:5" x14ac:dyDescent="0.2">
      <c r="A44" s="3" t="s">
        <v>14</v>
      </c>
      <c r="B44" s="5">
        <v>46257</v>
      </c>
      <c r="C44" s="3">
        <v>547.02</v>
      </c>
      <c r="D44" s="3">
        <v>441.7</v>
      </c>
      <c r="E44" s="3">
        <v>105.32</v>
      </c>
    </row>
    <row r="45" spans="1:5" x14ac:dyDescent="0.2">
      <c r="A45" s="3" t="s">
        <v>12</v>
      </c>
      <c r="B45" s="5">
        <v>46271</v>
      </c>
      <c r="C45" s="3">
        <v>541.13</v>
      </c>
      <c r="D45" s="3">
        <v>384.87</v>
      </c>
      <c r="E45" s="3">
        <v>156.26</v>
      </c>
    </row>
    <row r="46" spans="1:5" x14ac:dyDescent="0.2">
      <c r="A46" s="3" t="s">
        <v>6</v>
      </c>
      <c r="B46" s="5">
        <v>46272</v>
      </c>
      <c r="C46" s="3">
        <v>307.85000000000002</v>
      </c>
      <c r="D46" s="3">
        <v>214.55</v>
      </c>
      <c r="E46" s="3">
        <v>93.3</v>
      </c>
    </row>
    <row r="47" spans="1:5" x14ac:dyDescent="0.2">
      <c r="A47" s="3" t="s">
        <v>15</v>
      </c>
      <c r="B47" s="5">
        <v>46276</v>
      </c>
      <c r="C47" s="3">
        <v>444.71</v>
      </c>
      <c r="D47" s="3">
        <v>345.66</v>
      </c>
      <c r="E47" s="3">
        <v>99.05</v>
      </c>
    </row>
    <row r="48" spans="1:5" x14ac:dyDescent="0.2">
      <c r="A48" s="3" t="s">
        <v>0</v>
      </c>
      <c r="B48" s="5">
        <v>46280</v>
      </c>
      <c r="C48" s="3">
        <v>485.05</v>
      </c>
      <c r="D48" s="3">
        <v>398.31</v>
      </c>
      <c r="E48" s="3">
        <v>86.74</v>
      </c>
    </row>
    <row r="49" spans="1:5" x14ac:dyDescent="0.2">
      <c r="A49" s="3" t="s">
        <v>7</v>
      </c>
      <c r="B49" s="5">
        <v>46280</v>
      </c>
      <c r="C49" s="3">
        <v>469.69</v>
      </c>
      <c r="D49" s="3">
        <v>236.28</v>
      </c>
      <c r="E49" s="3">
        <v>233.41</v>
      </c>
    </row>
    <row r="50" spans="1:5" x14ac:dyDescent="0.2">
      <c r="A50" s="3" t="s">
        <v>11</v>
      </c>
      <c r="B50" s="5">
        <v>46282</v>
      </c>
      <c r="C50" s="3">
        <v>370.15</v>
      </c>
      <c r="D50" s="3">
        <v>294.14999999999998</v>
      </c>
      <c r="E50" s="3">
        <v>76</v>
      </c>
    </row>
    <row r="51" spans="1:5" x14ac:dyDescent="0.2">
      <c r="A51" s="3" t="s">
        <v>14</v>
      </c>
      <c r="B51" s="5">
        <v>46288</v>
      </c>
      <c r="C51" s="3">
        <v>547.02</v>
      </c>
      <c r="D51" s="3">
        <v>443.9</v>
      </c>
      <c r="E51" s="3">
        <v>103.12</v>
      </c>
    </row>
    <row r="52" spans="1:5" x14ac:dyDescent="0.2">
      <c r="A52" s="3" t="s">
        <v>8</v>
      </c>
      <c r="B52" s="5">
        <v>46291</v>
      </c>
      <c r="C52" s="3">
        <v>863.37</v>
      </c>
      <c r="D52" s="3">
        <v>349.12</v>
      </c>
      <c r="E52" s="3">
        <v>514.25</v>
      </c>
    </row>
    <row r="53" spans="1:5" x14ac:dyDescent="0.2">
      <c r="A53" s="3" t="s">
        <v>13</v>
      </c>
      <c r="B53" s="5">
        <v>46292</v>
      </c>
      <c r="C53" s="3">
        <v>607.19000000000005</v>
      </c>
      <c r="D53" s="3">
        <v>345.76</v>
      </c>
      <c r="E53" s="3">
        <v>261.43</v>
      </c>
    </row>
    <row r="54" spans="1:5" x14ac:dyDescent="0.2">
      <c r="A54" s="3" t="s">
        <v>33</v>
      </c>
      <c r="B54" s="5">
        <v>46299</v>
      </c>
      <c r="C54" s="3">
        <v>976.56</v>
      </c>
      <c r="D54" s="3">
        <v>772.36</v>
      </c>
      <c r="E54" s="3">
        <v>204.2</v>
      </c>
    </row>
    <row r="55" spans="1:5" x14ac:dyDescent="0.2">
      <c r="A55" s="3" t="s">
        <v>12</v>
      </c>
      <c r="B55" s="5">
        <v>46301</v>
      </c>
      <c r="C55" s="3">
        <v>541.13</v>
      </c>
      <c r="D55" s="3">
        <v>389.12</v>
      </c>
      <c r="E55" s="3">
        <v>152.01</v>
      </c>
    </row>
    <row r="56" spans="1:5" x14ac:dyDescent="0.2">
      <c r="A56" s="3" t="s">
        <v>6</v>
      </c>
      <c r="B56" s="5">
        <v>46302</v>
      </c>
      <c r="C56" s="3">
        <v>307.85000000000002</v>
      </c>
      <c r="D56" s="3">
        <v>217.07</v>
      </c>
      <c r="E56" s="3">
        <v>90.78</v>
      </c>
    </row>
    <row r="57" spans="1:5" x14ac:dyDescent="0.2">
      <c r="A57" s="3" t="s">
        <v>10</v>
      </c>
      <c r="B57" s="5">
        <v>46303</v>
      </c>
      <c r="C57" s="3">
        <v>313.19</v>
      </c>
      <c r="D57" s="3">
        <v>145.19999999999999</v>
      </c>
      <c r="E57" s="3">
        <v>167.99</v>
      </c>
    </row>
    <row r="58" spans="1:5" x14ac:dyDescent="0.2">
      <c r="A58" s="3" t="s">
        <v>15</v>
      </c>
      <c r="B58" s="5">
        <v>46306</v>
      </c>
      <c r="C58" s="3">
        <v>444.71</v>
      </c>
      <c r="D58" s="3">
        <v>348.23</v>
      </c>
      <c r="E58" s="3">
        <v>96.48</v>
      </c>
    </row>
    <row r="59" spans="1:5" x14ac:dyDescent="0.2">
      <c r="A59" s="3" t="s">
        <v>0</v>
      </c>
      <c r="B59" s="5">
        <v>46310</v>
      </c>
      <c r="C59" s="3">
        <v>485.05</v>
      </c>
      <c r="D59" s="3">
        <v>400.93</v>
      </c>
      <c r="E59" s="3">
        <v>84.12</v>
      </c>
    </row>
    <row r="60" spans="1:5" x14ac:dyDescent="0.2">
      <c r="A60" s="3" t="s">
        <v>7</v>
      </c>
      <c r="B60" s="5">
        <v>46310</v>
      </c>
      <c r="C60" s="3">
        <v>469.69</v>
      </c>
      <c r="D60" s="3">
        <v>237.71</v>
      </c>
      <c r="E60" s="3">
        <v>231.98</v>
      </c>
    </row>
    <row r="61" spans="1:5" x14ac:dyDescent="0.2">
      <c r="A61" s="3" t="s">
        <v>11</v>
      </c>
      <c r="B61" s="5">
        <v>46312</v>
      </c>
      <c r="C61" s="3">
        <v>370.15</v>
      </c>
      <c r="D61" s="3">
        <v>296.27</v>
      </c>
      <c r="E61" s="3">
        <v>73.88</v>
      </c>
    </row>
    <row r="62" spans="1:5" x14ac:dyDescent="0.2">
      <c r="A62" s="3" t="s">
        <v>14</v>
      </c>
      <c r="B62" s="5">
        <v>46318</v>
      </c>
      <c r="C62" s="3">
        <v>547.02</v>
      </c>
      <c r="D62" s="3">
        <v>446.11</v>
      </c>
      <c r="E62" s="3">
        <v>100.91</v>
      </c>
    </row>
    <row r="63" spans="1:5" x14ac:dyDescent="0.2">
      <c r="A63" s="3" t="s">
        <v>12</v>
      </c>
      <c r="B63" s="5">
        <v>46332</v>
      </c>
      <c r="C63" s="3">
        <v>541.13</v>
      </c>
      <c r="D63" s="3">
        <v>393.42</v>
      </c>
      <c r="E63" s="3">
        <v>147.71</v>
      </c>
    </row>
    <row r="64" spans="1:5" x14ac:dyDescent="0.2">
      <c r="A64" s="3" t="s">
        <v>6</v>
      </c>
      <c r="B64" s="5">
        <v>46333</v>
      </c>
      <c r="C64" s="3">
        <v>307.85000000000002</v>
      </c>
      <c r="D64" s="3">
        <v>219.61</v>
      </c>
      <c r="E64" s="3">
        <v>88.24</v>
      </c>
    </row>
    <row r="65" spans="1:5" x14ac:dyDescent="0.2">
      <c r="A65" s="3" t="s">
        <v>15</v>
      </c>
      <c r="B65" s="5">
        <v>46337</v>
      </c>
      <c r="C65" s="3">
        <v>444.71</v>
      </c>
      <c r="D65" s="3">
        <v>350.82</v>
      </c>
      <c r="E65" s="3">
        <v>93.89</v>
      </c>
    </row>
    <row r="66" spans="1:5" x14ac:dyDescent="0.2">
      <c r="A66" s="3" t="s">
        <v>0</v>
      </c>
      <c r="B66" s="5">
        <v>46341</v>
      </c>
      <c r="C66" s="3">
        <v>485.05</v>
      </c>
      <c r="D66" s="3">
        <v>403.57</v>
      </c>
      <c r="E66" s="3">
        <v>81.48</v>
      </c>
    </row>
    <row r="67" spans="1:5" x14ac:dyDescent="0.2">
      <c r="A67" s="3" t="s">
        <v>7</v>
      </c>
      <c r="B67" s="5">
        <v>46341</v>
      </c>
      <c r="C67" s="3">
        <v>469.69</v>
      </c>
      <c r="D67" s="3">
        <v>239.15</v>
      </c>
      <c r="E67" s="3">
        <v>230.54</v>
      </c>
    </row>
    <row r="68" spans="1:5" x14ac:dyDescent="0.2">
      <c r="A68" s="3" t="s">
        <v>11</v>
      </c>
      <c r="B68" s="5">
        <v>46343</v>
      </c>
      <c r="C68" s="3">
        <v>370.15</v>
      </c>
      <c r="D68" s="3">
        <v>298.41000000000003</v>
      </c>
      <c r="E68" s="3">
        <v>71.739999999999995</v>
      </c>
    </row>
    <row r="69" spans="1:5" x14ac:dyDescent="0.2">
      <c r="A69" s="3" t="s">
        <v>9</v>
      </c>
      <c r="B69" s="5">
        <v>46347</v>
      </c>
      <c r="C69" s="3">
        <v>1490.21</v>
      </c>
      <c r="D69" s="3">
        <v>404.8</v>
      </c>
      <c r="E69" s="3">
        <v>1085.4100000000001</v>
      </c>
    </row>
    <row r="70" spans="1:5" x14ac:dyDescent="0.2">
      <c r="A70" s="3" t="s">
        <v>14</v>
      </c>
      <c r="B70" s="5">
        <v>46349</v>
      </c>
      <c r="C70" s="3">
        <v>547.02</v>
      </c>
      <c r="D70" s="3">
        <v>448.34</v>
      </c>
      <c r="E70" s="3">
        <v>98.68</v>
      </c>
    </row>
    <row r="71" spans="1:5" x14ac:dyDescent="0.2">
      <c r="A71" s="3" t="s">
        <v>13</v>
      </c>
      <c r="B71" s="5">
        <v>46353</v>
      </c>
      <c r="C71" s="3">
        <v>607.19000000000005</v>
      </c>
      <c r="D71" s="3">
        <v>353.05</v>
      </c>
      <c r="E71" s="3">
        <v>254.14</v>
      </c>
    </row>
    <row r="72" spans="1:5" x14ac:dyDescent="0.2">
      <c r="A72" s="3" t="s">
        <v>12</v>
      </c>
      <c r="B72" s="5">
        <v>46362</v>
      </c>
      <c r="C72" s="3">
        <v>541.13</v>
      </c>
      <c r="D72" s="3">
        <v>397.77</v>
      </c>
      <c r="E72" s="3">
        <v>143.36000000000001</v>
      </c>
    </row>
    <row r="73" spans="1:5" x14ac:dyDescent="0.2">
      <c r="A73" s="3" t="s">
        <v>6</v>
      </c>
      <c r="B73" s="5">
        <v>46363</v>
      </c>
      <c r="C73" s="3">
        <v>307.85000000000002</v>
      </c>
      <c r="D73" s="3">
        <v>222.18</v>
      </c>
      <c r="E73" s="3">
        <v>85.67</v>
      </c>
    </row>
    <row r="74" spans="1:5" x14ac:dyDescent="0.2">
      <c r="A74" s="3" t="s">
        <v>15</v>
      </c>
      <c r="B74" s="5">
        <v>46367</v>
      </c>
      <c r="C74" s="3">
        <v>444.71</v>
      </c>
      <c r="D74" s="3">
        <v>353.43</v>
      </c>
      <c r="E74" s="3">
        <v>91.28</v>
      </c>
    </row>
    <row r="75" spans="1:5" x14ac:dyDescent="0.2">
      <c r="A75" s="3" t="s">
        <v>0</v>
      </c>
      <c r="B75" s="5">
        <v>46371</v>
      </c>
      <c r="C75" s="3">
        <v>485.05</v>
      </c>
      <c r="D75" s="3">
        <v>406.23</v>
      </c>
      <c r="E75" s="3">
        <v>78.819999999999993</v>
      </c>
    </row>
    <row r="76" spans="1:5" x14ac:dyDescent="0.2">
      <c r="A76" s="3" t="s">
        <v>7</v>
      </c>
      <c r="B76" s="5">
        <v>46371</v>
      </c>
      <c r="C76" s="3">
        <v>469.69</v>
      </c>
      <c r="D76" s="3">
        <v>240.6</v>
      </c>
      <c r="E76" s="3">
        <v>229.09</v>
      </c>
    </row>
    <row r="77" spans="1:5" x14ac:dyDescent="0.2">
      <c r="A77" s="3" t="s">
        <v>11</v>
      </c>
      <c r="B77" s="5">
        <v>46373</v>
      </c>
      <c r="C77" s="3">
        <v>370.15</v>
      </c>
      <c r="D77" s="3">
        <v>300.56</v>
      </c>
      <c r="E77" s="3">
        <v>69.59</v>
      </c>
    </row>
    <row r="78" spans="1:5" x14ac:dyDescent="0.2">
      <c r="A78" s="3" t="s">
        <v>14</v>
      </c>
      <c r="B78" s="5">
        <v>46379</v>
      </c>
      <c r="C78" s="3">
        <v>547.02</v>
      </c>
      <c r="D78" s="3">
        <v>450.57</v>
      </c>
      <c r="E78" s="3">
        <v>96.45</v>
      </c>
    </row>
    <row r="79" spans="1:5" x14ac:dyDescent="0.2">
      <c r="A79" s="3" t="s">
        <v>8</v>
      </c>
      <c r="B79" s="5">
        <v>46382</v>
      </c>
      <c r="C79" s="3">
        <v>863.37</v>
      </c>
      <c r="D79" s="3">
        <v>357.53</v>
      </c>
      <c r="E79" s="3">
        <v>505.84</v>
      </c>
    </row>
    <row r="80" spans="1:5" x14ac:dyDescent="0.2">
      <c r="A80" s="3" t="s">
        <v>12</v>
      </c>
      <c r="B80" s="5">
        <v>46393</v>
      </c>
      <c r="C80" s="3">
        <v>541.13</v>
      </c>
      <c r="D80" s="3">
        <v>402.17</v>
      </c>
      <c r="E80" s="3">
        <v>138.96</v>
      </c>
    </row>
    <row r="81" spans="1:5" x14ac:dyDescent="0.2">
      <c r="A81" s="3" t="s">
        <v>6</v>
      </c>
      <c r="B81" s="5">
        <v>46394</v>
      </c>
      <c r="C81" s="3">
        <v>307.85000000000002</v>
      </c>
      <c r="D81" s="3">
        <v>224.79</v>
      </c>
      <c r="E81" s="3">
        <v>83.06</v>
      </c>
    </row>
    <row r="82" spans="1:5" x14ac:dyDescent="0.2">
      <c r="A82" s="3" t="s">
        <v>10</v>
      </c>
      <c r="B82" s="5">
        <v>46395</v>
      </c>
      <c r="C82" s="3">
        <v>313.19</v>
      </c>
      <c r="D82" s="3">
        <v>150.36000000000001</v>
      </c>
      <c r="E82" s="3">
        <v>162.83000000000001</v>
      </c>
    </row>
    <row r="83" spans="1:5" x14ac:dyDescent="0.2">
      <c r="A83" s="3" t="s">
        <v>15</v>
      </c>
      <c r="B83" s="5">
        <v>46398</v>
      </c>
      <c r="C83" s="3">
        <v>444.71</v>
      </c>
      <c r="D83" s="3">
        <v>356.06</v>
      </c>
      <c r="E83" s="3">
        <v>88.65</v>
      </c>
    </row>
    <row r="84" spans="1:5" x14ac:dyDescent="0.2">
      <c r="A84" s="3" t="s">
        <v>0</v>
      </c>
      <c r="B84" s="5">
        <v>46402</v>
      </c>
      <c r="C84" s="3">
        <v>485.05</v>
      </c>
      <c r="D84" s="3">
        <v>408.91</v>
      </c>
      <c r="E84" s="3">
        <v>76.14</v>
      </c>
    </row>
    <row r="85" spans="1:5" x14ac:dyDescent="0.2">
      <c r="A85" s="3" t="s">
        <v>7</v>
      </c>
      <c r="B85" s="5">
        <v>46402</v>
      </c>
      <c r="C85" s="3">
        <v>469.69</v>
      </c>
      <c r="D85" s="3">
        <v>242.05</v>
      </c>
      <c r="E85" s="3">
        <v>227.64</v>
      </c>
    </row>
    <row r="86" spans="1:5" x14ac:dyDescent="0.2">
      <c r="A86" s="3" t="s">
        <v>11</v>
      </c>
      <c r="B86" s="5">
        <v>46404</v>
      </c>
      <c r="C86" s="3">
        <v>370.15</v>
      </c>
      <c r="D86" s="3">
        <v>302.73</v>
      </c>
      <c r="E86" s="3">
        <v>67.42</v>
      </c>
    </row>
    <row r="87" spans="1:5" x14ac:dyDescent="0.2">
      <c r="A87" s="3" t="s">
        <v>14</v>
      </c>
      <c r="B87" s="5">
        <v>46410</v>
      </c>
      <c r="C87" s="3">
        <v>547.02</v>
      </c>
      <c r="D87" s="3">
        <v>452.82</v>
      </c>
      <c r="E87" s="3">
        <v>94.2</v>
      </c>
    </row>
    <row r="88" spans="1:5" x14ac:dyDescent="0.2">
      <c r="A88" s="3" t="s">
        <v>13</v>
      </c>
      <c r="B88" s="5">
        <v>46414</v>
      </c>
      <c r="C88" s="3">
        <v>607.19000000000005</v>
      </c>
      <c r="D88" s="3">
        <v>360.49</v>
      </c>
      <c r="E88" s="3">
        <v>246.7</v>
      </c>
    </row>
    <row r="89" spans="1:5" x14ac:dyDescent="0.2">
      <c r="A89" s="3" t="s">
        <v>12</v>
      </c>
      <c r="B89" s="5">
        <v>46424</v>
      </c>
      <c r="C89" s="3">
        <v>541.13</v>
      </c>
      <c r="D89" s="3">
        <v>406.61</v>
      </c>
      <c r="E89" s="3">
        <v>134.52000000000001</v>
      </c>
    </row>
    <row r="90" spans="1:5" x14ac:dyDescent="0.2">
      <c r="A90" s="3" t="s">
        <v>6</v>
      </c>
      <c r="B90" s="5">
        <v>46425</v>
      </c>
      <c r="C90" s="3">
        <v>307.85000000000002</v>
      </c>
      <c r="D90" s="3">
        <v>227.42</v>
      </c>
      <c r="E90" s="3">
        <v>80.430000000000007</v>
      </c>
    </row>
    <row r="91" spans="1:5" x14ac:dyDescent="0.2">
      <c r="A91" s="3" t="s">
        <v>15</v>
      </c>
      <c r="B91" s="5">
        <v>46429</v>
      </c>
      <c r="C91" s="3">
        <v>444.71</v>
      </c>
      <c r="D91" s="3">
        <v>358.71</v>
      </c>
      <c r="E91" s="3">
        <v>86</v>
      </c>
    </row>
    <row r="92" spans="1:5" x14ac:dyDescent="0.2">
      <c r="A92" s="3" t="s">
        <v>0</v>
      </c>
      <c r="B92" s="5">
        <v>46433</v>
      </c>
      <c r="C92" s="3">
        <v>485.05</v>
      </c>
      <c r="D92" s="3">
        <v>411.6</v>
      </c>
      <c r="E92" s="3">
        <v>73.45</v>
      </c>
    </row>
    <row r="93" spans="1:5" x14ac:dyDescent="0.2">
      <c r="A93" s="3" t="s">
        <v>7</v>
      </c>
      <c r="B93" s="5">
        <v>46433</v>
      </c>
      <c r="C93" s="3">
        <v>469.69</v>
      </c>
      <c r="D93" s="3">
        <v>243.51</v>
      </c>
      <c r="E93" s="3">
        <v>226.18</v>
      </c>
    </row>
    <row r="94" spans="1:5" x14ac:dyDescent="0.2">
      <c r="A94" s="3" t="s">
        <v>11</v>
      </c>
      <c r="B94" s="5">
        <v>46435</v>
      </c>
      <c r="C94" s="3">
        <v>370.15</v>
      </c>
      <c r="D94" s="3">
        <v>304.91000000000003</v>
      </c>
      <c r="E94" s="3">
        <v>65.239999999999995</v>
      </c>
    </row>
    <row r="95" spans="1:5" x14ac:dyDescent="0.2">
      <c r="A95" s="3" t="s">
        <v>14</v>
      </c>
      <c r="B95" s="5">
        <v>46441</v>
      </c>
      <c r="C95" s="3">
        <v>547.02</v>
      </c>
      <c r="D95" s="3">
        <v>455.07</v>
      </c>
      <c r="E95" s="3">
        <v>91.95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7B5666-BE63-4227-8559-8FB9F050BE2B}">
  <sheetPr codeName="Sheet16"/>
  <dimension ref="B2:C33"/>
  <sheetViews>
    <sheetView tabSelected="1" workbookViewId="0">
      <selection activeCell="O14" sqref="O14"/>
    </sheetView>
  </sheetViews>
  <sheetFormatPr defaultRowHeight="14.25" x14ac:dyDescent="0.2"/>
  <cols>
    <col min="2" max="2" width="13.125" bestFit="1" customWidth="1"/>
    <col min="3" max="3" width="22.5" bestFit="1" customWidth="1"/>
    <col min="4" max="12" width="6.875" bestFit="1" customWidth="1"/>
    <col min="13" max="13" width="7.875" bestFit="1" customWidth="1"/>
    <col min="14" max="14" width="11.375" bestFit="1" customWidth="1"/>
  </cols>
  <sheetData>
    <row r="2" spans="2:3" x14ac:dyDescent="0.2">
      <c r="B2" s="6" t="s">
        <v>16</v>
      </c>
      <c r="C2" t="s">
        <v>20</v>
      </c>
    </row>
    <row r="3" spans="2:3" x14ac:dyDescent="0.2">
      <c r="B3" s="7" t="s">
        <v>18</v>
      </c>
      <c r="C3" s="2">
        <v>40650.420000000006</v>
      </c>
    </row>
    <row r="4" spans="2:3" x14ac:dyDescent="0.2">
      <c r="B4" s="8" t="s">
        <v>21</v>
      </c>
      <c r="C4" s="2">
        <v>2972.32</v>
      </c>
    </row>
    <row r="5" spans="2:3" x14ac:dyDescent="0.2">
      <c r="B5" s="8" t="s">
        <v>22</v>
      </c>
      <c r="C5" s="2">
        <v>3640.4900000000002</v>
      </c>
    </row>
    <row r="6" spans="2:3" x14ac:dyDescent="0.2">
      <c r="B6" s="8" t="s">
        <v>23</v>
      </c>
      <c r="C6" s="2">
        <v>4818.2900000000009</v>
      </c>
    </row>
    <row r="7" spans="2:3" x14ac:dyDescent="0.2">
      <c r="B7" s="8" t="s">
        <v>24</v>
      </c>
      <c r="C7" s="2">
        <v>3584.2599999999998</v>
      </c>
    </row>
    <row r="8" spans="2:3" x14ac:dyDescent="0.2">
      <c r="B8" s="8" t="s">
        <v>25</v>
      </c>
      <c r="C8" s="2">
        <v>4085.9800000000005</v>
      </c>
    </row>
    <row r="9" spans="2:3" x14ac:dyDescent="0.2">
      <c r="B9" s="8" t="s">
        <v>26</v>
      </c>
      <c r="C9" s="2">
        <v>3165.6</v>
      </c>
    </row>
    <row r="10" spans="2:3" x14ac:dyDescent="0.2">
      <c r="B10" s="8" t="s">
        <v>27</v>
      </c>
      <c r="C10" s="2">
        <v>4636.16</v>
      </c>
    </row>
    <row r="11" spans="2:3" x14ac:dyDescent="0.2">
      <c r="B11" s="8" t="s">
        <v>28</v>
      </c>
      <c r="C11" s="2">
        <v>4455.3500000000004</v>
      </c>
    </row>
    <row r="12" spans="2:3" x14ac:dyDescent="0.2">
      <c r="B12" s="8" t="s">
        <v>29</v>
      </c>
      <c r="C12" s="2">
        <v>5263</v>
      </c>
    </row>
    <row r="13" spans="2:3" x14ac:dyDescent="0.2">
      <c r="B13" s="8" t="s">
        <v>30</v>
      </c>
      <c r="C13" s="2">
        <v>4028.97</v>
      </c>
    </row>
    <row r="14" spans="2:3" x14ac:dyDescent="0.2">
      <c r="B14" s="7" t="s">
        <v>19</v>
      </c>
      <c r="C14" s="2">
        <v>7251.58</v>
      </c>
    </row>
    <row r="15" spans="2:3" x14ac:dyDescent="0.2">
      <c r="B15" s="8" t="s">
        <v>31</v>
      </c>
      <c r="C15" s="2">
        <v>4085.9800000000005</v>
      </c>
    </row>
    <row r="16" spans="2:3" x14ac:dyDescent="0.2">
      <c r="B16" s="8" t="s">
        <v>32</v>
      </c>
      <c r="C16" s="2">
        <v>3165.6</v>
      </c>
    </row>
    <row r="17" spans="2:3" x14ac:dyDescent="0.2">
      <c r="B17" s="7" t="s">
        <v>17</v>
      </c>
      <c r="C17" s="2">
        <v>47902.000000000007</v>
      </c>
    </row>
    <row r="20" spans="2:3" x14ac:dyDescent="0.2">
      <c r="B20" s="6" t="s">
        <v>16</v>
      </c>
      <c r="C20" t="s">
        <v>20</v>
      </c>
    </row>
    <row r="21" spans="2:3" x14ac:dyDescent="0.2">
      <c r="B21" s="7" t="s">
        <v>21</v>
      </c>
      <c r="C21" s="9">
        <v>6.2050018788359564E-2</v>
      </c>
    </row>
    <row r="22" spans="2:3" x14ac:dyDescent="0.2">
      <c r="B22" s="7" t="s">
        <v>22</v>
      </c>
      <c r="C22" s="9">
        <v>0.1380487244791449</v>
      </c>
    </row>
    <row r="23" spans="2:3" x14ac:dyDescent="0.2">
      <c r="B23" s="7" t="s">
        <v>23</v>
      </c>
      <c r="C23" s="9">
        <v>0.23863513005720013</v>
      </c>
    </row>
    <row r="24" spans="2:3" x14ac:dyDescent="0.2">
      <c r="B24" s="7" t="s">
        <v>24</v>
      </c>
      <c r="C24" s="9">
        <v>0.31345998079412135</v>
      </c>
    </row>
    <row r="25" spans="2:3" x14ac:dyDescent="0.2">
      <c r="B25" s="7" t="s">
        <v>25</v>
      </c>
      <c r="C25" s="9">
        <v>0.39875871571124383</v>
      </c>
    </row>
    <row r="26" spans="2:3" x14ac:dyDescent="0.2">
      <c r="B26" s="7" t="s">
        <v>26</v>
      </c>
      <c r="C26" s="9">
        <v>0.46484363909648863</v>
      </c>
    </row>
    <row r="27" spans="2:3" x14ac:dyDescent="0.2">
      <c r="B27" s="7" t="s">
        <v>27</v>
      </c>
      <c r="C27" s="9">
        <v>0.56162790697674414</v>
      </c>
    </row>
    <row r="28" spans="2:3" x14ac:dyDescent="0.2">
      <c r="B28" s="7" t="s">
        <v>28</v>
      </c>
      <c r="C28" s="9">
        <v>0.65463759341989891</v>
      </c>
    </row>
    <row r="29" spans="2:3" x14ac:dyDescent="0.2">
      <c r="B29" s="7" t="s">
        <v>29</v>
      </c>
      <c r="C29" s="9">
        <v>0.76450774497933283</v>
      </c>
    </row>
    <row r="30" spans="2:3" x14ac:dyDescent="0.2">
      <c r="B30" s="7" t="s">
        <v>30</v>
      </c>
      <c r="C30" s="9">
        <v>0.84861634169763267</v>
      </c>
    </row>
    <row r="31" spans="2:3" x14ac:dyDescent="0.2">
      <c r="B31" s="7" t="s">
        <v>31</v>
      </c>
      <c r="C31" s="9">
        <v>0.93391507661475515</v>
      </c>
    </row>
    <row r="32" spans="2:3" x14ac:dyDescent="0.2">
      <c r="B32" s="7" t="s">
        <v>32</v>
      </c>
      <c r="C32" s="9">
        <v>1</v>
      </c>
    </row>
    <row r="33" spans="2:3" x14ac:dyDescent="0.2">
      <c r="B33" s="7" t="s">
        <v>17</v>
      </c>
      <c r="C33" s="9"/>
    </row>
  </sheetData>
  <sortState xmlns:xlrd2="http://schemas.microsoft.com/office/spreadsheetml/2017/richdata2" ref="B20:C33">
    <sortCondition ref="B21" customList="Mar,Apr,May,Jun,Jul,Aug,Sep,Oct,Nov,Dec,Jan,Feb"/>
  </sortState>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02F4B-5373-4A94-963A-6B91C4C5EE96}">
  <sheetPr codeName="Sheet17"/>
  <dimension ref="A1:E6"/>
  <sheetViews>
    <sheetView workbookViewId="0">
      <selection activeCell="D10" sqref="D10"/>
    </sheetView>
  </sheetViews>
  <sheetFormatPr defaultRowHeight="14.25" x14ac:dyDescent="0.2"/>
  <cols>
    <col min="1" max="1" width="11.25" bestFit="1" customWidth="1"/>
    <col min="2" max="2" width="15.125" bestFit="1" customWidth="1"/>
    <col min="3" max="3" width="17.625" bestFit="1" customWidth="1"/>
    <col min="4" max="4" width="10.625" bestFit="1" customWidth="1"/>
    <col min="5" max="5" width="9.75" bestFit="1" customWidth="1"/>
  </cols>
  <sheetData>
    <row r="1" spans="1:5" x14ac:dyDescent="0.2">
      <c r="A1" s="3" t="s">
        <v>3</v>
      </c>
      <c r="B1" s="3" t="s">
        <v>4</v>
      </c>
      <c r="C1" s="3" t="s">
        <v>5</v>
      </c>
      <c r="D1" s="3" t="s">
        <v>1</v>
      </c>
      <c r="E1" s="3" t="s">
        <v>2</v>
      </c>
    </row>
    <row r="2" spans="1:5" x14ac:dyDescent="0.2">
      <c r="A2" s="4" t="s">
        <v>0</v>
      </c>
      <c r="B2" s="5">
        <v>46096</v>
      </c>
      <c r="C2" s="3">
        <v>485.05</v>
      </c>
      <c r="D2" s="3">
        <v>382.92</v>
      </c>
      <c r="E2" s="3">
        <v>102.13</v>
      </c>
    </row>
    <row r="3" spans="1:5" x14ac:dyDescent="0.2">
      <c r="A3" s="4" t="s">
        <v>7</v>
      </c>
      <c r="B3" s="5">
        <v>46096</v>
      </c>
      <c r="C3" s="3">
        <v>469.69</v>
      </c>
      <c r="D3" s="3">
        <v>227.89</v>
      </c>
      <c r="E3" s="3">
        <v>241.8</v>
      </c>
    </row>
    <row r="4" spans="1:5" x14ac:dyDescent="0.2">
      <c r="A4" s="4" t="s">
        <v>8</v>
      </c>
      <c r="B4" s="5">
        <v>46107</v>
      </c>
      <c r="C4" s="3">
        <v>863.37</v>
      </c>
      <c r="D4" s="3">
        <v>332.87</v>
      </c>
      <c r="E4" s="3">
        <v>530.5</v>
      </c>
    </row>
    <row r="5" spans="1:5" x14ac:dyDescent="0.2">
      <c r="A5" s="4" t="s">
        <v>13</v>
      </c>
      <c r="B5" s="5">
        <v>46108</v>
      </c>
      <c r="C5" s="3">
        <v>607.19000000000005</v>
      </c>
      <c r="D5" s="3">
        <v>324.79000000000002</v>
      </c>
      <c r="E5" s="3">
        <v>282.39999999999998</v>
      </c>
    </row>
    <row r="6" spans="1:5" x14ac:dyDescent="0.2">
      <c r="A6" s="4" t="s">
        <v>14</v>
      </c>
      <c r="B6" s="5">
        <v>46104</v>
      </c>
      <c r="C6" s="3">
        <v>547.02</v>
      </c>
      <c r="D6" s="3">
        <v>430.85</v>
      </c>
      <c r="E6" s="3">
        <v>116.17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E2F4F-1844-48CB-A41B-5DA87432D4DC}">
  <sheetPr codeName="Sheet18"/>
  <dimension ref="A1:E8"/>
  <sheetViews>
    <sheetView workbookViewId="0">
      <selection sqref="A1:E7"/>
    </sheetView>
  </sheetViews>
  <sheetFormatPr defaultRowHeight="14.25" x14ac:dyDescent="0.2"/>
  <cols>
    <col min="1" max="1" width="11.25" bestFit="1" customWidth="1"/>
    <col min="2" max="2" width="15.125" bestFit="1" customWidth="1"/>
    <col min="3" max="3" width="17.625" bestFit="1" customWidth="1"/>
    <col min="4" max="4" width="10.625" bestFit="1" customWidth="1"/>
    <col min="5" max="5" width="9.75" bestFit="1" customWidth="1"/>
  </cols>
  <sheetData>
    <row r="1" spans="1:5" x14ac:dyDescent="0.2">
      <c r="A1" s="3" t="s">
        <v>3</v>
      </c>
      <c r="B1" s="3" t="s">
        <v>4</v>
      </c>
      <c r="C1" s="3" t="s">
        <v>5</v>
      </c>
      <c r="D1" s="3" t="s">
        <v>1</v>
      </c>
      <c r="E1" s="3" t="s">
        <v>2</v>
      </c>
    </row>
    <row r="2" spans="1:5" x14ac:dyDescent="0.2">
      <c r="A2" s="4" t="s">
        <v>6</v>
      </c>
      <c r="B2" s="5">
        <v>46119</v>
      </c>
      <c r="C2" s="3">
        <v>307.85000000000002</v>
      </c>
      <c r="D2" s="3">
        <v>202.42</v>
      </c>
      <c r="E2" s="3">
        <v>105.43</v>
      </c>
    </row>
    <row r="3" spans="1:5" x14ac:dyDescent="0.2">
      <c r="A3" s="4" t="s">
        <v>0</v>
      </c>
      <c r="B3" s="5">
        <v>46127</v>
      </c>
      <c r="C3" s="3">
        <v>485.05</v>
      </c>
      <c r="D3" s="3">
        <v>385.44</v>
      </c>
      <c r="E3" s="3">
        <v>99.61</v>
      </c>
    </row>
    <row r="4" spans="1:5" x14ac:dyDescent="0.2">
      <c r="A4" s="4" t="s">
        <v>7</v>
      </c>
      <c r="B4" s="5">
        <v>46127</v>
      </c>
      <c r="C4" s="3">
        <v>469.69</v>
      </c>
      <c r="D4" s="3">
        <v>229.27</v>
      </c>
      <c r="E4" s="3">
        <v>240.42</v>
      </c>
    </row>
    <row r="5" spans="1:5" x14ac:dyDescent="0.2">
      <c r="A5" s="4" t="s">
        <v>10</v>
      </c>
      <c r="B5" s="5">
        <v>46120</v>
      </c>
      <c r="C5" s="3">
        <v>313.19</v>
      </c>
      <c r="D5" s="3">
        <v>135.4</v>
      </c>
      <c r="E5" s="3">
        <v>177.79</v>
      </c>
    </row>
    <row r="6" spans="1:5" x14ac:dyDescent="0.2">
      <c r="A6" s="4" t="s">
        <v>12</v>
      </c>
      <c r="B6" s="5">
        <v>46118</v>
      </c>
      <c r="C6" s="3">
        <v>541.13</v>
      </c>
      <c r="D6" s="3">
        <v>364.29</v>
      </c>
      <c r="E6" s="3">
        <v>176.84</v>
      </c>
    </row>
    <row r="7" spans="1:5" x14ac:dyDescent="0.2">
      <c r="A7" s="4" t="s">
        <v>14</v>
      </c>
      <c r="B7" s="5">
        <v>46135</v>
      </c>
      <c r="C7" s="3">
        <v>547.02</v>
      </c>
      <c r="D7" s="3">
        <v>433</v>
      </c>
      <c r="E7" s="3">
        <v>114.02</v>
      </c>
    </row>
    <row r="8" spans="1:5" x14ac:dyDescent="0.2">
      <c r="A8" t="s">
        <v>33</v>
      </c>
      <c r="B8" s="1">
        <v>46116</v>
      </c>
      <c r="C8">
        <v>976.56</v>
      </c>
      <c r="D8">
        <v>762.89</v>
      </c>
      <c r="E8">
        <v>213.67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06C0F-CC17-4BB5-92C8-5D921D17B0B4}">
  <sheetPr codeName="Sheet19"/>
  <dimension ref="A1:E9"/>
  <sheetViews>
    <sheetView workbookViewId="0">
      <selection activeCell="G12" sqref="G12"/>
    </sheetView>
  </sheetViews>
  <sheetFormatPr defaultRowHeight="14.25" x14ac:dyDescent="0.2"/>
  <cols>
    <col min="1" max="1" width="11.25" bestFit="1" customWidth="1"/>
    <col min="2" max="2" width="15.125" bestFit="1" customWidth="1"/>
    <col min="3" max="3" width="17.625" bestFit="1" customWidth="1"/>
    <col min="4" max="4" width="10.625" bestFit="1" customWidth="1"/>
    <col min="5" max="5" width="9.75" bestFit="1" customWidth="1"/>
  </cols>
  <sheetData>
    <row r="1" spans="1:5" x14ac:dyDescent="0.2">
      <c r="A1" s="3" t="s">
        <v>3</v>
      </c>
      <c r="B1" s="3" t="s">
        <v>4</v>
      </c>
      <c r="C1" s="3" t="s">
        <v>5</v>
      </c>
      <c r="D1" s="3" t="s">
        <v>1</v>
      </c>
      <c r="E1" s="3" t="s">
        <v>2</v>
      </c>
    </row>
    <row r="2" spans="1:5" x14ac:dyDescent="0.2">
      <c r="A2" s="4" t="s">
        <v>0</v>
      </c>
      <c r="B2" s="5">
        <v>46157</v>
      </c>
      <c r="C2" s="3">
        <v>485.05</v>
      </c>
      <c r="D2" s="3">
        <v>387.98</v>
      </c>
      <c r="E2" s="3">
        <v>97.07</v>
      </c>
    </row>
    <row r="3" spans="1:5" x14ac:dyDescent="0.2">
      <c r="A3" s="4" t="s">
        <v>6</v>
      </c>
      <c r="B3" s="5">
        <v>46149</v>
      </c>
      <c r="C3" s="3">
        <v>307.85000000000002</v>
      </c>
      <c r="D3" s="3">
        <v>204.79</v>
      </c>
      <c r="E3" s="3">
        <v>103.06</v>
      </c>
    </row>
    <row r="4" spans="1:5" x14ac:dyDescent="0.2">
      <c r="A4" s="4" t="s">
        <v>7</v>
      </c>
      <c r="B4" s="5">
        <v>46157</v>
      </c>
      <c r="C4" s="3">
        <v>469.69</v>
      </c>
      <c r="D4" s="3">
        <v>230.66</v>
      </c>
      <c r="E4" s="3">
        <v>239.03</v>
      </c>
    </row>
    <row r="5" spans="1:5" x14ac:dyDescent="0.2">
      <c r="A5" s="4" t="s">
        <v>9</v>
      </c>
      <c r="B5" s="5">
        <v>46163</v>
      </c>
      <c r="C5" s="3">
        <v>1490.21</v>
      </c>
      <c r="D5" s="3">
        <v>382.5</v>
      </c>
      <c r="E5" s="3">
        <v>1107.71</v>
      </c>
    </row>
    <row r="6" spans="1:5" x14ac:dyDescent="0.2">
      <c r="A6" s="4" t="s">
        <v>11</v>
      </c>
      <c r="B6" s="5">
        <v>46159</v>
      </c>
      <c r="C6" s="3">
        <v>370.15</v>
      </c>
      <c r="D6" s="3">
        <v>285.82</v>
      </c>
      <c r="E6" s="3">
        <v>84.33</v>
      </c>
    </row>
    <row r="7" spans="1:5" x14ac:dyDescent="0.2">
      <c r="A7" s="4" t="s">
        <v>12</v>
      </c>
      <c r="B7" s="5">
        <v>46148</v>
      </c>
      <c r="C7" s="3">
        <v>541.13</v>
      </c>
      <c r="D7" s="3">
        <v>368.31</v>
      </c>
      <c r="E7" s="3">
        <v>172.82</v>
      </c>
    </row>
    <row r="8" spans="1:5" x14ac:dyDescent="0.2">
      <c r="A8" s="4" t="s">
        <v>13</v>
      </c>
      <c r="B8" s="5">
        <v>46169</v>
      </c>
      <c r="C8" s="3">
        <v>607.19000000000005</v>
      </c>
      <c r="D8" s="3">
        <v>331.63</v>
      </c>
      <c r="E8" s="3">
        <v>275.56</v>
      </c>
    </row>
    <row r="9" spans="1:5" x14ac:dyDescent="0.2">
      <c r="A9" s="4" t="s">
        <v>14</v>
      </c>
      <c r="B9" s="5">
        <v>46165</v>
      </c>
      <c r="C9" s="3">
        <v>547.02</v>
      </c>
      <c r="D9" s="3">
        <v>435.15</v>
      </c>
      <c r="E9" s="3">
        <v>111.87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4340A-876F-441C-8982-87FF191BF8A5}">
  <sheetPr codeName="Sheet20"/>
  <dimension ref="A1:E8"/>
  <sheetViews>
    <sheetView workbookViewId="0">
      <selection sqref="A1:E8"/>
    </sheetView>
  </sheetViews>
  <sheetFormatPr defaultRowHeight="14.25" x14ac:dyDescent="0.2"/>
  <cols>
    <col min="1" max="1" width="11.25" bestFit="1" customWidth="1"/>
    <col min="2" max="2" width="15.125" bestFit="1" customWidth="1"/>
    <col min="3" max="3" width="17.625" bestFit="1" customWidth="1"/>
    <col min="4" max="4" width="10.625" bestFit="1" customWidth="1"/>
    <col min="5" max="5" width="9.75" bestFit="1" customWidth="1"/>
  </cols>
  <sheetData>
    <row r="1" spans="1:5" x14ac:dyDescent="0.2">
      <c r="A1" s="3" t="s">
        <v>3</v>
      </c>
      <c r="B1" s="3" t="s">
        <v>4</v>
      </c>
      <c r="C1" s="3" t="s">
        <v>5</v>
      </c>
      <c r="D1" s="3" t="s">
        <v>1</v>
      </c>
      <c r="E1" s="3" t="s">
        <v>2</v>
      </c>
    </row>
    <row r="2" spans="1:5" x14ac:dyDescent="0.2">
      <c r="A2" s="4" t="s">
        <v>0</v>
      </c>
      <c r="B2" s="5">
        <v>46188</v>
      </c>
      <c r="C2" s="3">
        <v>485.05</v>
      </c>
      <c r="D2" s="3">
        <v>390.54</v>
      </c>
      <c r="E2" s="3">
        <v>94.51</v>
      </c>
    </row>
    <row r="3" spans="1:5" x14ac:dyDescent="0.2">
      <c r="A3" s="4" t="s">
        <v>6</v>
      </c>
      <c r="B3" s="5">
        <v>46180</v>
      </c>
      <c r="C3" s="3">
        <v>307.85000000000002</v>
      </c>
      <c r="D3" s="3">
        <v>207.19</v>
      </c>
      <c r="E3" s="3">
        <v>100.66</v>
      </c>
    </row>
    <row r="4" spans="1:5" x14ac:dyDescent="0.2">
      <c r="A4" s="4" t="s">
        <v>7</v>
      </c>
      <c r="B4" s="5">
        <v>46188</v>
      </c>
      <c r="C4" s="3">
        <v>469.69</v>
      </c>
      <c r="D4" s="3">
        <v>232.05</v>
      </c>
      <c r="E4" s="3">
        <v>237.64</v>
      </c>
    </row>
    <row r="5" spans="1:5" x14ac:dyDescent="0.2">
      <c r="A5" s="4" t="s">
        <v>8</v>
      </c>
      <c r="B5" s="5">
        <v>46199</v>
      </c>
      <c r="C5" s="3">
        <v>863.37</v>
      </c>
      <c r="D5" s="3">
        <v>340.9</v>
      </c>
      <c r="E5" s="3">
        <v>522.47</v>
      </c>
    </row>
    <row r="6" spans="1:5" x14ac:dyDescent="0.2">
      <c r="A6" s="4" t="s">
        <v>11</v>
      </c>
      <c r="B6" s="5">
        <v>46190</v>
      </c>
      <c r="C6" s="3">
        <v>370.15</v>
      </c>
      <c r="D6" s="3">
        <v>287.88</v>
      </c>
      <c r="E6" s="3">
        <v>82.27</v>
      </c>
    </row>
    <row r="7" spans="1:5" x14ac:dyDescent="0.2">
      <c r="A7" s="4" t="s">
        <v>12</v>
      </c>
      <c r="B7" s="5">
        <v>46179</v>
      </c>
      <c r="C7" s="3">
        <v>541.13</v>
      </c>
      <c r="D7" s="3">
        <v>372.38</v>
      </c>
      <c r="E7" s="3">
        <v>168.75</v>
      </c>
    </row>
    <row r="8" spans="1:5" x14ac:dyDescent="0.2">
      <c r="A8" s="4" t="s">
        <v>14</v>
      </c>
      <c r="B8" s="5">
        <v>46196</v>
      </c>
      <c r="C8" s="3">
        <v>547.02</v>
      </c>
      <c r="D8" s="3">
        <v>437.32</v>
      </c>
      <c r="E8" s="3">
        <v>109.7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B8478-4911-4951-91F3-3069B4114720}">
  <sheetPr codeName="Sheet21"/>
  <dimension ref="A1:E10"/>
  <sheetViews>
    <sheetView workbookViewId="0">
      <selection activeCell="H24" sqref="H24"/>
    </sheetView>
  </sheetViews>
  <sheetFormatPr defaultRowHeight="14.25" x14ac:dyDescent="0.2"/>
  <cols>
    <col min="1" max="1" width="11.25" bestFit="1" customWidth="1"/>
    <col min="2" max="2" width="15.125" bestFit="1" customWidth="1"/>
    <col min="3" max="3" width="17.625" bestFit="1" customWidth="1"/>
    <col min="4" max="4" width="10.625" bestFit="1" customWidth="1"/>
    <col min="5" max="5" width="9.75" bestFit="1" customWidth="1"/>
  </cols>
  <sheetData>
    <row r="1" spans="1:5" x14ac:dyDescent="0.2">
      <c r="A1" s="3" t="s">
        <v>3</v>
      </c>
      <c r="B1" s="3" t="s">
        <v>4</v>
      </c>
      <c r="C1" s="3" t="s">
        <v>5</v>
      </c>
      <c r="D1" s="3" t="s">
        <v>1</v>
      </c>
      <c r="E1" s="3" t="s">
        <v>2</v>
      </c>
    </row>
    <row r="2" spans="1:5" x14ac:dyDescent="0.2">
      <c r="A2" s="4" t="s">
        <v>0</v>
      </c>
      <c r="B2" s="5">
        <v>46218</v>
      </c>
      <c r="C2" s="3">
        <v>485.05</v>
      </c>
      <c r="D2" s="3">
        <v>393.11</v>
      </c>
      <c r="E2" s="3">
        <v>91.94</v>
      </c>
    </row>
    <row r="3" spans="1:5" x14ac:dyDescent="0.2">
      <c r="A3" s="4" t="s">
        <v>6</v>
      </c>
      <c r="B3" s="5">
        <v>46210</v>
      </c>
      <c r="C3" s="3">
        <v>307.85000000000002</v>
      </c>
      <c r="D3" s="3">
        <v>209.61</v>
      </c>
      <c r="E3" s="3">
        <v>98.24</v>
      </c>
    </row>
    <row r="4" spans="1:5" x14ac:dyDescent="0.2">
      <c r="A4" s="4" t="s">
        <v>7</v>
      </c>
      <c r="B4" s="5">
        <v>46218</v>
      </c>
      <c r="C4" s="3">
        <v>469.69</v>
      </c>
      <c r="D4" s="3">
        <v>233.45</v>
      </c>
      <c r="E4" s="3">
        <v>236.24</v>
      </c>
    </row>
    <row r="5" spans="1:5" x14ac:dyDescent="0.2">
      <c r="A5" s="4" t="s">
        <v>10</v>
      </c>
      <c r="B5" s="5">
        <v>46211</v>
      </c>
      <c r="C5" s="3">
        <v>313.19</v>
      </c>
      <c r="D5" s="3">
        <v>140.21</v>
      </c>
      <c r="E5" s="3">
        <v>172.98</v>
      </c>
    </row>
    <row r="6" spans="1:5" x14ac:dyDescent="0.2">
      <c r="A6" s="4" t="s">
        <v>11</v>
      </c>
      <c r="B6" s="5">
        <v>46220</v>
      </c>
      <c r="C6" s="3">
        <v>370.15</v>
      </c>
      <c r="D6" s="3">
        <v>289.95999999999998</v>
      </c>
      <c r="E6" s="3">
        <v>80.19</v>
      </c>
    </row>
    <row r="7" spans="1:5" x14ac:dyDescent="0.2">
      <c r="A7" s="4" t="s">
        <v>12</v>
      </c>
      <c r="B7" s="5">
        <v>46209</v>
      </c>
      <c r="C7" s="3">
        <v>541.13</v>
      </c>
      <c r="D7" s="3">
        <v>376.5</v>
      </c>
      <c r="E7" s="3">
        <v>164.63</v>
      </c>
    </row>
    <row r="8" spans="1:5" x14ac:dyDescent="0.2">
      <c r="A8" s="4" t="s">
        <v>13</v>
      </c>
      <c r="B8" s="5">
        <v>46230</v>
      </c>
      <c r="C8" s="3">
        <v>607.19000000000005</v>
      </c>
      <c r="D8" s="3">
        <v>338.62</v>
      </c>
      <c r="E8" s="3">
        <v>268.57</v>
      </c>
    </row>
    <row r="9" spans="1:5" x14ac:dyDescent="0.2">
      <c r="A9" s="4" t="s">
        <v>14</v>
      </c>
      <c r="B9" s="5">
        <v>46226</v>
      </c>
      <c r="C9" s="3">
        <v>547.02</v>
      </c>
      <c r="D9" s="3">
        <v>439.5</v>
      </c>
      <c r="E9" s="3">
        <v>107.52</v>
      </c>
    </row>
    <row r="10" spans="1:5" x14ac:dyDescent="0.2">
      <c r="A10" t="s">
        <v>15</v>
      </c>
      <c r="B10" s="1">
        <v>46214</v>
      </c>
      <c r="C10">
        <v>444.71</v>
      </c>
      <c r="D10">
        <v>340.58</v>
      </c>
      <c r="E10">
        <v>104.13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AD822-9BCD-40AA-92F7-C89D325BE435}">
  <sheetPr codeName="Sheet22"/>
  <dimension ref="A1:E8"/>
  <sheetViews>
    <sheetView workbookViewId="0">
      <selection activeCell="G17" sqref="G17"/>
    </sheetView>
  </sheetViews>
  <sheetFormatPr defaultRowHeight="14.25" x14ac:dyDescent="0.2"/>
  <cols>
    <col min="1" max="1" width="11.25" bestFit="1" customWidth="1"/>
    <col min="2" max="2" width="15.125" bestFit="1" customWidth="1"/>
    <col min="3" max="3" width="17.625" bestFit="1" customWidth="1"/>
    <col min="4" max="4" width="10.625" bestFit="1" customWidth="1"/>
    <col min="5" max="5" width="9.75" bestFit="1" customWidth="1"/>
  </cols>
  <sheetData>
    <row r="1" spans="1:5" x14ac:dyDescent="0.2">
      <c r="A1" s="3" t="s">
        <v>3</v>
      </c>
      <c r="B1" s="3" t="s">
        <v>4</v>
      </c>
      <c r="C1" s="3" t="s">
        <v>5</v>
      </c>
      <c r="D1" s="3" t="s">
        <v>1</v>
      </c>
      <c r="E1" s="3" t="s">
        <v>2</v>
      </c>
    </row>
    <row r="2" spans="1:5" x14ac:dyDescent="0.2">
      <c r="A2" s="4" t="s">
        <v>0</v>
      </c>
      <c r="B2" s="5">
        <v>46249</v>
      </c>
      <c r="C2" s="3">
        <v>485.05</v>
      </c>
      <c r="D2" s="3">
        <v>395.7</v>
      </c>
      <c r="E2" s="3">
        <v>89.35</v>
      </c>
    </row>
    <row r="3" spans="1:5" x14ac:dyDescent="0.2">
      <c r="A3" s="4" t="s">
        <v>6</v>
      </c>
      <c r="B3" s="5">
        <v>46241</v>
      </c>
      <c r="C3" s="3">
        <v>307.85000000000002</v>
      </c>
      <c r="D3" s="3">
        <v>212.07</v>
      </c>
      <c r="E3" s="3">
        <v>95.78</v>
      </c>
    </row>
    <row r="4" spans="1:5" x14ac:dyDescent="0.2">
      <c r="A4" s="4" t="s">
        <v>7</v>
      </c>
      <c r="B4" s="5">
        <v>46249</v>
      </c>
      <c r="C4" s="3">
        <v>469.69</v>
      </c>
      <c r="D4" s="3">
        <v>234.86</v>
      </c>
      <c r="E4" s="3">
        <v>234.83</v>
      </c>
    </row>
    <row r="5" spans="1:5" x14ac:dyDescent="0.2">
      <c r="A5" s="4" t="s">
        <v>11</v>
      </c>
      <c r="B5" s="5">
        <v>46251</v>
      </c>
      <c r="C5" s="3">
        <v>370.15</v>
      </c>
      <c r="D5" s="3">
        <v>292.05</v>
      </c>
      <c r="E5" s="3">
        <v>78.099999999999994</v>
      </c>
    </row>
    <row r="6" spans="1:5" x14ac:dyDescent="0.2">
      <c r="A6" s="4" t="s">
        <v>12</v>
      </c>
      <c r="B6" s="5">
        <v>46240</v>
      </c>
      <c r="C6" s="3">
        <v>541.13</v>
      </c>
      <c r="D6" s="3">
        <v>380.66</v>
      </c>
      <c r="E6" s="3">
        <v>160.47</v>
      </c>
    </row>
    <row r="7" spans="1:5" x14ac:dyDescent="0.2">
      <c r="A7" s="4" t="s">
        <v>14</v>
      </c>
      <c r="B7" s="5">
        <v>46257</v>
      </c>
      <c r="C7" s="3">
        <v>547.02</v>
      </c>
      <c r="D7" s="3">
        <v>441.7</v>
      </c>
      <c r="E7" s="3">
        <v>105.32</v>
      </c>
    </row>
    <row r="8" spans="1:5" x14ac:dyDescent="0.2">
      <c r="A8" t="s">
        <v>15</v>
      </c>
      <c r="B8" s="1">
        <v>46245</v>
      </c>
      <c r="C8">
        <v>444.71</v>
      </c>
      <c r="D8">
        <v>343.11</v>
      </c>
      <c r="E8">
        <v>101.6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CBABF-85F1-4C47-8FB4-3780D6F9619D}">
  <sheetPr codeName="Sheet23"/>
  <dimension ref="A1:E10"/>
  <sheetViews>
    <sheetView workbookViewId="0">
      <selection sqref="A1:E9"/>
    </sheetView>
  </sheetViews>
  <sheetFormatPr defaultRowHeight="14.25" x14ac:dyDescent="0.2"/>
  <cols>
    <col min="1" max="1" width="11.25" bestFit="1" customWidth="1"/>
    <col min="2" max="2" width="15.125" bestFit="1" customWidth="1"/>
    <col min="3" max="3" width="17.625" bestFit="1" customWidth="1"/>
    <col min="4" max="4" width="10.625" bestFit="1" customWidth="1"/>
    <col min="5" max="5" width="9.75" bestFit="1" customWidth="1"/>
  </cols>
  <sheetData>
    <row r="1" spans="1:5" x14ac:dyDescent="0.2">
      <c r="A1" s="3" t="s">
        <v>3</v>
      </c>
      <c r="B1" s="3" t="s">
        <v>4</v>
      </c>
      <c r="C1" s="3" t="s">
        <v>5</v>
      </c>
      <c r="D1" s="3" t="s">
        <v>1</v>
      </c>
      <c r="E1" s="3" t="s">
        <v>2</v>
      </c>
    </row>
    <row r="2" spans="1:5" x14ac:dyDescent="0.2">
      <c r="A2" s="4" t="s">
        <v>0</v>
      </c>
      <c r="B2" s="5">
        <v>46280</v>
      </c>
      <c r="C2" s="3">
        <v>485.05</v>
      </c>
      <c r="D2" s="3">
        <v>398.31</v>
      </c>
      <c r="E2" s="3">
        <v>86.74</v>
      </c>
    </row>
    <row r="3" spans="1:5" x14ac:dyDescent="0.2">
      <c r="A3" s="4" t="s">
        <v>6</v>
      </c>
      <c r="B3" s="5">
        <v>46272</v>
      </c>
      <c r="C3" s="3">
        <v>307.85000000000002</v>
      </c>
      <c r="D3" s="3">
        <v>214.55</v>
      </c>
      <c r="E3" s="3">
        <v>93.3</v>
      </c>
    </row>
    <row r="4" spans="1:5" x14ac:dyDescent="0.2">
      <c r="A4" s="4" t="s">
        <v>7</v>
      </c>
      <c r="B4" s="5">
        <v>46280</v>
      </c>
      <c r="C4" s="3">
        <v>469.69</v>
      </c>
      <c r="D4" s="3">
        <v>236.28</v>
      </c>
      <c r="E4" s="3">
        <v>233.41</v>
      </c>
    </row>
    <row r="5" spans="1:5" x14ac:dyDescent="0.2">
      <c r="A5" s="4" t="s">
        <v>8</v>
      </c>
      <c r="B5" s="5">
        <v>46291</v>
      </c>
      <c r="C5" s="3">
        <v>863.37</v>
      </c>
      <c r="D5" s="3">
        <v>349.12</v>
      </c>
      <c r="E5" s="3">
        <v>514.25</v>
      </c>
    </row>
    <row r="6" spans="1:5" x14ac:dyDescent="0.2">
      <c r="A6" s="4" t="s">
        <v>11</v>
      </c>
      <c r="B6" s="5">
        <v>46282</v>
      </c>
      <c r="C6" s="3">
        <v>370.15</v>
      </c>
      <c r="D6" s="3">
        <v>294.14999999999998</v>
      </c>
      <c r="E6" s="3">
        <v>76</v>
      </c>
    </row>
    <row r="7" spans="1:5" x14ac:dyDescent="0.2">
      <c r="A7" s="4" t="s">
        <v>12</v>
      </c>
      <c r="B7" s="5">
        <v>46271</v>
      </c>
      <c r="C7" s="3">
        <v>541.13</v>
      </c>
      <c r="D7" s="3">
        <v>384.87</v>
      </c>
      <c r="E7" s="3">
        <v>156.26</v>
      </c>
    </row>
    <row r="8" spans="1:5" x14ac:dyDescent="0.2">
      <c r="A8" s="4" t="s">
        <v>13</v>
      </c>
      <c r="B8" s="5">
        <v>46292</v>
      </c>
      <c r="C8" s="3">
        <v>607.19000000000005</v>
      </c>
      <c r="D8" s="3">
        <v>345.76</v>
      </c>
      <c r="E8" s="3">
        <v>261.43</v>
      </c>
    </row>
    <row r="9" spans="1:5" x14ac:dyDescent="0.2">
      <c r="A9" s="4" t="s">
        <v>14</v>
      </c>
      <c r="B9" s="5">
        <v>46288</v>
      </c>
      <c r="C9" s="3">
        <v>547.02</v>
      </c>
      <c r="D9" s="3">
        <v>443.9</v>
      </c>
      <c r="E9" s="3">
        <v>103.12</v>
      </c>
    </row>
    <row r="10" spans="1:5" x14ac:dyDescent="0.2">
      <c r="A10" t="s">
        <v>15</v>
      </c>
      <c r="B10" s="1">
        <v>46276</v>
      </c>
      <c r="C10">
        <v>444.71</v>
      </c>
      <c r="D10">
        <v>345.66</v>
      </c>
      <c r="E10">
        <v>99.05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7C491-B76D-4491-8E44-ACD031E7631D}">
  <sheetPr codeName="Sheet24"/>
  <dimension ref="A1:E10"/>
  <sheetViews>
    <sheetView workbookViewId="0">
      <selection sqref="A1:E8"/>
    </sheetView>
  </sheetViews>
  <sheetFormatPr defaultRowHeight="14.25" x14ac:dyDescent="0.2"/>
  <cols>
    <col min="1" max="1" width="11.25" bestFit="1" customWidth="1"/>
    <col min="2" max="2" width="15.125" bestFit="1" customWidth="1"/>
    <col min="3" max="3" width="17.625" bestFit="1" customWidth="1"/>
    <col min="4" max="4" width="10.625" bestFit="1" customWidth="1"/>
    <col min="5" max="5" width="9.75" bestFit="1" customWidth="1"/>
  </cols>
  <sheetData>
    <row r="1" spans="1:5" x14ac:dyDescent="0.2">
      <c r="A1" s="3" t="s">
        <v>3</v>
      </c>
      <c r="B1" s="3" t="s">
        <v>4</v>
      </c>
      <c r="C1" s="3" t="s">
        <v>5</v>
      </c>
      <c r="D1" s="3" t="s">
        <v>1</v>
      </c>
      <c r="E1" s="3" t="s">
        <v>2</v>
      </c>
    </row>
    <row r="2" spans="1:5" x14ac:dyDescent="0.2">
      <c r="A2" s="4" t="s">
        <v>0</v>
      </c>
      <c r="B2" s="5">
        <v>46310</v>
      </c>
      <c r="C2" s="3">
        <v>485.05</v>
      </c>
      <c r="D2" s="3">
        <v>400.93</v>
      </c>
      <c r="E2" s="3">
        <v>84.12</v>
      </c>
    </row>
    <row r="3" spans="1:5" x14ac:dyDescent="0.2">
      <c r="A3" s="4" t="s">
        <v>6</v>
      </c>
      <c r="B3" s="5">
        <v>46302</v>
      </c>
      <c r="C3" s="3">
        <v>307.85000000000002</v>
      </c>
      <c r="D3" s="3">
        <v>217.07</v>
      </c>
      <c r="E3" s="3">
        <v>90.78</v>
      </c>
    </row>
    <row r="4" spans="1:5" x14ac:dyDescent="0.2">
      <c r="A4" s="4" t="s">
        <v>7</v>
      </c>
      <c r="B4" s="5">
        <v>46310</v>
      </c>
      <c r="C4" s="3">
        <v>469.69</v>
      </c>
      <c r="D4" s="3">
        <v>237.71</v>
      </c>
      <c r="E4" s="3">
        <v>231.98</v>
      </c>
    </row>
    <row r="5" spans="1:5" x14ac:dyDescent="0.2">
      <c r="A5" s="4" t="s">
        <v>10</v>
      </c>
      <c r="B5" s="5">
        <v>46303</v>
      </c>
      <c r="C5" s="3">
        <v>313.19</v>
      </c>
      <c r="D5" s="3">
        <v>145.19999999999999</v>
      </c>
      <c r="E5" s="3">
        <v>167.99</v>
      </c>
    </row>
    <row r="6" spans="1:5" x14ac:dyDescent="0.2">
      <c r="A6" s="4" t="s">
        <v>11</v>
      </c>
      <c r="B6" s="5">
        <v>46312</v>
      </c>
      <c r="C6" s="3">
        <v>370.15</v>
      </c>
      <c r="D6" s="3">
        <v>296.27</v>
      </c>
      <c r="E6" s="3">
        <v>73.88</v>
      </c>
    </row>
    <row r="7" spans="1:5" x14ac:dyDescent="0.2">
      <c r="A7" s="4" t="s">
        <v>12</v>
      </c>
      <c r="B7" s="5">
        <v>46301</v>
      </c>
      <c r="C7" s="3">
        <v>541.13</v>
      </c>
      <c r="D7" s="3">
        <v>389.12</v>
      </c>
      <c r="E7" s="3">
        <v>152.01</v>
      </c>
    </row>
    <row r="8" spans="1:5" x14ac:dyDescent="0.2">
      <c r="A8" s="4" t="s">
        <v>14</v>
      </c>
      <c r="B8" s="5">
        <v>46318</v>
      </c>
      <c r="C8" s="3">
        <v>547.02</v>
      </c>
      <c r="D8" s="3">
        <v>446.11</v>
      </c>
      <c r="E8" s="3">
        <v>100.91</v>
      </c>
    </row>
    <row r="9" spans="1:5" x14ac:dyDescent="0.2">
      <c r="A9" t="s">
        <v>15</v>
      </c>
      <c r="B9" s="1">
        <v>46306</v>
      </c>
      <c r="C9">
        <v>444.71</v>
      </c>
      <c r="D9">
        <v>348.23</v>
      </c>
      <c r="E9">
        <v>96.48</v>
      </c>
    </row>
    <row r="10" spans="1:5" x14ac:dyDescent="0.2">
      <c r="A10" t="s">
        <v>33</v>
      </c>
      <c r="B10" s="1">
        <v>46299</v>
      </c>
      <c r="C10">
        <v>976.56</v>
      </c>
      <c r="D10">
        <v>772.36</v>
      </c>
      <c r="E10">
        <v>204.2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C89D34-6561-485E-AEBF-738CEFC341E9}">
  <sheetPr codeName="Sheet25"/>
  <dimension ref="A1:E10"/>
  <sheetViews>
    <sheetView workbookViewId="0">
      <selection sqref="A1:E9"/>
    </sheetView>
  </sheetViews>
  <sheetFormatPr defaultRowHeight="14.25" x14ac:dyDescent="0.2"/>
  <cols>
    <col min="1" max="1" width="11.25" bestFit="1" customWidth="1"/>
    <col min="2" max="2" width="15.125" bestFit="1" customWidth="1"/>
    <col min="3" max="3" width="17.625" bestFit="1" customWidth="1"/>
    <col min="4" max="4" width="10.625" bestFit="1" customWidth="1"/>
    <col min="5" max="5" width="9.75" bestFit="1" customWidth="1"/>
  </cols>
  <sheetData>
    <row r="1" spans="1:5" x14ac:dyDescent="0.2">
      <c r="A1" s="3" t="s">
        <v>3</v>
      </c>
      <c r="B1" s="3" t="s">
        <v>4</v>
      </c>
      <c r="C1" s="3" t="s">
        <v>5</v>
      </c>
      <c r="D1" s="3" t="s">
        <v>1</v>
      </c>
      <c r="E1" s="3" t="s">
        <v>2</v>
      </c>
    </row>
    <row r="2" spans="1:5" x14ac:dyDescent="0.2">
      <c r="A2" s="4" t="s">
        <v>0</v>
      </c>
      <c r="B2" s="5">
        <v>46341</v>
      </c>
      <c r="C2" s="3">
        <v>485.05</v>
      </c>
      <c r="D2" s="3">
        <v>403.57</v>
      </c>
      <c r="E2" s="3">
        <v>81.48</v>
      </c>
    </row>
    <row r="3" spans="1:5" x14ac:dyDescent="0.2">
      <c r="A3" s="4" t="s">
        <v>6</v>
      </c>
      <c r="B3" s="5">
        <v>46333</v>
      </c>
      <c r="C3" s="3">
        <v>307.85000000000002</v>
      </c>
      <c r="D3" s="3">
        <v>219.61</v>
      </c>
      <c r="E3" s="3">
        <v>88.24</v>
      </c>
    </row>
    <row r="4" spans="1:5" x14ac:dyDescent="0.2">
      <c r="A4" s="4" t="s">
        <v>7</v>
      </c>
      <c r="B4" s="5">
        <v>46341</v>
      </c>
      <c r="C4" s="3">
        <v>469.69</v>
      </c>
      <c r="D4" s="3">
        <v>239.15</v>
      </c>
      <c r="E4" s="3">
        <v>230.54</v>
      </c>
    </row>
    <row r="5" spans="1:5" x14ac:dyDescent="0.2">
      <c r="A5" s="4" t="s">
        <v>9</v>
      </c>
      <c r="B5" s="5">
        <v>46347</v>
      </c>
      <c r="C5" s="3">
        <v>1490.21</v>
      </c>
      <c r="D5" s="3">
        <v>404.8</v>
      </c>
      <c r="E5" s="3">
        <v>1085.4100000000001</v>
      </c>
    </row>
    <row r="6" spans="1:5" x14ac:dyDescent="0.2">
      <c r="A6" s="4" t="s">
        <v>11</v>
      </c>
      <c r="B6" s="5">
        <v>46343</v>
      </c>
      <c r="C6" s="3">
        <v>370.15</v>
      </c>
      <c r="D6" s="3">
        <v>298.41000000000003</v>
      </c>
      <c r="E6" s="3">
        <v>71.739999999999995</v>
      </c>
    </row>
    <row r="7" spans="1:5" x14ac:dyDescent="0.2">
      <c r="A7" s="4" t="s">
        <v>12</v>
      </c>
      <c r="B7" s="5">
        <v>46332</v>
      </c>
      <c r="C7" s="3">
        <v>541.13</v>
      </c>
      <c r="D7" s="3">
        <v>393.42</v>
      </c>
      <c r="E7" s="3">
        <v>147.71</v>
      </c>
    </row>
    <row r="8" spans="1:5" x14ac:dyDescent="0.2">
      <c r="A8" s="4" t="s">
        <v>13</v>
      </c>
      <c r="B8" s="5">
        <v>46353</v>
      </c>
      <c r="C8" s="3">
        <v>607.19000000000005</v>
      </c>
      <c r="D8" s="3">
        <v>353.05</v>
      </c>
      <c r="E8" s="3">
        <v>254.14</v>
      </c>
    </row>
    <row r="9" spans="1:5" x14ac:dyDescent="0.2">
      <c r="A9" s="4" t="s">
        <v>14</v>
      </c>
      <c r="B9" s="5">
        <v>46349</v>
      </c>
      <c r="C9" s="3">
        <v>547.02</v>
      </c>
      <c r="D9" s="3">
        <v>448.34</v>
      </c>
      <c r="E9" s="3">
        <v>98.68</v>
      </c>
    </row>
    <row r="10" spans="1:5" x14ac:dyDescent="0.2">
      <c r="A10" t="s">
        <v>15</v>
      </c>
      <c r="B10" s="1">
        <v>46337</v>
      </c>
      <c r="C10">
        <v>444.71</v>
      </c>
      <c r="D10">
        <v>350.82</v>
      </c>
      <c r="E10">
        <v>93.89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14D1D-998B-414E-967F-6E7E58C50C14}">
  <sheetPr codeName="Sheet26"/>
  <dimension ref="A1:E9"/>
  <sheetViews>
    <sheetView workbookViewId="0">
      <selection sqref="A1:E8"/>
    </sheetView>
  </sheetViews>
  <sheetFormatPr defaultRowHeight="14.25" x14ac:dyDescent="0.2"/>
  <cols>
    <col min="1" max="1" width="11.25" bestFit="1" customWidth="1"/>
    <col min="2" max="2" width="15.125" bestFit="1" customWidth="1"/>
    <col min="3" max="3" width="17.625" bestFit="1" customWidth="1"/>
    <col min="4" max="4" width="10.625" bestFit="1" customWidth="1"/>
    <col min="5" max="5" width="9.75" bestFit="1" customWidth="1"/>
  </cols>
  <sheetData>
    <row r="1" spans="1:5" x14ac:dyDescent="0.2">
      <c r="A1" s="3" t="s">
        <v>3</v>
      </c>
      <c r="B1" s="3" t="s">
        <v>4</v>
      </c>
      <c r="C1" s="3" t="s">
        <v>5</v>
      </c>
      <c r="D1" s="3" t="s">
        <v>1</v>
      </c>
      <c r="E1" s="3" t="s">
        <v>2</v>
      </c>
    </row>
    <row r="2" spans="1:5" x14ac:dyDescent="0.2">
      <c r="A2" s="4" t="s">
        <v>0</v>
      </c>
      <c r="B2" s="5">
        <v>46371</v>
      </c>
      <c r="C2" s="3">
        <v>485.05</v>
      </c>
      <c r="D2" s="3">
        <v>406.23</v>
      </c>
      <c r="E2" s="3">
        <v>78.819999999999993</v>
      </c>
    </row>
    <row r="3" spans="1:5" x14ac:dyDescent="0.2">
      <c r="A3" s="4" t="s">
        <v>6</v>
      </c>
      <c r="B3" s="5">
        <v>46363</v>
      </c>
      <c r="C3" s="3">
        <v>307.85000000000002</v>
      </c>
      <c r="D3" s="3">
        <v>222.18</v>
      </c>
      <c r="E3" s="3">
        <v>85.67</v>
      </c>
    </row>
    <row r="4" spans="1:5" x14ac:dyDescent="0.2">
      <c r="A4" s="4" t="s">
        <v>7</v>
      </c>
      <c r="B4" s="5">
        <v>46371</v>
      </c>
      <c r="C4" s="3">
        <v>469.69</v>
      </c>
      <c r="D4" s="3">
        <v>240.6</v>
      </c>
      <c r="E4" s="3">
        <v>229.09</v>
      </c>
    </row>
    <row r="5" spans="1:5" x14ac:dyDescent="0.2">
      <c r="A5" s="4" t="s">
        <v>8</v>
      </c>
      <c r="B5" s="5">
        <v>46382</v>
      </c>
      <c r="C5" s="3">
        <v>863.37</v>
      </c>
      <c r="D5" s="3">
        <v>357.53</v>
      </c>
      <c r="E5" s="3">
        <v>505.84</v>
      </c>
    </row>
    <row r="6" spans="1:5" x14ac:dyDescent="0.2">
      <c r="A6" s="4" t="s">
        <v>11</v>
      </c>
      <c r="B6" s="5">
        <v>46373</v>
      </c>
      <c r="C6" s="3">
        <v>370.15</v>
      </c>
      <c r="D6" s="3">
        <v>300.56</v>
      </c>
      <c r="E6" s="3">
        <v>69.59</v>
      </c>
    </row>
    <row r="7" spans="1:5" x14ac:dyDescent="0.2">
      <c r="A7" s="4" t="s">
        <v>12</v>
      </c>
      <c r="B7" s="5">
        <v>46362</v>
      </c>
      <c r="C7" s="3">
        <v>541.13</v>
      </c>
      <c r="D7" s="3">
        <v>397.77</v>
      </c>
      <c r="E7" s="3">
        <v>143.36000000000001</v>
      </c>
    </row>
    <row r="8" spans="1:5" x14ac:dyDescent="0.2">
      <c r="A8" s="4" t="s">
        <v>14</v>
      </c>
      <c r="B8" s="5">
        <v>46379</v>
      </c>
      <c r="C8" s="3">
        <v>547.02</v>
      </c>
      <c r="D8" s="3">
        <v>450.57</v>
      </c>
      <c r="E8" s="3">
        <v>96.45</v>
      </c>
    </row>
    <row r="9" spans="1:5" x14ac:dyDescent="0.2">
      <c r="A9" t="s">
        <v>15</v>
      </c>
      <c r="B9" s="1">
        <v>46367</v>
      </c>
      <c r="C9">
        <v>444.71</v>
      </c>
      <c r="D9">
        <v>353.43</v>
      </c>
      <c r="E9">
        <v>91.28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4EE95-57B6-4CD8-9640-FF9FCF72FE7A}">
  <sheetPr codeName="Sheet27"/>
  <dimension ref="A1:E10"/>
  <sheetViews>
    <sheetView workbookViewId="0">
      <selection activeCell="I15" sqref="I15"/>
    </sheetView>
  </sheetViews>
  <sheetFormatPr defaultRowHeight="14.25" x14ac:dyDescent="0.2"/>
  <cols>
    <col min="1" max="1" width="11.25" bestFit="1" customWidth="1"/>
    <col min="2" max="2" width="15.125" bestFit="1" customWidth="1"/>
    <col min="3" max="3" width="17.625" bestFit="1" customWidth="1"/>
    <col min="4" max="4" width="10.625" bestFit="1" customWidth="1"/>
    <col min="5" max="5" width="9.75" bestFit="1" customWidth="1"/>
  </cols>
  <sheetData>
    <row r="1" spans="1:5" x14ac:dyDescent="0.2">
      <c r="A1" s="3" t="s">
        <v>3</v>
      </c>
      <c r="B1" s="3" t="s">
        <v>4</v>
      </c>
      <c r="C1" s="3" t="s">
        <v>5</v>
      </c>
      <c r="D1" s="3" t="s">
        <v>1</v>
      </c>
      <c r="E1" s="3" t="s">
        <v>2</v>
      </c>
    </row>
    <row r="2" spans="1:5" x14ac:dyDescent="0.2">
      <c r="A2" s="4" t="s">
        <v>0</v>
      </c>
      <c r="B2" s="5">
        <v>46402</v>
      </c>
      <c r="C2" s="3">
        <v>485.05</v>
      </c>
      <c r="D2" s="3">
        <v>408.91</v>
      </c>
      <c r="E2" s="3">
        <v>76.14</v>
      </c>
    </row>
    <row r="3" spans="1:5" x14ac:dyDescent="0.2">
      <c r="A3" s="4" t="s">
        <v>6</v>
      </c>
      <c r="B3" s="5">
        <v>46394</v>
      </c>
      <c r="C3" s="3">
        <v>307.85000000000002</v>
      </c>
      <c r="D3" s="3">
        <v>224.79</v>
      </c>
      <c r="E3" s="3">
        <v>83.06</v>
      </c>
    </row>
    <row r="4" spans="1:5" x14ac:dyDescent="0.2">
      <c r="A4" s="4" t="s">
        <v>7</v>
      </c>
      <c r="B4" s="5">
        <v>46402</v>
      </c>
      <c r="C4" s="3">
        <v>469.69</v>
      </c>
      <c r="D4" s="3">
        <v>242.05</v>
      </c>
      <c r="E4" s="3">
        <v>227.64</v>
      </c>
    </row>
    <row r="5" spans="1:5" x14ac:dyDescent="0.2">
      <c r="A5" s="4" t="s">
        <v>10</v>
      </c>
      <c r="B5" s="5">
        <v>46395</v>
      </c>
      <c r="C5" s="3">
        <v>313.19</v>
      </c>
      <c r="D5" s="3">
        <v>150.36000000000001</v>
      </c>
      <c r="E5" s="3">
        <v>162.83000000000001</v>
      </c>
    </row>
    <row r="6" spans="1:5" x14ac:dyDescent="0.2">
      <c r="A6" s="4" t="s">
        <v>11</v>
      </c>
      <c r="B6" s="5">
        <v>46404</v>
      </c>
      <c r="C6" s="3">
        <v>370.15</v>
      </c>
      <c r="D6" s="3">
        <v>302.73</v>
      </c>
      <c r="E6" s="3">
        <v>67.42</v>
      </c>
    </row>
    <row r="7" spans="1:5" x14ac:dyDescent="0.2">
      <c r="A7" s="4" t="s">
        <v>12</v>
      </c>
      <c r="B7" s="5">
        <v>46393</v>
      </c>
      <c r="C7" s="3">
        <v>541.13</v>
      </c>
      <c r="D7" s="3">
        <v>402.17</v>
      </c>
      <c r="E7" s="3">
        <v>138.96</v>
      </c>
    </row>
    <row r="8" spans="1:5" x14ac:dyDescent="0.2">
      <c r="A8" s="4" t="s">
        <v>13</v>
      </c>
      <c r="B8" s="5">
        <v>46414</v>
      </c>
      <c r="C8" s="3">
        <v>607.19000000000005</v>
      </c>
      <c r="D8" s="3">
        <v>360.49</v>
      </c>
      <c r="E8" s="3">
        <v>246.7</v>
      </c>
    </row>
    <row r="9" spans="1:5" x14ac:dyDescent="0.2">
      <c r="A9" s="4" t="s">
        <v>14</v>
      </c>
      <c r="B9" s="5">
        <v>46410</v>
      </c>
      <c r="C9" s="3">
        <v>547.02</v>
      </c>
      <c r="D9" s="3">
        <v>452.82</v>
      </c>
      <c r="E9" s="3">
        <v>94.2</v>
      </c>
    </row>
    <row r="10" spans="1:5" x14ac:dyDescent="0.2">
      <c r="A10" t="s">
        <v>15</v>
      </c>
      <c r="B10" s="1">
        <v>46398</v>
      </c>
      <c r="C10">
        <v>444.71</v>
      </c>
      <c r="D10">
        <v>356.06</v>
      </c>
      <c r="E10">
        <v>88.65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014C43-C2F2-430A-BEF1-C6E4BB00E180}">
  <sheetPr codeName="Sheet28"/>
  <dimension ref="A1:E8"/>
  <sheetViews>
    <sheetView workbookViewId="0">
      <selection activeCell="F7" sqref="F7"/>
    </sheetView>
  </sheetViews>
  <sheetFormatPr defaultRowHeight="14.25" x14ac:dyDescent="0.2"/>
  <cols>
    <col min="1" max="1" width="11.25" bestFit="1" customWidth="1"/>
    <col min="2" max="2" width="15.125" bestFit="1" customWidth="1"/>
    <col min="3" max="3" width="17.625" bestFit="1" customWidth="1"/>
    <col min="4" max="4" width="10.625" bestFit="1" customWidth="1"/>
    <col min="5" max="5" width="9.75" bestFit="1" customWidth="1"/>
  </cols>
  <sheetData>
    <row r="1" spans="1:5" x14ac:dyDescent="0.2">
      <c r="A1" s="3" t="s">
        <v>3</v>
      </c>
      <c r="B1" s="3" t="s">
        <v>4</v>
      </c>
      <c r="C1" s="3" t="s">
        <v>5</v>
      </c>
      <c r="D1" s="3" t="s">
        <v>1</v>
      </c>
      <c r="E1" s="3" t="s">
        <v>2</v>
      </c>
    </row>
    <row r="2" spans="1:5" x14ac:dyDescent="0.2">
      <c r="A2" s="4" t="s">
        <v>0</v>
      </c>
      <c r="B2" s="5">
        <v>46433</v>
      </c>
      <c r="C2" s="3">
        <v>485.05</v>
      </c>
      <c r="D2" s="3">
        <v>411.6</v>
      </c>
      <c r="E2" s="3">
        <v>73.45</v>
      </c>
    </row>
    <row r="3" spans="1:5" x14ac:dyDescent="0.2">
      <c r="A3" s="4" t="s">
        <v>6</v>
      </c>
      <c r="B3" s="5">
        <v>46425</v>
      </c>
      <c r="C3" s="3">
        <v>307.85000000000002</v>
      </c>
      <c r="D3" s="3">
        <v>227.42</v>
      </c>
      <c r="E3" s="3">
        <v>80.430000000000007</v>
      </c>
    </row>
    <row r="4" spans="1:5" x14ac:dyDescent="0.2">
      <c r="A4" s="4" t="s">
        <v>7</v>
      </c>
      <c r="B4" s="5">
        <v>46433</v>
      </c>
      <c r="C4" s="3">
        <v>469.69</v>
      </c>
      <c r="D4" s="3">
        <v>243.51</v>
      </c>
      <c r="E4" s="3">
        <v>226.18</v>
      </c>
    </row>
    <row r="5" spans="1:5" x14ac:dyDescent="0.2">
      <c r="A5" s="4" t="s">
        <v>11</v>
      </c>
      <c r="B5" s="5">
        <v>46435</v>
      </c>
      <c r="C5" s="3">
        <v>370.15</v>
      </c>
      <c r="D5" s="3">
        <v>304.91000000000003</v>
      </c>
      <c r="E5" s="3">
        <v>65.239999999999995</v>
      </c>
    </row>
    <row r="6" spans="1:5" x14ac:dyDescent="0.2">
      <c r="A6" s="4" t="s">
        <v>12</v>
      </c>
      <c r="B6" s="5">
        <v>46424</v>
      </c>
      <c r="C6" s="3">
        <v>541.13</v>
      </c>
      <c r="D6" s="3">
        <v>406.61</v>
      </c>
      <c r="E6" s="3">
        <v>134.52000000000001</v>
      </c>
    </row>
    <row r="7" spans="1:5" x14ac:dyDescent="0.2">
      <c r="A7" s="4" t="s">
        <v>14</v>
      </c>
      <c r="B7" s="5">
        <v>46441</v>
      </c>
      <c r="C7" s="3">
        <v>547.02</v>
      </c>
      <c r="D7" s="3">
        <v>455.07</v>
      </c>
      <c r="E7" s="3">
        <v>91.95</v>
      </c>
    </row>
    <row r="8" spans="1:5" x14ac:dyDescent="0.2">
      <c r="A8" t="s">
        <v>15</v>
      </c>
      <c r="B8" s="1">
        <v>46429</v>
      </c>
      <c r="C8">
        <v>444.71</v>
      </c>
      <c r="D8">
        <v>358.71</v>
      </c>
      <c r="E8">
        <v>86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A11E659-463B-410C-8AD6-D93ABABCEBA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Introduction</vt:lpstr>
      <vt:lpstr>Master Data</vt:lpstr>
      <vt:lpstr>Sample Analytics</vt:lpstr>
      <vt:lpstr>Mar 2026</vt:lpstr>
      <vt:lpstr>Apr 2026</vt:lpstr>
      <vt:lpstr>May 2026</vt:lpstr>
      <vt:lpstr>Jun 2026</vt:lpstr>
      <vt:lpstr>Jul 2026</vt:lpstr>
      <vt:lpstr>Aug 2026</vt:lpstr>
      <vt:lpstr>Sep 2026</vt:lpstr>
      <vt:lpstr>Oct 2026</vt:lpstr>
      <vt:lpstr>Nov 2026</vt:lpstr>
      <vt:lpstr>Dec 2026</vt:lpstr>
      <vt:lpstr>Jan 2027</vt:lpstr>
      <vt:lpstr>Feb 2027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Ryan Gomberg</dc:creator>
  <cp:lastModifiedBy>Ryan Gomberg</cp:lastModifiedBy>
  <dcterms:created xsi:type="dcterms:W3CDTF">2026-03-16T05:07:21Z</dcterms:created>
  <dcterms:modified xsi:type="dcterms:W3CDTF">2026-03-17T05:18:07Z</dcterms:modified>
</cp:coreProperties>
</file>